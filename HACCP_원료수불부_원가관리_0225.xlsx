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프로그램\"/>
    </mc:Choice>
  </mc:AlternateContent>
  <xr:revisionPtr revIDLastSave="0" documentId="8_{F9F4704E-8F18-4526-A6F4-CCFFBB275106}" xr6:coauthVersionLast="47" xr6:coauthVersionMax="47" xr10:uidLastSave="{00000000-0000-0000-0000-000000000000}"/>
  <bookViews>
    <workbookView xWindow="-28920" yWindow="-120" windowWidth="29040" windowHeight="15720" tabRatio="500" firstSheet="8" activeTab="14" xr2:uid="{00000000-000D-0000-FFFF-FFFF00000000}"/>
  </bookViews>
  <sheets>
    <sheet name="📋 사용 안내" sheetId="1" r:id="rId1"/>
    <sheet name="🏭 원료 마스터" sheetId="2" r:id="rId2"/>
    <sheet name="🔖 배합비 참조" sheetId="3" state="hidden" r:id="rId3"/>
    <sheet name="📦 일일 생산 입력" sheetId="4" r:id="rId4"/>
    <sheet name="📊 월별 원료수불부" sheetId="5" r:id="rId5"/>
    <sheet name="💰 원가 분석" sheetId="6" r:id="rId6"/>
    <sheet name="🏢 거래처 관리" sheetId="7" r:id="rId7"/>
    <sheet name="📥 원재료 입고" sheetId="8" r:id="rId8"/>
    <sheet name="📦 재고 현황" sheetId="9" r:id="rId9"/>
    <sheet name="📋 드롭다운 목록" sheetId="10" state="hidden" r:id="rId10"/>
    <sheet name="📤 납품 출고" sheetId="11" r:id="rId11"/>
    <sheet name="📋 납품 집계" sheetId="12" r:id="rId12"/>
    <sheet name="📅 주간 리포트" sheetId="13" r:id="rId13"/>
    <sheet name="📅 주간 원재료 사용" sheetId="14" r:id="rId14"/>
    <sheet name="📋 육안검사일지" sheetId="15" r:id="rId15"/>
  </sheets>
  <definedNames>
    <definedName name="_xlnm.Print_Area" localSheetId="14">'📋 육안검사일지'!$A$1:$M$150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9" l="1"/>
  <c r="D85" i="9"/>
  <c r="C85" i="9"/>
  <c r="G85" i="9" s="1"/>
  <c r="E84" i="9"/>
  <c r="D84" i="9"/>
  <c r="C84" i="9"/>
  <c r="E83" i="9"/>
  <c r="D83" i="9"/>
  <c r="C83" i="9"/>
  <c r="E82" i="9"/>
  <c r="D82" i="9"/>
  <c r="C82" i="9"/>
  <c r="E81" i="9"/>
  <c r="D81" i="9"/>
  <c r="C81" i="9"/>
  <c r="G81" i="9" s="1"/>
  <c r="H82" i="9" s="1"/>
  <c r="E80" i="9"/>
  <c r="D80" i="9"/>
  <c r="C80" i="9"/>
  <c r="E79" i="9"/>
  <c r="D79" i="9"/>
  <c r="C79" i="9"/>
  <c r="F78" i="9"/>
  <c r="G78" i="9" s="1"/>
  <c r="H79" i="9" s="1"/>
  <c r="E78" i="9"/>
  <c r="D78" i="9"/>
  <c r="C78" i="9"/>
  <c r="E77" i="9"/>
  <c r="D77" i="9"/>
  <c r="C77" i="9"/>
  <c r="E76" i="9"/>
  <c r="D76" i="9"/>
  <c r="C76" i="9"/>
  <c r="G76" i="9" s="1"/>
  <c r="H77" i="9" s="1"/>
  <c r="E75" i="9"/>
  <c r="D75" i="9"/>
  <c r="C75" i="9"/>
  <c r="E74" i="9"/>
  <c r="D74" i="9"/>
  <c r="C74" i="9"/>
  <c r="E73" i="9"/>
  <c r="D73" i="9"/>
  <c r="C73" i="9"/>
  <c r="E72" i="9"/>
  <c r="D72" i="9"/>
  <c r="C72" i="9"/>
  <c r="E71" i="9"/>
  <c r="D71" i="9"/>
  <c r="C71" i="9"/>
  <c r="E70" i="9"/>
  <c r="D70" i="9"/>
  <c r="C70" i="9"/>
  <c r="E69" i="9"/>
  <c r="D69" i="9"/>
  <c r="C69" i="9"/>
  <c r="E68" i="9"/>
  <c r="D68" i="9"/>
  <c r="C68" i="9"/>
  <c r="E67" i="9"/>
  <c r="D67" i="9"/>
  <c r="C67" i="9"/>
  <c r="E66" i="9"/>
  <c r="D66" i="9"/>
  <c r="C66" i="9"/>
  <c r="E65" i="9"/>
  <c r="D65" i="9"/>
  <c r="C65" i="9"/>
  <c r="E64" i="9"/>
  <c r="D64" i="9"/>
  <c r="C64" i="9"/>
  <c r="E63" i="9"/>
  <c r="D63" i="9"/>
  <c r="C63" i="9"/>
  <c r="F62" i="9"/>
  <c r="G62" i="9" s="1"/>
  <c r="H63" i="9" s="1"/>
  <c r="E62" i="9"/>
  <c r="D62" i="9"/>
  <c r="C62" i="9"/>
  <c r="E61" i="9"/>
  <c r="D61" i="9"/>
  <c r="C61" i="9"/>
  <c r="G61" i="9" s="1"/>
  <c r="H62" i="9" s="1"/>
  <c r="E60" i="9"/>
  <c r="D60" i="9"/>
  <c r="C60" i="9"/>
  <c r="E59" i="9"/>
  <c r="D59" i="9"/>
  <c r="C59" i="9"/>
  <c r="E58" i="9"/>
  <c r="D58" i="9"/>
  <c r="C58" i="9"/>
  <c r="E57" i="9"/>
  <c r="D57" i="9"/>
  <c r="C57" i="9"/>
  <c r="E56" i="9"/>
  <c r="D56" i="9"/>
  <c r="C56" i="9"/>
  <c r="E55" i="9"/>
  <c r="D55" i="9"/>
  <c r="C55" i="9"/>
  <c r="E54" i="9"/>
  <c r="D54" i="9"/>
  <c r="C54" i="9"/>
  <c r="E53" i="9"/>
  <c r="D53" i="9"/>
  <c r="C53" i="9"/>
  <c r="E52" i="9"/>
  <c r="D52" i="9"/>
  <c r="C52" i="9"/>
  <c r="E51" i="9"/>
  <c r="D51" i="9"/>
  <c r="C51" i="9"/>
  <c r="E50" i="9"/>
  <c r="D50" i="9"/>
  <c r="C50" i="9"/>
  <c r="E49" i="9"/>
  <c r="D49" i="9"/>
  <c r="C49" i="9"/>
  <c r="E48" i="9"/>
  <c r="D48" i="9"/>
  <c r="C48" i="9"/>
  <c r="E47" i="9"/>
  <c r="D47" i="9"/>
  <c r="C47" i="9"/>
  <c r="F46" i="9"/>
  <c r="G46" i="9" s="1"/>
  <c r="H47" i="9" s="1"/>
  <c r="E46" i="9"/>
  <c r="D46" i="9"/>
  <c r="C46" i="9"/>
  <c r="E45" i="9"/>
  <c r="D45" i="9"/>
  <c r="C45" i="9"/>
  <c r="E44" i="9"/>
  <c r="D44" i="9"/>
  <c r="C44" i="9"/>
  <c r="E43" i="9"/>
  <c r="D43" i="9"/>
  <c r="C43" i="9"/>
  <c r="E42" i="9"/>
  <c r="D42" i="9"/>
  <c r="C42" i="9"/>
  <c r="E41" i="9"/>
  <c r="D41" i="9"/>
  <c r="C41" i="9"/>
  <c r="E40" i="9"/>
  <c r="D40" i="9"/>
  <c r="C40" i="9"/>
  <c r="E39" i="9"/>
  <c r="D39" i="9"/>
  <c r="C39" i="9"/>
  <c r="E38" i="9"/>
  <c r="D38" i="9"/>
  <c r="C38" i="9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2" i="9"/>
  <c r="D32" i="9"/>
  <c r="C32" i="9"/>
  <c r="E31" i="9"/>
  <c r="D31" i="9"/>
  <c r="C31" i="9"/>
  <c r="F30" i="9"/>
  <c r="G30" i="9" s="1"/>
  <c r="H31" i="9" s="1"/>
  <c r="E30" i="9"/>
  <c r="D30" i="9"/>
  <c r="C30" i="9"/>
  <c r="E29" i="9"/>
  <c r="D29" i="9"/>
  <c r="C29" i="9"/>
  <c r="G29" i="9" s="1"/>
  <c r="H30" i="9" s="1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E23" i="9"/>
  <c r="D23" i="9"/>
  <c r="C23" i="9"/>
  <c r="E22" i="9"/>
  <c r="D22" i="9"/>
  <c r="C22" i="9"/>
  <c r="E21" i="9"/>
  <c r="D21" i="9"/>
  <c r="C21" i="9"/>
  <c r="E20" i="9"/>
  <c r="D20" i="9"/>
  <c r="C20" i="9"/>
  <c r="E19" i="9"/>
  <c r="D19" i="9"/>
  <c r="C19" i="9"/>
  <c r="E18" i="9"/>
  <c r="D18" i="9"/>
  <c r="C18" i="9"/>
  <c r="E17" i="9"/>
  <c r="D17" i="9"/>
  <c r="C17" i="9"/>
  <c r="E16" i="9"/>
  <c r="D16" i="9"/>
  <c r="C16" i="9"/>
  <c r="E15" i="9"/>
  <c r="D15" i="9"/>
  <c r="C15" i="9"/>
  <c r="F14" i="9"/>
  <c r="G14" i="9" s="1"/>
  <c r="H15" i="9" s="1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E9" i="9"/>
  <c r="D9" i="9"/>
  <c r="C9" i="9"/>
  <c r="E8" i="9"/>
  <c r="D8" i="9"/>
  <c r="C8" i="9"/>
  <c r="E7" i="9"/>
  <c r="D7" i="9"/>
  <c r="C7" i="9"/>
  <c r="E6" i="9"/>
  <c r="D6" i="9"/>
  <c r="C6" i="9"/>
  <c r="E5" i="9"/>
  <c r="D5" i="9"/>
  <c r="C5" i="9"/>
  <c r="E305" i="8"/>
  <c r="E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04" i="8" s="1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J89" i="5"/>
  <c r="F89" i="5"/>
  <c r="E89" i="5"/>
  <c r="D89" i="5"/>
  <c r="H89" i="5" s="1"/>
  <c r="J88" i="5"/>
  <c r="F88" i="5"/>
  <c r="E88" i="5"/>
  <c r="D88" i="5"/>
  <c r="H88" i="5" s="1"/>
  <c r="J87" i="5"/>
  <c r="F87" i="5"/>
  <c r="E87" i="5"/>
  <c r="D87" i="5"/>
  <c r="H87" i="5" s="1"/>
  <c r="J86" i="5"/>
  <c r="F86" i="5"/>
  <c r="E86" i="5"/>
  <c r="D86" i="5"/>
  <c r="H86" i="5" s="1"/>
  <c r="J85" i="5"/>
  <c r="I85" i="5"/>
  <c r="G85" i="5"/>
  <c r="F85" i="5"/>
  <c r="E85" i="5"/>
  <c r="D85" i="5"/>
  <c r="H85" i="5" s="1"/>
  <c r="I84" i="5"/>
  <c r="G84" i="5"/>
  <c r="J84" i="5" s="1"/>
  <c r="F84" i="5"/>
  <c r="E84" i="5"/>
  <c r="D84" i="5"/>
  <c r="I83" i="5"/>
  <c r="H83" i="5"/>
  <c r="G83" i="5"/>
  <c r="J83" i="5" s="1"/>
  <c r="F83" i="5"/>
  <c r="E83" i="5"/>
  <c r="D83" i="5"/>
  <c r="I82" i="5"/>
  <c r="G82" i="5"/>
  <c r="J82" i="5" s="1"/>
  <c r="F82" i="5"/>
  <c r="E82" i="5"/>
  <c r="D82" i="5"/>
  <c r="H82" i="5" s="1"/>
  <c r="I81" i="5"/>
  <c r="G81" i="5"/>
  <c r="J81" i="5" s="1"/>
  <c r="F81" i="5"/>
  <c r="E81" i="5"/>
  <c r="D81" i="5"/>
  <c r="J80" i="5"/>
  <c r="I80" i="5"/>
  <c r="G80" i="5"/>
  <c r="F80" i="5"/>
  <c r="E80" i="5"/>
  <c r="D80" i="5"/>
  <c r="H80" i="5" s="1"/>
  <c r="I79" i="5"/>
  <c r="G79" i="5"/>
  <c r="J79" i="5" s="1"/>
  <c r="F79" i="5"/>
  <c r="E79" i="5"/>
  <c r="D79" i="5"/>
  <c r="H79" i="5" s="1"/>
  <c r="I78" i="5"/>
  <c r="H78" i="5"/>
  <c r="G78" i="5"/>
  <c r="J78" i="5" s="1"/>
  <c r="F78" i="5"/>
  <c r="E78" i="5"/>
  <c r="D78" i="5"/>
  <c r="I77" i="5"/>
  <c r="G77" i="5"/>
  <c r="J77" i="5" s="1"/>
  <c r="F77" i="5"/>
  <c r="E77" i="5"/>
  <c r="D77" i="5"/>
  <c r="I76" i="5"/>
  <c r="J76" i="5" s="1"/>
  <c r="G76" i="5"/>
  <c r="F76" i="5"/>
  <c r="E76" i="5"/>
  <c r="D76" i="5"/>
  <c r="H76" i="5" s="1"/>
  <c r="I75" i="5"/>
  <c r="G75" i="5"/>
  <c r="J75" i="5" s="1"/>
  <c r="F75" i="5"/>
  <c r="E75" i="5"/>
  <c r="D75" i="5"/>
  <c r="I74" i="5"/>
  <c r="G74" i="5"/>
  <c r="J74" i="5" s="1"/>
  <c r="F74" i="5"/>
  <c r="E74" i="5"/>
  <c r="D74" i="5"/>
  <c r="H74" i="5" s="1"/>
  <c r="J73" i="5"/>
  <c r="I73" i="5"/>
  <c r="G73" i="5"/>
  <c r="F73" i="5"/>
  <c r="E73" i="5"/>
  <c r="D73" i="5"/>
  <c r="H73" i="5" s="1"/>
  <c r="J72" i="5"/>
  <c r="I72" i="5"/>
  <c r="G72" i="5"/>
  <c r="F72" i="5"/>
  <c r="E72" i="5"/>
  <c r="D72" i="5"/>
  <c r="H72" i="5" s="1"/>
  <c r="I71" i="5"/>
  <c r="G71" i="5"/>
  <c r="J71" i="5" s="1"/>
  <c r="F71" i="5"/>
  <c r="E71" i="5"/>
  <c r="D71" i="5"/>
  <c r="H71" i="5" s="1"/>
  <c r="J70" i="5"/>
  <c r="I70" i="5"/>
  <c r="G70" i="5"/>
  <c r="F70" i="5"/>
  <c r="E70" i="5"/>
  <c r="D70" i="5"/>
  <c r="H70" i="5" s="1"/>
  <c r="J69" i="5"/>
  <c r="I69" i="5"/>
  <c r="G69" i="5"/>
  <c r="F69" i="5"/>
  <c r="E69" i="5"/>
  <c r="D69" i="5"/>
  <c r="H69" i="5" s="1"/>
  <c r="I68" i="5"/>
  <c r="H68" i="5"/>
  <c r="G68" i="5"/>
  <c r="J68" i="5" s="1"/>
  <c r="F68" i="5"/>
  <c r="E68" i="5"/>
  <c r="D68" i="5"/>
  <c r="I67" i="5"/>
  <c r="H67" i="5"/>
  <c r="G67" i="5"/>
  <c r="J67" i="5" s="1"/>
  <c r="F67" i="5"/>
  <c r="E67" i="5"/>
  <c r="D67" i="5"/>
  <c r="I66" i="5"/>
  <c r="G66" i="5"/>
  <c r="J66" i="5" s="1"/>
  <c r="F66" i="5"/>
  <c r="E66" i="5"/>
  <c r="D66" i="5"/>
  <c r="H66" i="5" s="1"/>
  <c r="I65" i="5"/>
  <c r="G65" i="5"/>
  <c r="J65" i="5" s="1"/>
  <c r="F65" i="5"/>
  <c r="E65" i="5"/>
  <c r="D65" i="5"/>
  <c r="H65" i="5" s="1"/>
  <c r="J64" i="5"/>
  <c r="I64" i="5"/>
  <c r="G64" i="5"/>
  <c r="F64" i="5"/>
  <c r="E64" i="5"/>
  <c r="D64" i="5"/>
  <c r="H64" i="5" s="1"/>
  <c r="J63" i="5"/>
  <c r="I63" i="5"/>
  <c r="G63" i="5"/>
  <c r="F63" i="5"/>
  <c r="E63" i="5"/>
  <c r="D63" i="5"/>
  <c r="H63" i="5" s="1"/>
  <c r="I62" i="5"/>
  <c r="H62" i="5"/>
  <c r="G62" i="5"/>
  <c r="J62" i="5" s="1"/>
  <c r="F62" i="5"/>
  <c r="E62" i="5"/>
  <c r="D62" i="5"/>
  <c r="I61" i="5"/>
  <c r="G61" i="5"/>
  <c r="J61" i="5" s="1"/>
  <c r="F61" i="5"/>
  <c r="E61" i="5"/>
  <c r="D61" i="5"/>
  <c r="I60" i="5"/>
  <c r="J60" i="5" s="1"/>
  <c r="G60" i="5"/>
  <c r="F60" i="5"/>
  <c r="E60" i="5"/>
  <c r="D60" i="5"/>
  <c r="H60" i="5" s="1"/>
  <c r="I59" i="5"/>
  <c r="G59" i="5"/>
  <c r="J59" i="5" s="1"/>
  <c r="F59" i="5"/>
  <c r="E59" i="5"/>
  <c r="D59" i="5"/>
  <c r="I58" i="5"/>
  <c r="G58" i="5"/>
  <c r="J58" i="5" s="1"/>
  <c r="F58" i="5"/>
  <c r="E58" i="5"/>
  <c r="D58" i="5"/>
  <c r="H58" i="5" s="1"/>
  <c r="I57" i="5"/>
  <c r="G57" i="5"/>
  <c r="J57" i="5" s="1"/>
  <c r="F57" i="5"/>
  <c r="E57" i="5"/>
  <c r="D57" i="5"/>
  <c r="H57" i="5" s="1"/>
  <c r="J56" i="5"/>
  <c r="I56" i="5"/>
  <c r="G56" i="5"/>
  <c r="F56" i="5"/>
  <c r="E56" i="5"/>
  <c r="D56" i="5"/>
  <c r="H56" i="5" s="1"/>
  <c r="I55" i="5"/>
  <c r="G55" i="5"/>
  <c r="J55" i="5" s="1"/>
  <c r="F55" i="5"/>
  <c r="E55" i="5"/>
  <c r="D55" i="5"/>
  <c r="H55" i="5" s="1"/>
  <c r="J54" i="5"/>
  <c r="I54" i="5"/>
  <c r="H54" i="5"/>
  <c r="G54" i="5"/>
  <c r="F54" i="5"/>
  <c r="E54" i="5"/>
  <c r="D54" i="5"/>
  <c r="J53" i="5"/>
  <c r="I53" i="5"/>
  <c r="G53" i="5"/>
  <c r="F53" i="5"/>
  <c r="E53" i="5"/>
  <c r="D53" i="5"/>
  <c r="H53" i="5" s="1"/>
  <c r="I52" i="5"/>
  <c r="H52" i="5"/>
  <c r="G52" i="5"/>
  <c r="J52" i="5" s="1"/>
  <c r="F52" i="5"/>
  <c r="E52" i="5"/>
  <c r="D52" i="5"/>
  <c r="I51" i="5"/>
  <c r="H51" i="5"/>
  <c r="G51" i="5"/>
  <c r="J51" i="5" s="1"/>
  <c r="F51" i="5"/>
  <c r="E51" i="5"/>
  <c r="D51" i="5"/>
  <c r="I50" i="5"/>
  <c r="G50" i="5"/>
  <c r="J50" i="5" s="1"/>
  <c r="F50" i="5"/>
  <c r="E50" i="5"/>
  <c r="D50" i="5"/>
  <c r="H50" i="5" s="1"/>
  <c r="I49" i="5"/>
  <c r="G49" i="5"/>
  <c r="J49" i="5" s="1"/>
  <c r="F49" i="5"/>
  <c r="E49" i="5"/>
  <c r="D49" i="5"/>
  <c r="J48" i="5"/>
  <c r="I48" i="5"/>
  <c r="G48" i="5"/>
  <c r="F48" i="5"/>
  <c r="E48" i="5"/>
  <c r="D48" i="5"/>
  <c r="H48" i="5" s="1"/>
  <c r="J47" i="5"/>
  <c r="I47" i="5"/>
  <c r="G47" i="5"/>
  <c r="F47" i="5"/>
  <c r="E47" i="5"/>
  <c r="D47" i="5"/>
  <c r="H47" i="5" s="1"/>
  <c r="I46" i="5"/>
  <c r="H46" i="5"/>
  <c r="G46" i="5"/>
  <c r="J46" i="5" s="1"/>
  <c r="F46" i="5"/>
  <c r="E46" i="5"/>
  <c r="D46" i="5"/>
  <c r="I45" i="5"/>
  <c r="G45" i="5"/>
  <c r="J45" i="5" s="1"/>
  <c r="F45" i="5"/>
  <c r="E45" i="5"/>
  <c r="D45" i="5"/>
  <c r="I44" i="5"/>
  <c r="J44" i="5" s="1"/>
  <c r="G44" i="5"/>
  <c r="F44" i="5"/>
  <c r="E44" i="5"/>
  <c r="D44" i="5"/>
  <c r="H44" i="5" s="1"/>
  <c r="I43" i="5"/>
  <c r="G43" i="5"/>
  <c r="J43" i="5" s="1"/>
  <c r="F43" i="5"/>
  <c r="E43" i="5"/>
  <c r="D43" i="5"/>
  <c r="I42" i="5"/>
  <c r="G42" i="5"/>
  <c r="J42" i="5" s="1"/>
  <c r="F42" i="5"/>
  <c r="E42" i="5"/>
  <c r="D42" i="5"/>
  <c r="H42" i="5" s="1"/>
  <c r="I41" i="5"/>
  <c r="G41" i="5"/>
  <c r="J41" i="5" s="1"/>
  <c r="F41" i="5"/>
  <c r="E41" i="5"/>
  <c r="D41" i="5"/>
  <c r="H41" i="5" s="1"/>
  <c r="J40" i="5"/>
  <c r="I40" i="5"/>
  <c r="G40" i="5"/>
  <c r="F40" i="5"/>
  <c r="E40" i="5"/>
  <c r="D40" i="5"/>
  <c r="H40" i="5" s="1"/>
  <c r="I39" i="5"/>
  <c r="G39" i="5"/>
  <c r="J39" i="5" s="1"/>
  <c r="F39" i="5"/>
  <c r="E39" i="5"/>
  <c r="D39" i="5"/>
  <c r="H39" i="5" s="1"/>
  <c r="J38" i="5"/>
  <c r="I38" i="5"/>
  <c r="H38" i="5"/>
  <c r="G38" i="5"/>
  <c r="F38" i="5"/>
  <c r="E38" i="5"/>
  <c r="D38" i="5"/>
  <c r="J37" i="5"/>
  <c r="I37" i="5"/>
  <c r="G37" i="5"/>
  <c r="F37" i="5"/>
  <c r="E37" i="5"/>
  <c r="D37" i="5"/>
  <c r="H37" i="5" s="1"/>
  <c r="I36" i="5"/>
  <c r="H36" i="5"/>
  <c r="G36" i="5"/>
  <c r="J36" i="5" s="1"/>
  <c r="F36" i="5"/>
  <c r="E36" i="5"/>
  <c r="D36" i="5"/>
  <c r="I35" i="5"/>
  <c r="H35" i="5"/>
  <c r="G35" i="5"/>
  <c r="J35" i="5" s="1"/>
  <c r="F35" i="5"/>
  <c r="E35" i="5"/>
  <c r="D35" i="5"/>
  <c r="I34" i="5"/>
  <c r="G34" i="5"/>
  <c r="J34" i="5" s="1"/>
  <c r="F34" i="5"/>
  <c r="E34" i="5"/>
  <c r="D34" i="5"/>
  <c r="H34" i="5" s="1"/>
  <c r="I33" i="5"/>
  <c r="G33" i="5"/>
  <c r="J33" i="5" s="1"/>
  <c r="F33" i="5"/>
  <c r="E33" i="5"/>
  <c r="D33" i="5"/>
  <c r="J32" i="5"/>
  <c r="I32" i="5"/>
  <c r="G32" i="5"/>
  <c r="F32" i="5"/>
  <c r="E32" i="5"/>
  <c r="D32" i="5"/>
  <c r="H32" i="5" s="1"/>
  <c r="I31" i="5"/>
  <c r="J31" i="5" s="1"/>
  <c r="G31" i="5"/>
  <c r="F31" i="5"/>
  <c r="E31" i="5"/>
  <c r="D31" i="5"/>
  <c r="H31" i="5" s="1"/>
  <c r="I30" i="5"/>
  <c r="H30" i="5"/>
  <c r="G30" i="5"/>
  <c r="J30" i="5" s="1"/>
  <c r="F30" i="5"/>
  <c r="E30" i="5"/>
  <c r="D30" i="5"/>
  <c r="I29" i="5"/>
  <c r="G29" i="5"/>
  <c r="J29" i="5" s="1"/>
  <c r="F29" i="5"/>
  <c r="E29" i="5"/>
  <c r="D29" i="5"/>
  <c r="I28" i="5"/>
  <c r="J28" i="5" s="1"/>
  <c r="G28" i="5"/>
  <c r="F28" i="5"/>
  <c r="E28" i="5"/>
  <c r="D28" i="5"/>
  <c r="H28" i="5" s="1"/>
  <c r="I27" i="5"/>
  <c r="G27" i="5"/>
  <c r="J27" i="5" s="1"/>
  <c r="F27" i="5"/>
  <c r="E27" i="5"/>
  <c r="D27" i="5"/>
  <c r="I26" i="5"/>
  <c r="G26" i="5"/>
  <c r="J26" i="5" s="1"/>
  <c r="F26" i="5"/>
  <c r="E26" i="5"/>
  <c r="D26" i="5"/>
  <c r="H26" i="5" s="1"/>
  <c r="I25" i="5"/>
  <c r="G25" i="5"/>
  <c r="J25" i="5" s="1"/>
  <c r="F25" i="5"/>
  <c r="E25" i="5"/>
  <c r="D25" i="5"/>
  <c r="H25" i="5" s="1"/>
  <c r="J24" i="5"/>
  <c r="I24" i="5"/>
  <c r="G24" i="5"/>
  <c r="F24" i="5"/>
  <c r="E24" i="5"/>
  <c r="D24" i="5"/>
  <c r="H24" i="5" s="1"/>
  <c r="I23" i="5"/>
  <c r="G23" i="5"/>
  <c r="J23" i="5" s="1"/>
  <c r="F23" i="5"/>
  <c r="E23" i="5"/>
  <c r="D23" i="5"/>
  <c r="H23" i="5" s="1"/>
  <c r="J22" i="5"/>
  <c r="I22" i="5"/>
  <c r="H22" i="5"/>
  <c r="G22" i="5"/>
  <c r="F22" i="5"/>
  <c r="E22" i="5"/>
  <c r="D22" i="5"/>
  <c r="I21" i="5"/>
  <c r="G21" i="5"/>
  <c r="J21" i="5" s="1"/>
  <c r="F21" i="5"/>
  <c r="E21" i="5"/>
  <c r="D21" i="5"/>
  <c r="H21" i="5" s="1"/>
  <c r="I20" i="5"/>
  <c r="H20" i="5"/>
  <c r="G20" i="5"/>
  <c r="J20" i="5" s="1"/>
  <c r="F20" i="5"/>
  <c r="E20" i="5"/>
  <c r="D20" i="5"/>
  <c r="I19" i="5"/>
  <c r="H19" i="5"/>
  <c r="G19" i="5"/>
  <c r="J19" i="5" s="1"/>
  <c r="F19" i="5"/>
  <c r="E19" i="5"/>
  <c r="D19" i="5"/>
  <c r="I18" i="5"/>
  <c r="G18" i="5"/>
  <c r="J18" i="5" s="1"/>
  <c r="F18" i="5"/>
  <c r="E18" i="5"/>
  <c r="D18" i="5"/>
  <c r="H18" i="5" s="1"/>
  <c r="I17" i="5"/>
  <c r="G17" i="5"/>
  <c r="J17" i="5" s="1"/>
  <c r="F17" i="5"/>
  <c r="E17" i="5"/>
  <c r="D17" i="5"/>
  <c r="J16" i="5"/>
  <c r="I16" i="5"/>
  <c r="G16" i="5"/>
  <c r="F16" i="5"/>
  <c r="E16" i="5"/>
  <c r="D16" i="5"/>
  <c r="H16" i="5" s="1"/>
  <c r="I15" i="5"/>
  <c r="J15" i="5" s="1"/>
  <c r="G15" i="5"/>
  <c r="F15" i="5"/>
  <c r="E15" i="5"/>
  <c r="D15" i="5"/>
  <c r="H15" i="5" s="1"/>
  <c r="I14" i="5"/>
  <c r="H14" i="5"/>
  <c r="G14" i="5"/>
  <c r="J14" i="5" s="1"/>
  <c r="F14" i="5"/>
  <c r="E14" i="5"/>
  <c r="D14" i="5"/>
  <c r="I13" i="5"/>
  <c r="G13" i="5"/>
  <c r="J13" i="5" s="1"/>
  <c r="F13" i="5"/>
  <c r="E13" i="5"/>
  <c r="D13" i="5"/>
  <c r="I12" i="5"/>
  <c r="J12" i="5" s="1"/>
  <c r="H12" i="5"/>
  <c r="G12" i="5"/>
  <c r="F12" i="5"/>
  <c r="E12" i="5"/>
  <c r="D12" i="5"/>
  <c r="I11" i="5"/>
  <c r="G11" i="5"/>
  <c r="J11" i="5" s="1"/>
  <c r="F11" i="5"/>
  <c r="E11" i="5"/>
  <c r="D11" i="5"/>
  <c r="I10" i="5"/>
  <c r="G10" i="5"/>
  <c r="J10" i="5" s="1"/>
  <c r="F10" i="5"/>
  <c r="E10" i="5"/>
  <c r="D10" i="5"/>
  <c r="H10" i="5" s="1"/>
  <c r="I9" i="5"/>
  <c r="G9" i="5"/>
  <c r="J9" i="5" s="1"/>
  <c r="F9" i="5"/>
  <c r="E9" i="5"/>
  <c r="D9" i="5"/>
  <c r="H9" i="5" s="1"/>
  <c r="J8" i="5"/>
  <c r="I8" i="5"/>
  <c r="G8" i="5"/>
  <c r="F8" i="5"/>
  <c r="E8" i="5"/>
  <c r="D8" i="5"/>
  <c r="H8" i="5" s="1"/>
  <c r="I7" i="5"/>
  <c r="G7" i="5"/>
  <c r="J7" i="5" s="1"/>
  <c r="F7" i="5"/>
  <c r="E7" i="5"/>
  <c r="D7" i="5"/>
  <c r="H7" i="5" s="1"/>
  <c r="J6" i="5"/>
  <c r="I6" i="5"/>
  <c r="H6" i="5"/>
  <c r="G6" i="5"/>
  <c r="F6" i="5"/>
  <c r="E6" i="5"/>
  <c r="D6" i="5"/>
  <c r="I5" i="5"/>
  <c r="G5" i="5"/>
  <c r="J5" i="5" s="1"/>
  <c r="F5" i="5"/>
  <c r="E5" i="5"/>
  <c r="D5" i="5"/>
  <c r="H5" i="5" s="1"/>
  <c r="CH235" i="4"/>
  <c r="CG235" i="4"/>
  <c r="CF235" i="4"/>
  <c r="CD235" i="4"/>
  <c r="CC235" i="4"/>
  <c r="CB235" i="4"/>
  <c r="CA235" i="4"/>
  <c r="BZ235" i="4"/>
  <c r="BY235" i="4"/>
  <c r="BX235" i="4"/>
  <c r="BW235" i="4"/>
  <c r="BT235" i="4"/>
  <c r="BR235" i="4"/>
  <c r="BP235" i="4"/>
  <c r="BO235" i="4"/>
  <c r="BM235" i="4"/>
  <c r="BL235" i="4"/>
  <c r="BK235" i="4"/>
  <c r="BJ235" i="4"/>
  <c r="BI235" i="4"/>
  <c r="BH235" i="4"/>
  <c r="BG235" i="4"/>
  <c r="BF235" i="4"/>
  <c r="BE235" i="4"/>
  <c r="BD235" i="4"/>
  <c r="BC235" i="4"/>
  <c r="BB235" i="4"/>
  <c r="BA235" i="4"/>
  <c r="AY235" i="4"/>
  <c r="AX235" i="4"/>
  <c r="AW235" i="4"/>
  <c r="AV235" i="4"/>
  <c r="AU235" i="4"/>
  <c r="AT235" i="4"/>
  <c r="AS235" i="4"/>
  <c r="AR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CJ235" i="4" s="1"/>
  <c r="J235" i="4"/>
  <c r="I235" i="4"/>
  <c r="H235" i="4"/>
  <c r="G235" i="4"/>
  <c r="CI234" i="4"/>
  <c r="CH234" i="4"/>
  <c r="CG234" i="4"/>
  <c r="CF234" i="4"/>
  <c r="CE234" i="4"/>
  <c r="CD234" i="4"/>
  <c r="CC234" i="4"/>
  <c r="CB234" i="4"/>
  <c r="CA234" i="4"/>
  <c r="BZ234" i="4"/>
  <c r="BY234" i="4"/>
  <c r="BX234" i="4"/>
  <c r="BW234" i="4"/>
  <c r="BV234" i="4"/>
  <c r="BU234" i="4"/>
  <c r="BT234" i="4"/>
  <c r="F70" i="9" s="1"/>
  <c r="G70" i="9" s="1"/>
  <c r="H71" i="9" s="1"/>
  <c r="BS234" i="4"/>
  <c r="BR234" i="4"/>
  <c r="BQ234" i="4"/>
  <c r="BP234" i="4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F54" i="9" s="1"/>
  <c r="G54" i="9" s="1"/>
  <c r="H55" i="9" s="1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F38" i="9" s="1"/>
  <c r="G38" i="9" s="1"/>
  <c r="H39" i="9" s="1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F22" i="9" s="1"/>
  <c r="G22" i="9" s="1"/>
  <c r="H23" i="9" s="1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CJ234" i="4" s="1"/>
  <c r="G234" i="4"/>
  <c r="CI233" i="4"/>
  <c r="CH233" i="4"/>
  <c r="CG233" i="4"/>
  <c r="CF233" i="4"/>
  <c r="CE233" i="4"/>
  <c r="CD233" i="4"/>
  <c r="CC233" i="4"/>
  <c r="CB233" i="4"/>
  <c r="CA233" i="4"/>
  <c r="BZ233" i="4"/>
  <c r="BY233" i="4"/>
  <c r="BX233" i="4"/>
  <c r="BW233" i="4"/>
  <c r="BV233" i="4"/>
  <c r="BU233" i="4"/>
  <c r="BT233" i="4"/>
  <c r="BS233" i="4"/>
  <c r="BR233" i="4"/>
  <c r="BQ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CJ233" i="4" s="1"/>
  <c r="CI232" i="4"/>
  <c r="CH232" i="4"/>
  <c r="CG232" i="4"/>
  <c r="CF232" i="4"/>
  <c r="CE232" i="4"/>
  <c r="CD232" i="4"/>
  <c r="CC232" i="4"/>
  <c r="CB232" i="4"/>
  <c r="CA232" i="4"/>
  <c r="BZ232" i="4"/>
  <c r="BY232" i="4"/>
  <c r="BX232" i="4"/>
  <c r="BW232" i="4"/>
  <c r="BV232" i="4"/>
  <c r="BU232" i="4"/>
  <c r="BT232" i="4"/>
  <c r="BS232" i="4"/>
  <c r="BR232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CJ232" i="4" s="1"/>
  <c r="G232" i="4"/>
  <c r="CI231" i="4"/>
  <c r="CH231" i="4"/>
  <c r="F84" i="9" s="1"/>
  <c r="CG231" i="4"/>
  <c r="F83" i="9" s="1"/>
  <c r="CF231" i="4"/>
  <c r="F82" i="9" s="1"/>
  <c r="CE231" i="4"/>
  <c r="F81" i="9" s="1"/>
  <c r="CD231" i="4"/>
  <c r="F80" i="9" s="1"/>
  <c r="CC231" i="4"/>
  <c r="F79" i="9" s="1"/>
  <c r="G79" i="9" s="1"/>
  <c r="H80" i="9" s="1"/>
  <c r="CB231" i="4"/>
  <c r="CA231" i="4"/>
  <c r="F77" i="9" s="1"/>
  <c r="BZ231" i="4"/>
  <c r="F76" i="9" s="1"/>
  <c r="BY231" i="4"/>
  <c r="F75" i="9" s="1"/>
  <c r="BX231" i="4"/>
  <c r="F74" i="9" s="1"/>
  <c r="BW231" i="4"/>
  <c r="F73" i="9" s="1"/>
  <c r="BV231" i="4"/>
  <c r="F72" i="9" s="1"/>
  <c r="G72" i="9" s="1"/>
  <c r="H73" i="9" s="1"/>
  <c r="BU231" i="4"/>
  <c r="F71" i="9" s="1"/>
  <c r="G71" i="9" s="1"/>
  <c r="H72" i="9" s="1"/>
  <c r="BT231" i="4"/>
  <c r="BS231" i="4"/>
  <c r="F69" i="9" s="1"/>
  <c r="BR231" i="4"/>
  <c r="F68" i="9" s="1"/>
  <c r="BQ231" i="4"/>
  <c r="F67" i="9" s="1"/>
  <c r="BP231" i="4"/>
  <c r="F66" i="9" s="1"/>
  <c r="BO231" i="4"/>
  <c r="F65" i="9" s="1"/>
  <c r="BN231" i="4"/>
  <c r="F64" i="9" s="1"/>
  <c r="G64" i="9" s="1"/>
  <c r="H65" i="9" s="1"/>
  <c r="BM231" i="4"/>
  <c r="F63" i="9" s="1"/>
  <c r="G63" i="9" s="1"/>
  <c r="H64" i="9" s="1"/>
  <c r="BL231" i="4"/>
  <c r="BK231" i="4"/>
  <c r="F61" i="9" s="1"/>
  <c r="BJ231" i="4"/>
  <c r="F60" i="9" s="1"/>
  <c r="BI231" i="4"/>
  <c r="F59" i="9" s="1"/>
  <c r="BH231" i="4"/>
  <c r="F58" i="9" s="1"/>
  <c r="BG231" i="4"/>
  <c r="F57" i="9" s="1"/>
  <c r="BF231" i="4"/>
  <c r="F56" i="9" s="1"/>
  <c r="G56" i="9" s="1"/>
  <c r="H57" i="9" s="1"/>
  <c r="BE231" i="4"/>
  <c r="F55" i="9" s="1"/>
  <c r="G55" i="9" s="1"/>
  <c r="H56" i="9" s="1"/>
  <c r="BD231" i="4"/>
  <c r="BC231" i="4"/>
  <c r="F53" i="9" s="1"/>
  <c r="BB231" i="4"/>
  <c r="F52" i="9" s="1"/>
  <c r="BA231" i="4"/>
  <c r="F51" i="9" s="1"/>
  <c r="AZ231" i="4"/>
  <c r="F50" i="9" s="1"/>
  <c r="AY231" i="4"/>
  <c r="F49" i="9" s="1"/>
  <c r="AX231" i="4"/>
  <c r="F48" i="9" s="1"/>
  <c r="G48" i="9" s="1"/>
  <c r="H49" i="9" s="1"/>
  <c r="AW231" i="4"/>
  <c r="F47" i="9" s="1"/>
  <c r="G47" i="9" s="1"/>
  <c r="H48" i="9" s="1"/>
  <c r="AV231" i="4"/>
  <c r="AU231" i="4"/>
  <c r="F45" i="9" s="1"/>
  <c r="AT231" i="4"/>
  <c r="F44" i="9" s="1"/>
  <c r="AS231" i="4"/>
  <c r="F43" i="9" s="1"/>
  <c r="AR231" i="4"/>
  <c r="F42" i="9" s="1"/>
  <c r="AQ231" i="4"/>
  <c r="F41" i="9" s="1"/>
  <c r="AP231" i="4"/>
  <c r="F40" i="9" s="1"/>
  <c r="G40" i="9" s="1"/>
  <c r="H41" i="9" s="1"/>
  <c r="AO231" i="4"/>
  <c r="F39" i="9" s="1"/>
  <c r="G39" i="9" s="1"/>
  <c r="H40" i="9" s="1"/>
  <c r="AN231" i="4"/>
  <c r="AM231" i="4"/>
  <c r="F37" i="9" s="1"/>
  <c r="AL231" i="4"/>
  <c r="F36" i="9" s="1"/>
  <c r="G36" i="9" s="1"/>
  <c r="H37" i="9" s="1"/>
  <c r="AK231" i="4"/>
  <c r="F35" i="9" s="1"/>
  <c r="AJ231" i="4"/>
  <c r="F34" i="9" s="1"/>
  <c r="AI231" i="4"/>
  <c r="F33" i="9" s="1"/>
  <c r="AH231" i="4"/>
  <c r="F32" i="9" s="1"/>
  <c r="G32" i="9" s="1"/>
  <c r="H33" i="9" s="1"/>
  <c r="AG231" i="4"/>
  <c r="F31" i="9" s="1"/>
  <c r="G31" i="9" s="1"/>
  <c r="H32" i="9" s="1"/>
  <c r="AF231" i="4"/>
  <c r="AE231" i="4"/>
  <c r="F29" i="9" s="1"/>
  <c r="AD231" i="4"/>
  <c r="F28" i="9" s="1"/>
  <c r="G28" i="9" s="1"/>
  <c r="H29" i="9" s="1"/>
  <c r="AC231" i="4"/>
  <c r="F27" i="9" s="1"/>
  <c r="AB231" i="4"/>
  <c r="F26" i="9" s="1"/>
  <c r="AA231" i="4"/>
  <c r="F25" i="9" s="1"/>
  <c r="Z231" i="4"/>
  <c r="F24" i="9" s="1"/>
  <c r="Y231" i="4"/>
  <c r="F23" i="9" s="1"/>
  <c r="G23" i="9" s="1"/>
  <c r="H24" i="9" s="1"/>
  <c r="X231" i="4"/>
  <c r="W231" i="4"/>
  <c r="F21" i="9" s="1"/>
  <c r="V231" i="4"/>
  <c r="F20" i="9" s="1"/>
  <c r="G20" i="9" s="1"/>
  <c r="H21" i="9" s="1"/>
  <c r="U231" i="4"/>
  <c r="F19" i="9" s="1"/>
  <c r="T231" i="4"/>
  <c r="F18" i="9" s="1"/>
  <c r="S231" i="4"/>
  <c r="F17" i="9" s="1"/>
  <c r="R231" i="4"/>
  <c r="F16" i="9" s="1"/>
  <c r="Q231" i="4"/>
  <c r="F15" i="9" s="1"/>
  <c r="G15" i="9" s="1"/>
  <c r="H16" i="9" s="1"/>
  <c r="P231" i="4"/>
  <c r="O231" i="4"/>
  <c r="F13" i="9" s="1"/>
  <c r="N231" i="4"/>
  <c r="F12" i="9" s="1"/>
  <c r="G12" i="9" s="1"/>
  <c r="M231" i="4"/>
  <c r="F11" i="9" s="1"/>
  <c r="L231" i="4"/>
  <c r="F10" i="9" s="1"/>
  <c r="K231" i="4"/>
  <c r="F9" i="9" s="1"/>
  <c r="J231" i="4"/>
  <c r="F8" i="9" s="1"/>
  <c r="I231" i="4"/>
  <c r="F7" i="9" s="1"/>
  <c r="G7" i="9" s="1"/>
  <c r="H7" i="9" s="1"/>
  <c r="H231" i="4"/>
  <c r="G231" i="4"/>
  <c r="F5" i="9" s="1"/>
  <c r="CJ230" i="4"/>
  <c r="CJ229" i="4"/>
  <c r="CJ228" i="4"/>
  <c r="CJ227" i="4"/>
  <c r="CJ226" i="4"/>
  <c r="CJ225" i="4"/>
  <c r="CJ224" i="4"/>
  <c r="CJ223" i="4"/>
  <c r="CJ222" i="4"/>
  <c r="CJ221" i="4"/>
  <c r="CJ220" i="4"/>
  <c r="CJ219" i="4"/>
  <c r="CJ218" i="4"/>
  <c r="CJ217" i="4"/>
  <c r="CJ216" i="4"/>
  <c r="CJ215" i="4"/>
  <c r="CJ214" i="4"/>
  <c r="CJ213" i="4"/>
  <c r="CJ212" i="4"/>
  <c r="CJ211" i="4"/>
  <c r="CJ210" i="4"/>
  <c r="CJ209" i="4"/>
  <c r="CJ208" i="4"/>
  <c r="CJ207" i="4"/>
  <c r="CJ206" i="4"/>
  <c r="CJ205" i="4"/>
  <c r="CJ204" i="4"/>
  <c r="CJ203" i="4"/>
  <c r="CJ202" i="4"/>
  <c r="CJ201" i="4"/>
  <c r="CJ200" i="4"/>
  <c r="CJ199" i="4"/>
  <c r="CJ198" i="4"/>
  <c r="CJ197" i="4"/>
  <c r="CJ196" i="4"/>
  <c r="CJ195" i="4"/>
  <c r="CJ194" i="4"/>
  <c r="CJ193" i="4"/>
  <c r="CJ192" i="4"/>
  <c r="CJ191" i="4"/>
  <c r="CJ190" i="4"/>
  <c r="CJ189" i="4"/>
  <c r="CJ188" i="4"/>
  <c r="CJ187" i="4"/>
  <c r="CJ186" i="4"/>
  <c r="CJ185" i="4"/>
  <c r="CJ184" i="4"/>
  <c r="CJ183" i="4"/>
  <c r="CJ182" i="4"/>
  <c r="CJ181" i="4"/>
  <c r="CJ180" i="4"/>
  <c r="CJ179" i="4"/>
  <c r="CJ178" i="4"/>
  <c r="CJ177" i="4"/>
  <c r="CJ176" i="4"/>
  <c r="CJ175" i="4"/>
  <c r="CJ174" i="4"/>
  <c r="CJ173" i="4"/>
  <c r="CJ172" i="4"/>
  <c r="CJ171" i="4"/>
  <c r="CJ170" i="4"/>
  <c r="CJ169" i="4"/>
  <c r="CJ168" i="4"/>
  <c r="CJ167" i="4"/>
  <c r="CJ166" i="4"/>
  <c r="CJ165" i="4"/>
  <c r="CJ164" i="4"/>
  <c r="CJ163" i="4"/>
  <c r="CJ162" i="4"/>
  <c r="CJ161" i="4"/>
  <c r="CJ160" i="4"/>
  <c r="CJ159" i="4"/>
  <c r="CJ158" i="4"/>
  <c r="CJ157" i="4"/>
  <c r="CJ156" i="4"/>
  <c r="CJ155" i="4"/>
  <c r="CJ154" i="4"/>
  <c r="CJ153" i="4"/>
  <c r="CJ152" i="4"/>
  <c r="CJ151" i="4"/>
  <c r="CJ150" i="4"/>
  <c r="CJ149" i="4"/>
  <c r="CJ148" i="4"/>
  <c r="CJ147" i="4"/>
  <c r="CJ146" i="4"/>
  <c r="CJ145" i="4"/>
  <c r="CJ144" i="4"/>
  <c r="CJ143" i="4"/>
  <c r="CJ142" i="4"/>
  <c r="CJ141" i="4"/>
  <c r="CJ140" i="4"/>
  <c r="CJ139" i="4"/>
  <c r="CJ138" i="4"/>
  <c r="CJ137" i="4"/>
  <c r="CJ136" i="4"/>
  <c r="CJ135" i="4"/>
  <c r="CJ134" i="4"/>
  <c r="CJ133" i="4"/>
  <c r="CJ132" i="4"/>
  <c r="CJ131" i="4"/>
  <c r="CJ130" i="4"/>
  <c r="CJ129" i="4"/>
  <c r="CJ128" i="4"/>
  <c r="CJ127" i="4"/>
  <c r="CJ126" i="4"/>
  <c r="CJ125" i="4"/>
  <c r="CJ124" i="4"/>
  <c r="CJ123" i="4"/>
  <c r="CJ122" i="4"/>
  <c r="CJ121" i="4"/>
  <c r="CJ120" i="4"/>
  <c r="CJ119" i="4"/>
  <c r="CJ118" i="4"/>
  <c r="CJ117" i="4"/>
  <c r="CJ116" i="4"/>
  <c r="CJ115" i="4"/>
  <c r="CJ114" i="4"/>
  <c r="CJ113" i="4"/>
  <c r="CJ112" i="4"/>
  <c r="CJ111" i="4"/>
  <c r="CJ110" i="4"/>
  <c r="CJ109" i="4"/>
  <c r="CJ108" i="4"/>
  <c r="CJ107" i="4"/>
  <c r="CJ106" i="4"/>
  <c r="CJ105" i="4"/>
  <c r="CJ104" i="4"/>
  <c r="CJ103" i="4"/>
  <c r="CJ102" i="4"/>
  <c r="CJ101" i="4"/>
  <c r="CJ100" i="4"/>
  <c r="CJ99" i="4"/>
  <c r="CJ98" i="4"/>
  <c r="CJ97" i="4"/>
  <c r="CJ96" i="4"/>
  <c r="CJ95" i="4"/>
  <c r="CJ94" i="4"/>
  <c r="CJ93" i="4"/>
  <c r="CJ92" i="4"/>
  <c r="CJ91" i="4"/>
  <c r="CJ90" i="4"/>
  <c r="CJ89" i="4"/>
  <c r="CJ88" i="4"/>
  <c r="CJ87" i="4"/>
  <c r="CJ86" i="4"/>
  <c r="CJ85" i="4"/>
  <c r="CJ84" i="4"/>
  <c r="CJ83" i="4"/>
  <c r="CJ82" i="4"/>
  <c r="CJ81" i="4"/>
  <c r="CJ80" i="4"/>
  <c r="CJ79" i="4"/>
  <c r="CJ78" i="4"/>
  <c r="CJ77" i="4"/>
  <c r="CJ76" i="4"/>
  <c r="CJ75" i="4"/>
  <c r="CJ74" i="4"/>
  <c r="CJ73" i="4"/>
  <c r="CJ72" i="4"/>
  <c r="CJ71" i="4"/>
  <c r="CJ70" i="4"/>
  <c r="CJ69" i="4"/>
  <c r="CJ68" i="4"/>
  <c r="CJ67" i="4"/>
  <c r="CJ66" i="4"/>
  <c r="CJ65" i="4"/>
  <c r="CJ64" i="4"/>
  <c r="CJ63" i="4"/>
  <c r="CJ62" i="4"/>
  <c r="CJ61" i="4"/>
  <c r="CJ60" i="4"/>
  <c r="CJ59" i="4"/>
  <c r="CJ58" i="4"/>
  <c r="CJ57" i="4"/>
  <c r="CJ56" i="4"/>
  <c r="CJ55" i="4"/>
  <c r="CJ54" i="4"/>
  <c r="CJ53" i="4"/>
  <c r="CJ52" i="4"/>
  <c r="CJ51" i="4"/>
  <c r="CJ50" i="4"/>
  <c r="CJ49" i="4"/>
  <c r="CJ48" i="4"/>
  <c r="CJ47" i="4"/>
  <c r="CJ46" i="4"/>
  <c r="CJ45" i="4"/>
  <c r="CJ44" i="4"/>
  <c r="CJ43" i="4"/>
  <c r="CJ42" i="4"/>
  <c r="CJ41" i="4"/>
  <c r="CJ40" i="4"/>
  <c r="CJ39" i="4"/>
  <c r="CJ38" i="4"/>
  <c r="CJ37" i="4"/>
  <c r="CJ36" i="4"/>
  <c r="CJ35" i="4"/>
  <c r="CJ34" i="4"/>
  <c r="CJ33" i="4"/>
  <c r="CJ32" i="4"/>
  <c r="CJ31" i="4"/>
  <c r="CJ30" i="4"/>
  <c r="CJ29" i="4"/>
  <c r="CJ28" i="4"/>
  <c r="CJ27" i="4"/>
  <c r="CJ26" i="4"/>
  <c r="CJ25" i="4"/>
  <c r="CJ24" i="4"/>
  <c r="CJ23" i="4"/>
  <c r="CJ22" i="4"/>
  <c r="CJ21" i="4"/>
  <c r="CJ20" i="4"/>
  <c r="CJ19" i="4"/>
  <c r="CJ18" i="4"/>
  <c r="CJ17" i="4"/>
  <c r="CJ16" i="4"/>
  <c r="CJ15" i="4"/>
  <c r="CJ14" i="4"/>
  <c r="CJ13" i="4"/>
  <c r="CJ12" i="4"/>
  <c r="CJ11" i="4"/>
  <c r="CJ10" i="4"/>
  <c r="CJ9" i="4"/>
  <c r="CJ8" i="4"/>
  <c r="CJ7" i="4"/>
  <c r="CJ6" i="4"/>
  <c r="CJ5" i="4"/>
  <c r="G13" i="9" l="1"/>
  <c r="H14" i="9" s="1"/>
  <c r="G18" i="9"/>
  <c r="H19" i="9" s="1"/>
  <c r="G60" i="9"/>
  <c r="H61" i="9" s="1"/>
  <c r="G65" i="9"/>
  <c r="H66" i="9" s="1"/>
  <c r="G24" i="9"/>
  <c r="H25" i="9" s="1"/>
  <c r="G45" i="9"/>
  <c r="H46" i="9" s="1"/>
  <c r="G50" i="9"/>
  <c r="H51" i="9" s="1"/>
  <c r="G66" i="9"/>
  <c r="H67" i="9" s="1"/>
  <c r="G9" i="9"/>
  <c r="H9" i="9" s="1"/>
  <c r="G35" i="9"/>
  <c r="H36" i="9" s="1"/>
  <c r="G77" i="9"/>
  <c r="H78" i="9" s="1"/>
  <c r="G82" i="9"/>
  <c r="H83" i="9" s="1"/>
  <c r="G8" i="9"/>
  <c r="H8" i="9" s="1"/>
  <c r="G34" i="9"/>
  <c r="H35" i="9" s="1"/>
  <c r="G19" i="9"/>
  <c r="H20" i="9" s="1"/>
  <c r="G25" i="9"/>
  <c r="H26" i="9" s="1"/>
  <c r="G51" i="9"/>
  <c r="H52" i="9" s="1"/>
  <c r="H12" i="9"/>
  <c r="H13" i="9"/>
  <c r="G41" i="9"/>
  <c r="H42" i="9" s="1"/>
  <c r="G67" i="9"/>
  <c r="H68" i="9" s="1"/>
  <c r="G10" i="9"/>
  <c r="H10" i="9" s="1"/>
  <c r="G57" i="9"/>
  <c r="H58" i="9" s="1"/>
  <c r="G83" i="9"/>
  <c r="H84" i="9" s="1"/>
  <c r="G5" i="9"/>
  <c r="H5" i="9" s="1"/>
  <c r="G26" i="9"/>
  <c r="H27" i="9" s="1"/>
  <c r="G52" i="9"/>
  <c r="H53" i="9" s="1"/>
  <c r="G73" i="9"/>
  <c r="H74" i="9" s="1"/>
  <c r="G21" i="9"/>
  <c r="H22" i="9" s="1"/>
  <c r="G42" i="9"/>
  <c r="H43" i="9" s="1"/>
  <c r="G68" i="9"/>
  <c r="H69" i="9" s="1"/>
  <c r="G11" i="9"/>
  <c r="H11" i="9" s="1"/>
  <c r="G16" i="9"/>
  <c r="H17" i="9" s="1"/>
  <c r="G37" i="9"/>
  <c r="H38" i="9" s="1"/>
  <c r="G58" i="9"/>
  <c r="H59" i="9" s="1"/>
  <c r="G84" i="9"/>
  <c r="H85" i="9" s="1"/>
  <c r="G27" i="9"/>
  <c r="H28" i="9" s="1"/>
  <c r="G53" i="9"/>
  <c r="H54" i="9" s="1"/>
  <c r="G74" i="9"/>
  <c r="H75" i="9" s="1"/>
  <c r="G43" i="9"/>
  <c r="H44" i="9" s="1"/>
  <c r="G69" i="9"/>
  <c r="H70" i="9" s="1"/>
  <c r="G17" i="9"/>
  <c r="H18" i="9" s="1"/>
  <c r="G59" i="9"/>
  <c r="H60" i="9" s="1"/>
  <c r="G33" i="9"/>
  <c r="H34" i="9" s="1"/>
  <c r="G75" i="9"/>
  <c r="H76" i="9" s="1"/>
  <c r="G80" i="9"/>
  <c r="H81" i="9" s="1"/>
  <c r="G44" i="9"/>
  <c r="H45" i="9" s="1"/>
  <c r="G49" i="9"/>
  <c r="H50" i="9" s="1"/>
  <c r="H17" i="5"/>
  <c r="H33" i="5"/>
  <c r="H49" i="5"/>
  <c r="H81" i="5"/>
  <c r="F6" i="9"/>
  <c r="G6" i="9" s="1"/>
  <c r="H6" i="9" s="1"/>
  <c r="H13" i="5"/>
  <c r="H29" i="5"/>
  <c r="H45" i="5"/>
  <c r="H61" i="5"/>
  <c r="H77" i="5"/>
  <c r="H84" i="5"/>
  <c r="H11" i="5"/>
  <c r="H27" i="5"/>
  <c r="H43" i="5"/>
  <c r="H59" i="5"/>
  <c r="H75" i="5"/>
  <c r="CJ231" i="4"/>
</calcChain>
</file>

<file path=xl/sharedStrings.xml><?xml version="1.0" encoding="utf-8"?>
<sst xmlns="http://schemas.openxmlformats.org/spreadsheetml/2006/main" count="8294" uniqueCount="959">
  <si>
    <t>HACCP 원료수불부 &amp; 원가관리 통합 시스템</t>
  </si>
  <si>
    <t>(주)단지  |  품목제조보고 기반 80개 제품 · 167개 원재료 자동화 관리</t>
  </si>
  <si>
    <t>📌 시트 구성</t>
  </si>
  <si>
    <t>시트명</t>
  </si>
  <si>
    <t>용도</t>
  </si>
  <si>
    <t>설명</t>
  </si>
  <si>
    <t>🏭 원료 마스터</t>
  </si>
  <si>
    <t>단가 관리</t>
  </si>
  <si>
    <t>원료별 단가(원/kg) 입력 → 전 시트 자동 반영</t>
  </si>
  <si>
    <t>📦 일일 생산 입력</t>
  </si>
  <si>
    <t>생산 실적 입력</t>
  </si>
  <si>
    <t>날짜·제품·생산량 입력 → 원료 사용량·원가 자동 계산</t>
  </si>
  <si>
    <t>📊 월별 원료수불부</t>
  </si>
  <si>
    <t>재고 관리</t>
  </si>
  <si>
    <t>원료별 전재고/입고/사용/잔고 자동 집계</t>
  </si>
  <si>
    <t>💰 원가 분석</t>
  </si>
  <si>
    <t>원가율 산출</t>
  </si>
  <si>
    <t>제품별 kg당 원재료비 &amp; 원가율 자동 계산</t>
  </si>
  <si>
    <t>🔖 배합비 참조</t>
  </si>
  <si>
    <t>숨김 시트</t>
  </si>
  <si>
    <t>수식 연산용 배합비 테이블 (수정 불필요)</t>
  </si>
  <si>
    <t>📝 사용 순서</t>
  </si>
  <si>
    <t>STEP 1</t>
  </si>
  <si>
    <t>단가 입력</t>
  </si>
  <si>
    <t>🏭 원료 마스터 → 노란칸에 원료별 단가(원/kg) 입력</t>
  </si>
  <si>
    <t>STEP 2</t>
  </si>
  <si>
    <t>초기 재고</t>
  </si>
  <si>
    <t>📊 월별 원료수불부 → 전월재고(노란칸) 입력</t>
  </si>
  <si>
    <t>STEP 3</t>
  </si>
  <si>
    <t>입고 기록</t>
  </si>
  <si>
    <t>📊 월별 원료수불부 → 날짜별 입고 열에 입고량 입력</t>
  </si>
  <si>
    <t>STEP 4</t>
  </si>
  <si>
    <t>생산 입력</t>
  </si>
  <si>
    <t>📦 일일 생산 입력 → 날짜·제품명·생산량(kg) 입력</t>
  </si>
  <si>
    <t>STEP 5</t>
  </si>
  <si>
    <t>결과 확인</t>
  </si>
  <si>
    <t>원료 사용량·잔고·원가율이 자동 계산됨</t>
  </si>
  <si>
    <t>⚠️ 주의 사항</t>
  </si>
  <si>
    <t>단위</t>
  </si>
  <si>
    <t>생산량 및 재고는 모두 kg 기준</t>
  </si>
  <si>
    <t>제품명 입력</t>
  </si>
  <si>
    <t>📦 일일 생산 입력의 제품명은 🔖 배합비 참조 시트 B1행 이름과 정확히 일치해야 함</t>
  </si>
  <si>
    <t>배합비없음</t>
  </si>
  <si>
    <t>호박영양찰떡(1개)은 배합비 미등록으로 원료 계산 제외</t>
  </si>
  <si>
    <t>원료 마스터 (단가 관리)</t>
  </si>
  <si>
    <t>⚡ 노란색 칸(단가/규격)을 입력하면 원가 분석 시트에 자동 반영됩니다.</t>
  </si>
  <si>
    <t>No</t>
  </si>
  <si>
    <t>원  료  명</t>
  </si>
  <si>
    <t>단가(원/kg)</t>
  </si>
  <si>
    <t>규격/단위</t>
  </si>
  <si>
    <t>주요 거래처</t>
  </si>
  <si>
    <t>비고</t>
  </si>
  <si>
    <t>사용 제품 수</t>
  </si>
  <si>
    <t>간장</t>
  </si>
  <si>
    <t>kg</t>
  </si>
  <si>
    <t>강낭콩((울타리콩))</t>
  </si>
  <si>
    <t>건조딸기다이스(외국산)</t>
  </si>
  <si>
    <t>건포도</t>
  </si>
  <si>
    <t>건호박채(중국산)</t>
  </si>
  <si>
    <t>검정깨(흑임자)</t>
  </si>
  <si>
    <t>검정콩</t>
  </si>
  <si>
    <t>계피가루</t>
  </si>
  <si>
    <t>고구마가루</t>
  </si>
  <si>
    <t>고구마무스</t>
  </si>
  <si>
    <t>고려엉겅퀴((곤드레)국내산)</t>
  </si>
  <si>
    <t>기타가공품(복분자가루)</t>
  </si>
  <si>
    <t>기타가공품(슈퍼소프트엠)</t>
  </si>
  <si>
    <t>기타가공품(파인소프트 E-티)</t>
  </si>
  <si>
    <t>기타가공품(프리미엄카스테라가루)</t>
  </si>
  <si>
    <t>기타가공품(흑임자가루)</t>
  </si>
  <si>
    <t>기타설탕(흑설탕)</t>
  </si>
  <si>
    <t>냉동쑥(국내산)</t>
  </si>
  <si>
    <t>냉동증숙고구마(중국산)</t>
  </si>
  <si>
    <t>녹차가루</t>
  </si>
  <si>
    <t>다크초콜릿 컴파운드칩</t>
  </si>
  <si>
    <t>단호박분말(중국산)</t>
  </si>
  <si>
    <t>당류가공품(단호박농축액)</t>
  </si>
  <si>
    <t>당류가공품(알룰로스,에리스리톨,스테비올배당체혼합)</t>
  </si>
  <si>
    <t>당류가공품(알룰로스제로파우더)</t>
  </si>
  <si>
    <t>당절임(완두배기)</t>
  </si>
  <si>
    <t>대추농축액</t>
  </si>
  <si>
    <t>대추채(국내산)</t>
  </si>
  <si>
    <t>동부(미얀마산)</t>
  </si>
  <si>
    <t>두류가공품(백옥앙금)</t>
  </si>
  <si>
    <t>두류가공품(콩고물)</t>
  </si>
  <si>
    <t>두류가공품(통팥고물)</t>
  </si>
  <si>
    <t>딸기레진</t>
  </si>
  <si>
    <t>딸기분말(스트로우베리에이드(분말))</t>
  </si>
  <si>
    <t>마스카포네치즈</t>
  </si>
  <si>
    <t>마카다미아분태(호주산)</t>
  </si>
  <si>
    <t>멥쌀(국내산)</t>
  </si>
  <si>
    <t>모시잎(국내산)</t>
  </si>
  <si>
    <t>물엿(저당물엿)</t>
  </si>
  <si>
    <t>밤다이스</t>
  </si>
  <si>
    <t>변성전분(타피오카전분)</t>
  </si>
  <si>
    <t>복음땅콩분태</t>
  </si>
  <si>
    <t>사양벌꿀(국내산)</t>
  </si>
  <si>
    <t>생크림</t>
  </si>
  <si>
    <t>서양호박(국내산,뉴질랜드산)</t>
  </si>
  <si>
    <t>설탕</t>
  </si>
  <si>
    <t>스트로우베리 에이드 후레쉬</t>
  </si>
  <si>
    <t>식물성기름혼합제제(분홍)</t>
  </si>
  <si>
    <t>식물성기름혼합제제(초록)</t>
  </si>
  <si>
    <t>식물성기름혼합제제(황색)</t>
  </si>
  <si>
    <t>쑥가루(국내산)</t>
  </si>
  <si>
    <t>아몬드슬라이스</t>
  </si>
  <si>
    <t>알룰로오스(국내산)</t>
  </si>
  <si>
    <t>연유</t>
  </si>
  <si>
    <t>옥수수전분</t>
  </si>
  <si>
    <t>완두배기</t>
  </si>
  <si>
    <t>우유(국내산)</t>
  </si>
  <si>
    <t>자색고구마가루(중국산)</t>
  </si>
  <si>
    <t>자연치즈(체다치즈)</t>
  </si>
  <si>
    <t>정제수</t>
  </si>
  <si>
    <t>젤라틴</t>
  </si>
  <si>
    <t>조림류(백옥앙금)</t>
  </si>
  <si>
    <t>조림류(통팥앙금)</t>
  </si>
  <si>
    <t>준초콜릿(외국산)</t>
  </si>
  <si>
    <t>중력분</t>
  </si>
  <si>
    <t>참깨(인도산,나이지리아산,탄자니아산,미얀마산)</t>
  </si>
  <si>
    <t>찹쌀(국내산)</t>
  </si>
  <si>
    <t>천일염</t>
  </si>
  <si>
    <t>치즈 [크림치즈]</t>
  </si>
  <si>
    <t>코코아가공품류(코코아분말)</t>
  </si>
  <si>
    <t>콩기름(대두유)</t>
  </si>
  <si>
    <t>해바라기씨앗</t>
  </si>
  <si>
    <t>현미(국내산)</t>
  </si>
  <si>
    <t>현미멥쌀(국내산)</t>
  </si>
  <si>
    <t>호두분태(미국산)</t>
  </si>
  <si>
    <t>호박씨앗(외국산)</t>
  </si>
  <si>
    <t>혼합제제(떡용에스텔)</t>
  </si>
  <si>
    <t>혼합제제(스테비아)</t>
  </si>
  <si>
    <t>화이트초콜릿</t>
  </si>
  <si>
    <t>흑미찹쌀(국내산)</t>
  </si>
  <si>
    <t>찰옥수수전분(미국산)</t>
  </si>
  <si>
    <t>삶은팥</t>
  </si>
  <si>
    <t>차조</t>
  </si>
  <si>
    <t>초코시럽</t>
  </si>
  <si>
    <t>흑멥쌀</t>
  </si>
  <si>
    <t>총 원료 종류: 86개  |  총 제품 수: 83개</t>
  </si>
  <si>
    <t>원재료명</t>
  </si>
  <si>
    <t>3종호두찹쌀떡</t>
  </si>
  <si>
    <t>곤드레약식</t>
  </si>
  <si>
    <t>꿀설기</t>
  </si>
  <si>
    <t>다이스인절미</t>
  </si>
  <si>
    <t>단호박설기</t>
  </si>
  <si>
    <t>단호박약식</t>
  </si>
  <si>
    <t>대추고약식</t>
  </si>
  <si>
    <t>딸기설기</t>
  </si>
  <si>
    <t>롤크림떡(고구마)</t>
  </si>
  <si>
    <t>롤크림떡(딸기)</t>
  </si>
  <si>
    <t>롤크림떡(말차)</t>
  </si>
  <si>
    <t>롤크림떡(초코)</t>
  </si>
  <si>
    <t>롤크림떡(치즈)</t>
  </si>
  <si>
    <t>롤크림떡(흑임자)</t>
  </si>
  <si>
    <t>마카다미아 왕찹쌀떡</t>
  </si>
  <si>
    <t>마카다미아단호박왕찹쌀떡</t>
  </si>
  <si>
    <t>마카다미아복분자왕찹쌀떡</t>
  </si>
  <si>
    <t>마카다미아쑥왕찹쌀떡</t>
  </si>
  <si>
    <t>모듬설기</t>
  </si>
  <si>
    <t>모듬찰떡</t>
  </si>
  <si>
    <t>모시개떡</t>
  </si>
  <si>
    <t>모시인절미</t>
  </si>
  <si>
    <t>못난이인절미</t>
  </si>
  <si>
    <t>무지개설기</t>
  </si>
  <si>
    <t>밥알쑥인절미</t>
  </si>
  <si>
    <t>손모시송편</t>
  </si>
  <si>
    <t>송편(백)</t>
  </si>
  <si>
    <t>쇠머리떡</t>
  </si>
  <si>
    <t>습식 멥쌀가루</t>
  </si>
  <si>
    <t>습식 멥쌀가루(무염)</t>
  </si>
  <si>
    <t>습식 멥쌀가루(쑥)</t>
  </si>
  <si>
    <t>습식 멥쌀가루(호박)</t>
  </si>
  <si>
    <t>쑥 꿀설기</t>
  </si>
  <si>
    <t>쑥개떡</t>
  </si>
  <si>
    <t>쑥버무리</t>
  </si>
  <si>
    <t>쑥송편</t>
  </si>
  <si>
    <t>쑥영양찰떡</t>
  </si>
  <si>
    <t>쑥인절미</t>
  </si>
  <si>
    <t>쑥판인절미</t>
  </si>
  <si>
    <t>영양찰떡</t>
  </si>
  <si>
    <t>오색송편</t>
  </si>
  <si>
    <t>완두배기팥시루찰떡</t>
  </si>
  <si>
    <t>왕찹쌀떡</t>
  </si>
  <si>
    <t>우유설기</t>
  </si>
  <si>
    <t>인절미</t>
  </si>
  <si>
    <t>자색고구마설기</t>
  </si>
  <si>
    <t>자색고구마송편</t>
  </si>
  <si>
    <t>제로슈가 우유설기</t>
  </si>
  <si>
    <t>제로슈가 현미설기</t>
  </si>
  <si>
    <t>제로슈거 영양찰떡</t>
  </si>
  <si>
    <t>찹쌀떡</t>
  </si>
  <si>
    <t>초코설기</t>
  </si>
  <si>
    <t>치즈설기</t>
  </si>
  <si>
    <t>카스테라 호박인절미</t>
  </si>
  <si>
    <t>카스테라설기</t>
  </si>
  <si>
    <t>카스테라쑥인절미</t>
  </si>
  <si>
    <t>카스테라왕찹쌀떡(백)</t>
  </si>
  <si>
    <t>카스테라왕찹쌀떡(쑥)</t>
  </si>
  <si>
    <t>카스테라왕찹쌀떡(호박)</t>
  </si>
  <si>
    <t>카스테라인절미</t>
  </si>
  <si>
    <t>카스테라호박앙금인절미</t>
  </si>
  <si>
    <t>콩가루 쑥앙금인절미</t>
  </si>
  <si>
    <t>콩가루 앙금인절미</t>
  </si>
  <si>
    <t>콩고물쑥떡</t>
  </si>
  <si>
    <t>콩고물쑥떡(동부)</t>
  </si>
  <si>
    <t>판인절미</t>
  </si>
  <si>
    <t>한입빙수 인절미</t>
  </si>
  <si>
    <t>현미설기</t>
  </si>
  <si>
    <t>호두찹쌀떡</t>
  </si>
  <si>
    <t>호두찹쌀떡(쑥)</t>
  </si>
  <si>
    <t>호두찹쌀떡(호박)</t>
  </si>
  <si>
    <t>호박 꿀설기</t>
  </si>
  <si>
    <t>호박 팥시루찰떡(냉동)</t>
  </si>
  <si>
    <t>호박고지 찰시루</t>
  </si>
  <si>
    <t>호박설기</t>
  </si>
  <si>
    <t>호박송편</t>
  </si>
  <si>
    <t>호박인절미</t>
  </si>
  <si>
    <t>흑미송편</t>
  </si>
  <si>
    <t>흑임자설기</t>
  </si>
  <si>
    <t>흑임자약식</t>
  </si>
  <si>
    <t>카스테라앙금인절미</t>
  </si>
  <si>
    <t>카스테라쑥앙금인절미</t>
  </si>
  <si>
    <t>흑설탕</t>
  </si>
  <si>
    <t>📦  일일 생산 실적 입력 — 원료 사용량 자동 계산 (500행 확장판)</t>
  </si>
  <si>
    <t>⚡ 노란색 칸(날짜·제품명·생산량)을 입력하면 80개 원재료 사용량이 자동 계산됩니다. 최대 500건 입력 가능.</t>
  </si>
  <si>
    <t>생산일자</t>
  </si>
  <si>
    <t>제  품  명</t>
  </si>
  <si>
    <t>생산량
(kg)</t>
  </si>
  <si>
    <t>LOT번호</t>
  </si>
  <si>
    <t>작업자</t>
  </si>
  <si>
    <t>원료별 사용량 (kg) — 자동 계산  [80개 원재료]</t>
  </si>
  <si>
    <t>원재료
원가(원)</t>
  </si>
  <si>
    <t>YYYYMM</t>
  </si>
  <si>
    <t>(보조)</t>
  </si>
  <si>
    <t>2025-10</t>
  </si>
  <si>
    <t>2025-11</t>
  </si>
  <si>
    <t>2025-12</t>
  </si>
  <si>
    <t>2026-01</t>
  </si>
  <si>
    <t>2026-02</t>
  </si>
  <si>
    <t>합   계</t>
  </si>
  <si>
    <t>📊  월별 원료 수불부 — 자동 집계</t>
  </si>
  <si>
    <t>관리 월:</t>
  </si>
  <si>
    <t>← 조회월 입력 (예: 2025-10, 2025-11 ...)</t>
  </si>
  <si>
    <t>⚡ B2에 조회할 연월 입력 → 전월재고·입고·생산소모·월말재고 자동 집계. 입고 데이터는 [📥 원재료 입고] 시트 참조.</t>
  </si>
  <si>
    <t>전월재고
(kg)</t>
  </si>
  <si>
    <t>입고합계
(kg)</t>
  </si>
  <si>
    <t>자체구매
입고(kg)</t>
  </si>
  <si>
    <t>위탁공급
입고(kg)</t>
  </si>
  <si>
    <t>생산소모
(kg)</t>
  </si>
  <si>
    <t>월말재고
(kg)</t>
  </si>
  <si>
    <t>단가
(원/kg)</t>
  </si>
  <si>
    <t>사용금액
(원)</t>
  </si>
  <si>
    <t>제품별 원재료 원가 분석</t>
  </si>
  <si>
    <t>⚡ 원료 마스터 단가 입력 시 kg당 원재료비 자동 계산. 입고 가중평균 단가 기준.</t>
  </si>
  <si>
    <t>품목제조
보고번호</t>
  </si>
  <si>
    <t>배합비
합계(%)</t>
  </si>
  <si>
    <t>kg당
재료원가(원)</t>
  </si>
  <si>
    <t>2021021205535</t>
  </si>
  <si>
    <t>2021021205560</t>
  </si>
  <si>
    <t>202102120556</t>
  </si>
  <si>
    <t>2021021205531</t>
  </si>
  <si>
    <t>2021021205510</t>
  </si>
  <si>
    <t>2021021205562</t>
  </si>
  <si>
    <t>202102120552</t>
  </si>
  <si>
    <t>202102120559</t>
  </si>
  <si>
    <t>20210212055305</t>
  </si>
  <si>
    <t>2021021205512</t>
  </si>
  <si>
    <t>20210212055215</t>
  </si>
  <si>
    <t>20210212055217</t>
  </si>
  <si>
    <t>20210212055216</t>
  </si>
  <si>
    <t>202102120558</t>
  </si>
  <si>
    <t>20210212055152</t>
  </si>
  <si>
    <t>2021021205513</t>
  </si>
  <si>
    <t>2021021205530</t>
  </si>
  <si>
    <t>2021021205540</t>
  </si>
  <si>
    <t>2021021205570</t>
  </si>
  <si>
    <t>20210212055214</t>
  </si>
  <si>
    <t>20210212055209</t>
  </si>
  <si>
    <t>2021021205544</t>
  </si>
  <si>
    <t>20210212055151</t>
  </si>
  <si>
    <t>20210212055304</t>
  </si>
  <si>
    <t>20210212055301</t>
  </si>
  <si>
    <t>20210212055302</t>
  </si>
  <si>
    <t>20210212055303</t>
  </si>
  <si>
    <t>20210212055222</t>
  </si>
  <si>
    <t>202102120551</t>
  </si>
  <si>
    <t>20210212055150</t>
  </si>
  <si>
    <t>2021021205546</t>
  </si>
  <si>
    <t>20210212055201</t>
  </si>
  <si>
    <t>2021021205529</t>
  </si>
  <si>
    <t>2021021205524</t>
  </si>
  <si>
    <t>20210212055208</t>
  </si>
  <si>
    <t>20210212055205</t>
  </si>
  <si>
    <t>20210212055226</t>
  </si>
  <si>
    <t>2021021205543</t>
  </si>
  <si>
    <t>202102120555</t>
  </si>
  <si>
    <t>2021021205528</t>
  </si>
  <si>
    <t>2021021205514</t>
  </si>
  <si>
    <t>2021021205548</t>
  </si>
  <si>
    <t>2021021205551</t>
  </si>
  <si>
    <t>20210212055218</t>
  </si>
  <si>
    <t>20210212055232</t>
  </si>
  <si>
    <t>201400808472</t>
  </si>
  <si>
    <t>202102120557</t>
  </si>
  <si>
    <t>2021021205516</t>
  </si>
  <si>
    <t>2021021205542</t>
  </si>
  <si>
    <t>2021021205511</t>
  </si>
  <si>
    <t>2021021205559</t>
  </si>
  <si>
    <t>2021021205564</t>
  </si>
  <si>
    <t>2021021205565</t>
  </si>
  <si>
    <t>2021021205566</t>
  </si>
  <si>
    <t>2021021205558</t>
  </si>
  <si>
    <t>20210212055153</t>
  </si>
  <si>
    <t>2021021205520</t>
  </si>
  <si>
    <t>2021021205519</t>
  </si>
  <si>
    <t>2021021205533</t>
  </si>
  <si>
    <t>2021021205555</t>
  </si>
  <si>
    <t>2021021205523</t>
  </si>
  <si>
    <t>2021021205532</t>
  </si>
  <si>
    <t>20210212055212</t>
  </si>
  <si>
    <t>2021021205536</t>
  </si>
  <si>
    <t>20210212055220</t>
  </si>
  <si>
    <t>20210212055219</t>
  </si>
  <si>
    <t>20210212055221</t>
  </si>
  <si>
    <t>20210212055223</t>
  </si>
  <si>
    <t>20210212055224</t>
  </si>
  <si>
    <t>20210212055227</t>
  </si>
  <si>
    <t>2021021205545</t>
  </si>
  <si>
    <t>2021021205534</t>
  </si>
  <si>
    <t>2021021205547</t>
  </si>
  <si>
    <t>2021021205515</t>
  </si>
  <si>
    <t>2021021205517</t>
  </si>
  <si>
    <t>2021021205518</t>
  </si>
  <si>
    <t>2021021205561</t>
  </si>
  <si>
    <t>평  균  /  합  계  (83개 제품)</t>
  </si>
  <si>
    <t>🔗  위탁생산 원재료 ↔ 우리 원료마스터 매칭표</t>
  </si>
  <si>
    <t>위탁업체 원재료명</t>
  </si>
  <si>
    <t>배합비율</t>
  </si>
  <si>
    <t>→ 우리 원료마스터명</t>
  </si>
  <si>
    <t>매칭결과</t>
  </si>
  <si>
    <t>1</t>
  </si>
  <si>
    <t>찹쌀 [국내산]</t>
  </si>
  <si>
    <t>43%</t>
  </si>
  <si>
    <t>✅ 매칭</t>
  </si>
  <si>
    <t>2</t>
  </si>
  <si>
    <t>19%</t>
  </si>
  <si>
    <t>3</t>
  </si>
  <si>
    <t>농산물조림</t>
  </si>
  <si>
    <t>18%</t>
  </si>
  <si>
    <t>↳4</t>
  </si>
  <si>
    <t>└ 팥 [중국산]</t>
  </si>
  <si>
    <t>—</t>
  </si>
  <si>
    <t>(농산물조림 하위성분)</t>
  </si>
  <si>
    <t>⬛ 하위성분</t>
  </si>
  <si>
    <t>↳5</t>
  </si>
  <si>
    <t>└ 설탕</t>
  </si>
  <si>
    <t>↳6</t>
  </si>
  <si>
    <t>└ 물엿</t>
  </si>
  <si>
    <t>↳7</t>
  </si>
  <si>
    <t>└ 변성전분</t>
  </si>
  <si>
    <t>↳8</t>
  </si>
  <si>
    <t>└ 정제소금 [국내산]</t>
  </si>
  <si>
    <t>9</t>
  </si>
  <si>
    <t>전분 [찰:미국산]</t>
  </si>
  <si>
    <t>9%</t>
  </si>
  <si>
    <t>🆕 신규추가</t>
  </si>
  <si>
    <t>10</t>
  </si>
  <si>
    <t>3%</t>
  </si>
  <si>
    <t>11</t>
  </si>
  <si>
    <t>멥쌀 [국내산]</t>
  </si>
  <si>
    <t>2%</t>
  </si>
  <si>
    <t>12</t>
  </si>
  <si>
    <t>정제소금</t>
  </si>
  <si>
    <t>13</t>
  </si>
  <si>
    <t>식품첨가물혼합제제 [에스엘]</t>
  </si>
  <si>
    <t>14</t>
  </si>
  <si>
    <t>밀가루</t>
  </si>
  <si>
    <t>▶ 요약: ✅ 매칭 9개 | 🆕 신규추가 1개 — 찰옥수수전분(미국산) | ⬛ 하위성분 제외 5개 (농산물조림에 포함)</t>
  </si>
  <si>
    <t>🏢  거래처 관리 — 위탁·B2B 납품처 등록</t>
  </si>
  <si>
    <t>⚡ 거래처를 등록하세요. 거래유형: [위탁생산] 원재료 공급+납품처 / [B2B납품] 납품 전용</t>
  </si>
  <si>
    <t>거래처명</t>
  </si>
  <si>
    <t>거래유형</t>
  </si>
  <si>
    <t>담당자</t>
  </si>
  <si>
    <t>연락처</t>
  </si>
  <si>
    <t>원재료공급</t>
  </si>
  <si>
    <t>등록일</t>
  </si>
  <si>
    <t>(주)엔에스쇼핑</t>
  </si>
  <si>
    <t>도상철</t>
  </si>
  <si>
    <t>gybang@nsmall.com</t>
  </si>
  <si>
    <t>사업자:117-81-33642 | 경기도 성남시 분당구 판교로228번길 15 | 소매,소비스/tv홈쇼핑,위수탁판매</t>
  </si>
  <si>
    <t>(주)이베이코리아</t>
  </si>
  <si>
    <t>변광윤,박주만</t>
  </si>
  <si>
    <t>wjeong@ebay.com</t>
  </si>
  <si>
    <t>사업자:220-81-83676 | 서울특별시 강남구 테헤란로 152(역삼동,강남파이낸스센터34~37층) | 서비스,서비스/부가통신사업,소프트웨어자문개발공급</t>
  </si>
  <si>
    <t>(주)코퍼스</t>
  </si>
  <si>
    <t>최찬우</t>
  </si>
  <si>
    <t>cofurs@naver.com</t>
  </si>
  <si>
    <t>사업자:124-86-48662 | 인천광역시 서구 도담5로 77(오류동) | 도매,제조업,건설,도소매/유제품,집단급식소식품,목재가구,인테리어</t>
  </si>
  <si>
    <t>(주)클락워크</t>
  </si>
  <si>
    <t>안현재</t>
  </si>
  <si>
    <t>anhj29@naver.com</t>
  </si>
  <si>
    <t>사업자:220-88-15105 | 서울특별시 용산구 한강대로 95(한강로2가, 래미안용산 더 센트럴) A동 1911호 | 서비스/광고및마케팅대행</t>
  </si>
  <si>
    <t>그때그때과일</t>
  </si>
  <si>
    <t>김정훈</t>
  </si>
  <si>
    <t>juyaalo@naver.com</t>
  </si>
  <si>
    <t>사업자:227-57-00860 | 인천광역시 서구 푸른로14번길 6, 1층 | 도매 및 소매업/슈퍼마켓</t>
  </si>
  <si>
    <t>내리사랑</t>
  </si>
  <si>
    <t>김승주</t>
  </si>
  <si>
    <t>naeri-love@naver.com</t>
  </si>
  <si>
    <t>사업자:121-20-84756 | 인천광역시 남동구 장자로6번길 82-5(장수동) | 소매업/전자상거래업</t>
  </si>
  <si>
    <t>내장사명인관</t>
  </si>
  <si>
    <t>김정희</t>
  </si>
  <si>
    <t>mjsb6643@nate.com</t>
  </si>
  <si>
    <t>사업자:404-02-89856 | 음식/한식</t>
  </si>
  <si>
    <t>냥스</t>
  </si>
  <si>
    <t>조나은</t>
  </si>
  <si>
    <t>bd1771@naver.com</t>
  </si>
  <si>
    <t>사업자:101-17-62739 | 경기도 의정부시 오목로 225번길 141, 402호 | 소매업/카페,애견용품,전자상거래업</t>
  </si>
  <si>
    <t>다사랑재가노인지원서비스센터</t>
  </si>
  <si>
    <t>박찬상</t>
  </si>
  <si>
    <t>dasarang1955@naver.com</t>
  </si>
  <si>
    <t>사업자:122-82-08031 | 인천광역시 계양구 계산로 148 | 비영리법인/</t>
  </si>
  <si>
    <t>더블유앤엠</t>
  </si>
  <si>
    <t>이원교</t>
  </si>
  <si>
    <t>wnm2017@naver.com</t>
  </si>
  <si>
    <t>사업자:390-24-00665 | 경기도 수원시 팔달구 정자천로32번길 27, 151동 14층 1405호(화서동, 꽃뫼버들마을금강아파트) | 도소매/전자상거래업</t>
  </si>
  <si>
    <t>동림에프엔지</t>
  </si>
  <si>
    <t>길주현</t>
  </si>
  <si>
    <t>rabiqueen@naver.com</t>
  </si>
  <si>
    <t>사업자:233-01-44342 | 서울특별시 서초구 서초대로 398,4층 423호 (서초동, 플래티넘타워) | 소매업/전자상거래업</t>
  </si>
  <si>
    <t>동짓날(좋은아침)</t>
  </si>
  <si>
    <t>안희경</t>
  </si>
  <si>
    <t>ahk0610@naver.com</t>
  </si>
  <si>
    <t>사업자:452-15-00694 | 충북 청주시 서원구 1순환로 1109,109호(분평동,호인리더스빌딩) | 음식점업/제과점업</t>
  </si>
  <si>
    <t>떡담</t>
  </si>
  <si>
    <t>민지혜</t>
  </si>
  <si>
    <t>mjwhite2713@naver.com</t>
  </si>
  <si>
    <t>사업자:163-04-00352 | 대전광역시 서구 문정로 112, 1층(탄방동) | 제조업/빵류제조업,떡류제조업</t>
  </si>
  <si>
    <t>룸테크</t>
  </si>
  <si>
    <t>김동오</t>
  </si>
  <si>
    <t>kai3635@naver.com</t>
  </si>
  <si>
    <t>사업자:461-70-00270 | 대구광역시 동구 효목로1길 88(효목동, 효목화이트빌) 201호 | 소매업/전자상거래업</t>
  </si>
  <si>
    <t>매일유업 주식회사</t>
  </si>
  <si>
    <t>김선희, 김환석</t>
  </si>
  <si>
    <t>yj.choi@maeil.com</t>
  </si>
  <si>
    <t>사업자:844-81-00466 | 제조업,도매업/</t>
  </si>
  <si>
    <t>메이유러피안다이닝</t>
  </si>
  <si>
    <t>한승윤외 1명</t>
  </si>
  <si>
    <t>d12732@naver.com</t>
  </si>
  <si>
    <t>사업자:128-19-34886 | 서울특별시 도봉구 도봉로169길 202 | 음식점업/서양음식</t>
  </si>
  <si>
    <t>명신여자고등학교</t>
  </si>
  <si>
    <t>윤인리</t>
  </si>
  <si>
    <t>msrose@hanmail.net</t>
  </si>
  <si>
    <t>사업자:137-82-00609 | 인천광역시 부평구 원적로 260(산곡동, 명신여자고등학교) | 부동산업/임대</t>
  </si>
  <si>
    <t>미홍 본점</t>
  </si>
  <si>
    <t>황영주외 1명</t>
  </si>
  <si>
    <t>sjha0214@naver.com</t>
  </si>
  <si>
    <t>사업자:105-20-54885 | 서울특별시 마포구 양화로3길 21-1(합정동) | 즉석판매제조.가공업/떡류,혼합음료</t>
  </si>
  <si>
    <t>방하착커피앤베이커리</t>
  </si>
  <si>
    <t>박소현</t>
  </si>
  <si>
    <t>mydanny2971@naver.com</t>
  </si>
  <si>
    <t>사업자:708-39-00195 | 강원도 속초시 설악산로 1042 방하착커피앤베이커리 | 휴게음식점/일반음식점</t>
  </si>
  <si>
    <t>베네치아 k's 커피</t>
  </si>
  <si>
    <t>강미라</t>
  </si>
  <si>
    <t>m3r4k@naver.com</t>
  </si>
  <si>
    <t>사업자:233-01-22085 | 경기도 광주시 곤지암읍 경충대로 738(1,2층) | 음식/커피점</t>
  </si>
  <si>
    <t>벨라포스트</t>
  </si>
  <si>
    <t>김태은</t>
  </si>
  <si>
    <t>sweeteeleng@naver.com</t>
  </si>
  <si>
    <t>사업자:138-10-93517 | 경기도 의왕시 솔고개길 7(왕곡동) | 건설업/금속창호공사</t>
  </si>
  <si>
    <t>보나베띠 명동점</t>
  </si>
  <si>
    <t>이정은</t>
  </si>
  <si>
    <t>vivideness@naver.com</t>
  </si>
  <si>
    <t>사업자:418-20-60885 | 서울 중구 명동10길 51 3층 | 음식점/양식</t>
  </si>
  <si>
    <t>비전모터스</t>
  </si>
  <si>
    <t>최원규</t>
  </si>
  <si>
    <t>choi012345@nate.com</t>
  </si>
  <si>
    <t>사업자:553-12-01239 | 경기도 수원시 권선구 평동로79번길 45, 207호 323호 | 도매 및 소매업/중고 자동차 판매업</t>
  </si>
  <si>
    <t>빙동댕 김포장기점</t>
  </si>
  <si>
    <t>손향기</t>
  </si>
  <si>
    <t>사업자:538-30-01836 | 경기도 김포시 김포한강2로24번길 116-22, 1층(장기동) | 음식점업/빙수전문점</t>
  </si>
  <si>
    <t>스위트라라</t>
  </si>
  <si>
    <t>김윤서</t>
  </si>
  <si>
    <t>sweetlala2018@naver.com</t>
  </si>
  <si>
    <t>사업자:346-13-01337 | 전라북도 전주시 완산구 화산천변3길 8-3(중화산동2가) 1층. 스위트라라 | 음식점업/카페</t>
  </si>
  <si>
    <t>신탄진(상)휴게소</t>
  </si>
  <si>
    <t>신상태</t>
  </si>
  <si>
    <t>stj2442@naver.com</t>
  </si>
  <si>
    <t>사업자:314-82-07233 | 대전광역시 대덕구 산업단지로 27(상서동, 신탄진 화물휴게소) | 음숙 소매업/고속도로휴게소</t>
  </si>
  <si>
    <t>씨엠시엔지니어링</t>
  </si>
  <si>
    <t>차명춘</t>
  </si>
  <si>
    <t>cmcid@daum.net</t>
  </si>
  <si>
    <t>사업자:408-58-00393 | 서울특별시 동작구 시흥대로 606, 오피스동565호(신대방동, 동작 협성휴포레 시그니처) | 서비스/안전점검, 하자조사등</t>
  </si>
  <si>
    <t>씨와이유통</t>
  </si>
  <si>
    <t>권창용</t>
  </si>
  <si>
    <t>yong97893@naver.com</t>
  </si>
  <si>
    <t>사업자:227-04-85261 | 강원도 속초시 도리원1길 6(노학동) | 소매업,도매업/식자재,식자재</t>
  </si>
  <si>
    <t>아이스플라워</t>
  </si>
  <si>
    <t>손창민</t>
  </si>
  <si>
    <t>thsckd49@naver.com</t>
  </si>
  <si>
    <t>사업자:651-18-01175 | 강원도 춘천시 공지로 121-1, 1층 | 음식업점/휴게음식</t>
  </si>
  <si>
    <t>아진당 떡상점</t>
  </si>
  <si>
    <t>조미순</t>
  </si>
  <si>
    <t>dooloozo@naver.com</t>
  </si>
  <si>
    <t>사업자:294-09-01816 | 서울특별시 종로구 돈화문로11길 34-6(낙원동) | 음식점업/떡</t>
  </si>
  <si>
    <t>양주다사랑재가노인지원서비스센터</t>
  </si>
  <si>
    <t>1004cbpark@daum.net</t>
  </si>
  <si>
    <t>사업자:127-82-16462 | 경기도 양주시 화합로 1402번길 16, 1층 | 비영리법인/비영리법인</t>
  </si>
  <si>
    <t>에쏠로지 능주점</t>
  </si>
  <si>
    <t>이은철</t>
  </si>
  <si>
    <t>neungju0405@naver.com</t>
  </si>
  <si>
    <t>사업자:654-05-01005 | 전라남도 화순군 능주면 죽수길 99 1층 | 음식/커피</t>
  </si>
  <si>
    <t>에이치비코퍼레이션주식회사</t>
  </si>
  <si>
    <t>이시호</t>
  </si>
  <si>
    <t>hbwhkim@naver.com</t>
  </si>
  <si>
    <t>사업자:602-81-48930 | 부산광역시 부산진구 가야대로 599(가야동) | 도소매,음식,서비스/수출영업,집단급식식품판매업,택배운송서비스</t>
  </si>
  <si>
    <t>에코유니온컴퍼니 주식회사</t>
  </si>
  <si>
    <t>윤덕창</t>
  </si>
  <si>
    <t>koryo5740@naver.com</t>
  </si>
  <si>
    <t>사업자:480-87-01512 | 서울시 강동구 성안로 180 동명빌딩 502호 | 도매 및 소매업/무역 및 수출입업</t>
  </si>
  <si>
    <t>엘리스</t>
  </si>
  <si>
    <t>김용주외 1명</t>
  </si>
  <si>
    <t>1031limsabu@gmail.com</t>
  </si>
  <si>
    <t>사업자:638-04-00083 | 서울특별시 강남구 도산대로55길 47, 지하1층(청담동) | 음식점업/기타 서양식 주류</t>
  </si>
  <si>
    <t>제주향</t>
  </si>
  <si>
    <t>박출용</t>
  </si>
  <si>
    <t>gumppark@hanmail.net</t>
  </si>
  <si>
    <t>사업자:498-47-00615 | 서울특별시 서초구 청계산로 237, 1층 | 음식점업/주스,커피</t>
  </si>
  <si>
    <t>주식회사 골든터틀컴퍼니</t>
  </si>
  <si>
    <t>이정언</t>
  </si>
  <si>
    <t>sokoorymall@naver.com</t>
  </si>
  <si>
    <t>사업자:603-81-93743 | 인천광역시 서구 원창로89번길 14-7, 3층 301호(원창동) | 서비스업외/프랜차이즈가맹본부사업외</t>
  </si>
  <si>
    <t>주식회사 구문</t>
  </si>
  <si>
    <t>강사현</t>
  </si>
  <si>
    <t>gumun999@gumun.co.kr</t>
  </si>
  <si>
    <t>사업자:103-87-00289 | 경기도 부천시 조마루로385번길 92(원미동, 부천테크노밸리 U1 center) 1011호 | 도매 및 소매업/전자상거래업</t>
  </si>
  <si>
    <t>주식회사 물류하랑</t>
  </si>
  <si>
    <t>한지혜</t>
  </si>
  <si>
    <t>Accounting@harangdc.com</t>
  </si>
  <si>
    <t>사업자:534-87-02744 | 경상남도 양산시 하북면 월평1길 25-1 | 도매/물류유통업</t>
  </si>
  <si>
    <t>주식회사 미미스</t>
  </si>
  <si>
    <t>정관용</t>
  </si>
  <si>
    <t>mimis2601@naver.com</t>
  </si>
  <si>
    <t>사업자:740-81-04200 | 인천광역시 서구 완정로 19, 4층 401호(마전동, 검단무광프라자) | 제조및 도소매업/떡,빵,과자류 제조외</t>
  </si>
  <si>
    <t>주식회사 에드밸류</t>
  </si>
  <si>
    <t>손민규</t>
  </si>
  <si>
    <t>addvalue2021@naver.com</t>
  </si>
  <si>
    <t>사업자:137-86-28022 | 경기도 김포시 금파로 171-44 | 도매 및 소매업/전자상거래업,식자재,커피</t>
  </si>
  <si>
    <t>주식회사 우아한형제들</t>
  </si>
  <si>
    <t>김봉진,김범준</t>
  </si>
  <si>
    <t>bmart_fi_support@woowahan.com</t>
  </si>
  <si>
    <t>사업자:120-87-65763 | 서울특별시 송파구 위례성대로 2(방이동, 장은빌딩) | 출판,영상,방송통신 및 정보서비스업/데이터베이스 및 온라인정보 제공업, 그외 기타 정보서비스업</t>
  </si>
  <si>
    <t>주식회사 장봐주는</t>
  </si>
  <si>
    <t>사업자:766-88-02071 | 인천 서구 푸른로14번길 6, 1층 2호 | 도매 및 소매업/농수산물 가공식품, 전자상거래</t>
  </si>
  <si>
    <t>주식회사 카카오</t>
  </si>
  <si>
    <t>임지훈</t>
  </si>
  <si>
    <t>siena.s@kakaocorp.com</t>
  </si>
  <si>
    <t>사업자:120-81-47521 | 제주특별자치도 제주도 첨단로 242, 1층 | 서비스업,도소매업,서비스/인터넷정보매개,캐릭터상품관련,프로그램개발</t>
  </si>
  <si>
    <t>주식회사 페코텍</t>
  </si>
  <si>
    <t>이향이</t>
  </si>
  <si>
    <t>swanky@peco.co.kr</t>
  </si>
  <si>
    <t>사업자:129-81-29869 | 서울특별시 성동구 동일로 169(성수동2가) | 제조/반도체조립공구</t>
  </si>
  <si>
    <t>주식회사 헨티</t>
  </si>
  <si>
    <t>조인상</t>
  </si>
  <si>
    <t>marcop30@hanmail.net</t>
  </si>
  <si>
    <t>사업자:105-87-38684 | 서울시 강서구 초원로 34 2층 | 도매, 제조/무역</t>
  </si>
  <si>
    <t>주식회사 화이트쇼콜라코리아</t>
  </si>
  <si>
    <t>고남일</t>
  </si>
  <si>
    <t>royal@whitechocola.com</t>
  </si>
  <si>
    <t>사업자:261-81-04099 | 서울특별시 서초구 마밤로2길 29, 2층(양재동) | 서비스,건설업/커피전문프랜차이즈,인테리어외</t>
  </si>
  <si>
    <t>지티컴퍼니</t>
  </si>
  <si>
    <t>이정애</t>
  </si>
  <si>
    <t>사업자:654-40-01248 | 인천광역시 서구 청라에메랄드로 30(청라동, 청라자이) 119동 1102호 | 소매업/전자상거래 소매업</t>
  </si>
  <si>
    <t>추억을 나누며</t>
  </si>
  <si>
    <t>박경하</t>
  </si>
  <si>
    <t>dlqtnfrhrl7@naver.com</t>
  </si>
  <si>
    <t>사업자:405-01-53392 | 전라북도 부안군 진서면 운호리 349-2 | 음식/차,주류</t>
  </si>
  <si>
    <t>카리스커피</t>
  </si>
  <si>
    <t>김경옥</t>
  </si>
  <si>
    <t>kokim02@naver.com</t>
  </si>
  <si>
    <t>사업자:165-11-00114 | 경기도 안양시 동안구 엘에스로 76 가동 240호 | 음식/카페</t>
  </si>
  <si>
    <t>카페 오마르</t>
  </si>
  <si>
    <t>이재두</t>
  </si>
  <si>
    <t>withdoo@naver.com</t>
  </si>
  <si>
    <t>사업자:126-13-84641 | 경기도 하남시 하남대로198번길 10(상산곡동) | 음식/커피</t>
  </si>
  <si>
    <t>카페엘크</t>
  </si>
  <si>
    <t>유민영</t>
  </si>
  <si>
    <t>gotit1004@naver.com</t>
  </si>
  <si>
    <t>사업자:658-17-01179 | 강원도 횡성군 갑천면 태기로 975 | 음식업점/카페</t>
  </si>
  <si>
    <t>카페테라스</t>
  </si>
  <si>
    <t>손영애</t>
  </si>
  <si>
    <t>gs36985@naver.com</t>
  </si>
  <si>
    <t>사업자:663-16-00592 | 강원도 강릉시 창해로 419(강문동) | 음식업점/간이음식</t>
  </si>
  <si>
    <t>코나아이(주)</t>
  </si>
  <si>
    <t>조정일</t>
  </si>
  <si>
    <t>gbpark@konai.com</t>
  </si>
  <si>
    <t>사업자:109-81-53365 | 서울 영등포구 은행로 3(여의도동,익스콘벤처타워8F) | 제조,소매,서비스/휴대전화,전자상거래,소프트웨어개발</t>
  </si>
  <si>
    <t>티엘이노베이션</t>
  </si>
  <si>
    <t>김은진</t>
  </si>
  <si>
    <t>monnmi09@naver.com</t>
  </si>
  <si>
    <t>사업자:318-26-00425 | 경기도 성남시 중원구 둔춘대로 291-1,2층 | 서비스/행사공연기획</t>
  </si>
  <si>
    <t>팔칠구사(8794)</t>
  </si>
  <si>
    <t>신명호</t>
  </si>
  <si>
    <t>mk40516@naver.com</t>
  </si>
  <si>
    <t>사업자:263-17-00929 | 경기도 파주시 문산읍 통일로2010번길 36 | 음식점업/브랜치 카페,패스트푸드</t>
  </si>
  <si>
    <t>허준본가한방카페</t>
  </si>
  <si>
    <t>홍은주</t>
  </si>
  <si>
    <t>Cgs2766@hanmail.net</t>
  </si>
  <si>
    <t>사업자:303-11-72582 | 충청북도 충주시 칠금12길 29(칠금동) | 음식업/카페</t>
  </si>
  <si>
    <t>휴휴암</t>
  </si>
  <si>
    <t>신승섭</t>
  </si>
  <si>
    <t>사업자:516-06-00211 | 강원도 양양군 광진2길 3-16(현남면) 휴휴암 | 소매업/수산물건재품,농산물,잡화</t>
  </si>
  <si>
    <t>📥  원재료 입고 관리 — 자체구매 + 위탁공급 통합</t>
  </si>
  <si>
    <t>⚡ 입고유형: [자체구매] 우리가 구매 / [위탁공급] 거래처가 공급. 노란색 칸 입력 → 재고 자동 반영</t>
  </si>
  <si>
    <t>입고일자</t>
  </si>
  <si>
    <t>거래처/공급처</t>
  </si>
  <si>
    <t>입고유형</t>
  </si>
  <si>
    <t>입고수량
(kg)</t>
  </si>
  <si>
    <t>입고금액
(원)</t>
  </si>
  <si>
    <t>유통기한</t>
  </si>
  <si>
    <t>비  고</t>
  </si>
  <si>
    <t>농업회사법인㈜이수농산</t>
  </si>
  <si>
    <t>자체구매</t>
  </si>
  <si>
    <t>도정</t>
  </si>
  <si>
    <t>네이버파이낸셜</t>
  </si>
  <si>
    <t>주식회사동아식품</t>
  </si>
  <si>
    <t>위탁공급</t>
  </si>
  <si>
    <t>현대농산</t>
  </si>
  <si>
    <t>㈜한강에프디에스</t>
  </si>
  <si>
    <t>㈜에스디컴퍼니</t>
  </si>
  <si>
    <t>제조</t>
  </si>
  <si>
    <t>대진유통</t>
  </si>
  <si>
    <t>인투푸드</t>
  </si>
  <si>
    <t>2025년산</t>
  </si>
  <si>
    <t>신동케미칼㈜</t>
  </si>
  <si>
    <t>포장일</t>
  </si>
  <si>
    <t>와마트</t>
  </si>
  <si>
    <t>합 계</t>
  </si>
  <si>
    <t>자체구매 금액 합계 / 위탁공급 수량 합계</t>
  </si>
  <si>
    <t>📦  원재료 재고 현황 — 입고·소모·잔량 자동 집계</t>
  </si>
  <si>
    <t>⚡ 입고(자체+위탁) - 생산소모(월별수불부) = 현재 재고. 기준일: 조회월 기준 자동 계산</t>
  </si>
  <si>
    <t>기준월:</t>
  </si>
  <si>
    <t>전체 누적</t>
  </si>
  <si>
    <t>← 2026.1.1 이월재고 + 총입고 - 총소모(1월~) = 현재재고</t>
  </si>
  <si>
    <t>총입고
(자체+위탁)(kg)</t>
  </si>
  <si>
    <t>현재재고
(kg)</t>
  </si>
  <si>
    <t>재고상태</t>
  </si>
  <si>
    <t>제품명</t>
  </si>
  <si>
    <t>📤  납품 출고 관리 — 위탁납품 + B2B 납품 통합</t>
  </si>
  <si>
    <t>⚡ 원가분석 등록 제품 기준 관리. 세트/혼합 제품은 개별 제품으로 분해</t>
  </si>
  <si>
    <t>납품일자</t>
  </si>
  <si>
    <t>납품유형</t>
  </si>
  <si>
    <t>납품수량
(개)</t>
  </si>
  <si>
    <t>단위중량
(g)</t>
  </si>
  <si>
    <t>납품중량
(kg)</t>
  </si>
  <si>
    <t>소이담소</t>
  </si>
  <si>
    <t>B2B납품</t>
  </si>
  <si>
    <t>제로슈거 마카다미아왕찹쌀떡</t>
  </si>
  <si>
    <t>판인절미(쑥)</t>
  </si>
  <si>
    <t>제로슈거 왕찹쌀떡</t>
  </si>
  <si>
    <t>제로슈거 콩고물쑥떡(팥)</t>
  </si>
  <si>
    <t>판인절미(백)</t>
  </si>
  <si>
    <t>못난이인절미(大)</t>
  </si>
  <si>
    <t>제로슈거 콩고물쑥떡</t>
  </si>
  <si>
    <t>못난이</t>
  </si>
  <si>
    <t>위탁납품</t>
  </si>
  <si>
    <t>곤드레약밥 (50gX20개)</t>
  </si>
  <si>
    <t>혼합약밥 20개x2</t>
  </si>
  <si>
    <t>꿀설기 (50gX20개)</t>
  </si>
  <si>
    <t>꿀설기 (50gX40개)</t>
  </si>
  <si>
    <t>혼합10종설기 40개x1</t>
  </si>
  <si>
    <t>다이스인절미 (2kg)</t>
  </si>
  <si>
    <t>4종*마카다미아왕찹쌀떡 (80gX20개)</t>
  </si>
  <si>
    <t>쑥개떡 (1kg)</t>
  </si>
  <si>
    <t>콩고물 쑥앙금인절미 (40gX20개)</t>
  </si>
  <si>
    <t>왕찹쌀떡 (60gX30개)</t>
  </si>
  <si>
    <t>우유설기 (50gX20개)</t>
  </si>
  <si>
    <t>우유설기 (50gX40개)</t>
  </si>
  <si>
    <t>카스테라 쑥앙금인절미 (40gX20개)</t>
  </si>
  <si>
    <t>카스테라 앙금인절미 (40gX20개)</t>
  </si>
  <si>
    <t>콩고물쑥떡(팥앙금) (60gX30개)</t>
  </si>
  <si>
    <t>콩고물쑥떡(동부앙금) (60gX30개)</t>
  </si>
  <si>
    <t>못난이인절미(대) (30gX60개)</t>
  </si>
  <si>
    <t>백*호두찹쌀떡 (60gX20개)</t>
  </si>
  <si>
    <t>혼합약밥 20개x7</t>
  </si>
  <si>
    <t>다이스인절미 (1kg)</t>
  </si>
  <si>
    <t>대추고약밥 (50gX20개)</t>
  </si>
  <si>
    <t>우유*백설기 (50gX20개)</t>
  </si>
  <si>
    <t>카스테라설기 (50gX10개)</t>
  </si>
  <si>
    <t>콩고물쑥떡 (1.8kg)</t>
  </si>
  <si>
    <t>한입빙수인절미 (1kg)</t>
  </si>
  <si>
    <t>3종*호두찹쌀떡 (60gX20개)</t>
  </si>
  <si>
    <t>혼합약밥 20개x1</t>
  </si>
  <si>
    <t>모시개떡 (1kg)</t>
  </si>
  <si>
    <t>콩고물쑥떡(팥앙금) (60gX15개)</t>
  </si>
  <si>
    <t>콩고물쑥떡(동부앙금) (60gX15개)</t>
  </si>
  <si>
    <t>한입빙수인절미 (2kg)</t>
  </si>
  <si>
    <t>호박*꿀설기 (50gX10개)</t>
  </si>
  <si>
    <t>흑임자약밥 (50gX20개)</t>
  </si>
  <si>
    <t>혼합10종설기 20개x1</t>
  </si>
  <si>
    <t>쑥개떡(1kg)+모시개떡(1kg)</t>
  </si>
  <si>
    <t>쑥인절미 (1kg)</t>
  </si>
  <si>
    <t>혼합약밥 20개x8</t>
  </si>
  <si>
    <t>단호박약밥 (50gX20개)</t>
  </si>
  <si>
    <t>5색송편 (1kg)</t>
  </si>
  <si>
    <t>멥쌀가루 (1kg)</t>
  </si>
  <si>
    <t>우유설기+꿀설기 (50gX40개)</t>
  </si>
  <si>
    <t>혼합10종설기 20개x2</t>
  </si>
  <si>
    <t>5종 떡선물세트 (30개)</t>
  </si>
  <si>
    <t>콩고물 앙금인절미 (40gX20개)</t>
  </si>
  <si>
    <t>한입빙수</t>
  </si>
  <si>
    <t>우유꿀설기 (50gX40개)</t>
  </si>
  <si>
    <t>4종마카다미아</t>
  </si>
  <si>
    <t>카스텔라쑥앙금인절미</t>
  </si>
  <si>
    <t>쑥*꿀설기 (50gX10개)</t>
  </si>
  <si>
    <t>송편</t>
  </si>
  <si>
    <t>쑥개떡(1kg)+쑥개떡(1kg)</t>
  </si>
  <si>
    <t>못난이인절미(소) (30gX30개)</t>
  </si>
  <si>
    <t>사계</t>
  </si>
  <si>
    <t>롤크림떡(고구마) 6개입</t>
  </si>
  <si>
    <t>롤크림떡(딸기) 6개입</t>
  </si>
  <si>
    <t>롤크림떡(말차) 6개입</t>
  </si>
  <si>
    <t>롤크림떡(초코) 6개입</t>
  </si>
  <si>
    <t>롤크림떡(치즈) 6개입</t>
  </si>
  <si>
    <t>롤크림떡(흑임자) 6개입</t>
  </si>
  <si>
    <t>4종마카다미아 (80g*20개)</t>
  </si>
  <si>
    <t>혼합10종설기 40개x2</t>
  </si>
  <si>
    <t>콩고물쑥떡(팥앙금)+콩고물쑥떡(팥앙금)</t>
  </si>
  <si>
    <t>쑥떡 3종세트 (2.8kg)</t>
  </si>
  <si>
    <t>푸드샵</t>
  </si>
  <si>
    <t>롤크림떡(고구마) 6개입x1박스</t>
  </si>
  <si>
    <t>롤크림떡(딸기) 6개입x1박스</t>
  </si>
  <si>
    <t>롤크림떡(말차) 6개입x1박스</t>
  </si>
  <si>
    <t>롤크림떡(초코) 6개입x1박스</t>
  </si>
  <si>
    <t>롤크림떡(치즈) 6개입x1박스</t>
  </si>
  <si>
    <t>롤크림떡(흑임자) 6개입x1박스</t>
  </si>
  <si>
    <t>4종마카다미아왕찹쌀떡</t>
  </si>
  <si>
    <t>혼합약밥 20개x14</t>
  </si>
  <si>
    <t>꿀설기*3종 (50gX15개)</t>
  </si>
  <si>
    <t>건강약밥 (50gX40개)</t>
  </si>
  <si>
    <t>4종*마카다미아왕찹쌀떡 (80gX15개)</t>
  </si>
  <si>
    <t>백*마카다미아왕찹쌀떡 (80gX15개)</t>
  </si>
  <si>
    <t>백*마카다미아왕찹쌀떡 (80gX20개)</t>
  </si>
  <si>
    <t>콩고물쑥떡(반반앙금) (60gX30개)</t>
  </si>
  <si>
    <t>콩고물쑥떡(팥앙금)+콩고물쑥떡(동부앙금)</t>
  </si>
  <si>
    <t>콩고물쑥떡(동부앙금)+콩고물쑥떡(동부앙금)</t>
  </si>
  <si>
    <t>5색송편(1kg)+5색송편(1kg)</t>
  </si>
  <si>
    <t>멥쌀가루 (2kg)</t>
  </si>
  <si>
    <t>카스테라앙금인절미 (40gX20ea)</t>
  </si>
  <si>
    <t>카스테라 앙금인절미 (40gX40개)</t>
  </si>
  <si>
    <t>백인절미 (1kg)</t>
  </si>
  <si>
    <t>혼합10종설기 40개x3</t>
  </si>
  <si>
    <t>대추고약밥 (50gX40개)</t>
  </si>
  <si>
    <t>혼합10종설기 40개x4</t>
  </si>
  <si>
    <t>설맞이6종 949세트</t>
  </si>
  <si>
    <t>백마카다미아왕찹쌀떡</t>
  </si>
  <si>
    <t>4종혼합마카미아왕찹쌀떡</t>
  </si>
  <si>
    <t>모시개떡(1kg)+모시개떡(1kg)</t>
  </si>
  <si>
    <t>선물세트 196SET (6알/세트)</t>
  </si>
  <si>
    <t>선물세트 196SET (1알/세트)</t>
  </si>
  <si>
    <t>이지다인</t>
  </si>
  <si>
    <t>백인절미 1kg</t>
  </si>
  <si>
    <t>쑥인절미 1kg</t>
  </si>
  <si>
    <t>초코롤크림떡 60g</t>
  </si>
  <si>
    <t>혼합마카다미아(4종) 60g</t>
  </si>
  <si>
    <t>판인절미(백) 1kg</t>
  </si>
  <si>
    <t>판인절미(쑥) 1kg</t>
  </si>
  <si>
    <t>마카다미아왕찹쌀떡 80g</t>
  </si>
  <si>
    <t>롤크림떡(말차) 60g</t>
  </si>
  <si>
    <t>롤크림떡(초코) 60g</t>
  </si>
  <si>
    <t>롤크림떡(딸기) 60g</t>
  </si>
  <si>
    <t>롤크림떡(흑임자) 60g</t>
  </si>
  <si>
    <t>롤크림떡(고구마) 60g</t>
  </si>
  <si>
    <t>롤크림떡(치즈) 60g</t>
  </si>
  <si>
    <t>카스테라앙금인절미 40g</t>
  </si>
  <si>
    <t>4종마카다미아왕찹쌀떡 80g</t>
  </si>
  <si>
    <t>콩고물쑥떡(벌크) 60g</t>
  </si>
  <si>
    <t>판인절마(쑥) 1kg</t>
  </si>
  <si>
    <t>마카다미아왕찹쌀떡(쑥) 80g</t>
  </si>
  <si>
    <t>마카다미아왕찹쌀떡(복분자) 80g</t>
  </si>
  <si>
    <t>마카다미아왕찹쌀떡(호박) 80g</t>
  </si>
  <si>
    <t>미미스(떡마루)</t>
  </si>
  <si>
    <t>168카톤 (12봉x16알x50g)</t>
  </si>
  <si>
    <t>285카톤 (12봉x16알x50g)</t>
  </si>
  <si>
    <t>268카톤 (12봉x16알x50g)</t>
  </si>
  <si>
    <t>321카톤 (12봉x16알x50g)</t>
  </si>
  <si>
    <t>240카톤 (12봉x16알x50g)</t>
  </si>
  <si>
    <t>274카톤 (12봉x16알x50g)</t>
  </si>
  <si>
    <t>📋  납품 집계 — 제품별 납품량</t>
  </si>
  <si>
    <t>▶ 제품별 납품량 집계</t>
  </si>
  <si>
    <t>납품건수</t>
  </si>
  <si>
    <t>납품중량(kg)</t>
  </si>
  <si>
    <t>합  계</t>
  </si>
  <si>
    <t>📅 W1  |  2026.01.01(목) ~ 2026.01.04(일)</t>
  </si>
  <si>
    <t>📊 주간 요약</t>
  </si>
  <si>
    <t>📦 생산량</t>
  </si>
  <si>
    <t>2종</t>
  </si>
  <si>
    <t>📤 판매출고</t>
  </si>
  <si>
    <t>23종</t>
  </si>
  <si>
    <t>📥 재료입고</t>
  </si>
  <si>
    <t>1종</t>
  </si>
  <si>
    <t>📦 생산 실적</t>
  </si>
  <si>
    <t>날짜</t>
  </si>
  <si>
    <t>생산량(kg)</t>
  </si>
  <si>
    <t>소  계</t>
  </si>
  <si>
    <t>📤 판매 출고</t>
  </si>
  <si>
    <t>출고량(kg)</t>
  </si>
  <si>
    <t>📥 원재료 입고</t>
  </si>
  <si>
    <t>입고량(kg)</t>
  </si>
  <si>
    <t>📅 W2  |  2026.01.05(월) ~ 2026.01.11(일)</t>
  </si>
  <si>
    <t>12종</t>
  </si>
  <si>
    <t>29종</t>
  </si>
  <si>
    <t>3종</t>
  </si>
  <si>
    <t>📅 W3  |  2026.01.12(월) ~ 2026.01.18(일)</t>
  </si>
  <si>
    <t>10종</t>
  </si>
  <si>
    <t>28종</t>
  </si>
  <si>
    <t>13종</t>
  </si>
  <si>
    <t>📅 W4  |  2026.01.19(월) ~ 2026.01.25(일)</t>
  </si>
  <si>
    <t>8종</t>
  </si>
  <si>
    <t>35종</t>
  </si>
  <si>
    <t>7종</t>
  </si>
  <si>
    <t>📅 W5  |  2026.01.26(월) ~ 2026.02.01(일)</t>
  </si>
  <si>
    <t>5종</t>
  </si>
  <si>
    <t>36종</t>
  </si>
  <si>
    <t>📅 W6  |  2026.02.02(월) ~ 2026.02.08(일)</t>
  </si>
  <si>
    <t>11종</t>
  </si>
  <si>
    <t>📅 W7  |  2026.02.09(월) ~ 2026.02.15(일)</t>
  </si>
  <si>
    <t>6종</t>
  </si>
  <si>
    <t>38종</t>
  </si>
  <si>
    <t>📅 W8  |  2026.02.16(월) ~ 2026.02.22(일)</t>
  </si>
  <si>
    <t>19종</t>
  </si>
  <si>
    <t>📅 W9  |  2026.02.23(월) ~ 2026.03.01(일)</t>
  </si>
  <si>
    <t>4종</t>
  </si>
  <si>
    <t>📅 W1  주간 원재료 사용  |  2026.01.01(목) ~ 2026.01.04(일)</t>
  </si>
  <si>
    <t>📊 주간 원재료 사용 요약  |  8종 원재료, 총 240.0kg</t>
  </si>
  <si>
    <t>📆 01/02(금)</t>
  </si>
  <si>
    <t>원 재 료 명</t>
  </si>
  <si>
    <t>사용량(kg)</t>
  </si>
  <si>
    <t>01/02 소계</t>
  </si>
  <si>
    <t>📦 주간 원재료 사용 합계 (품목별)</t>
  </si>
  <si>
    <t>주간합계(kg)</t>
  </si>
  <si>
    <t>W1 주간 합계</t>
  </si>
  <si>
    <t>📅 W2  주간 원재료 사용  |  2026.01.05(월) ~ 2026.01.11(일)</t>
  </si>
  <si>
    <t>📊 주간 원재료 사용 요약  |  32종 원재료, 총 740.0kg</t>
  </si>
  <si>
    <t>📆 01/05(월)</t>
  </si>
  <si>
    <t>01/05 소계</t>
  </si>
  <si>
    <t>📆 01/06(화)</t>
  </si>
  <si>
    <t>01/06 소계</t>
  </si>
  <si>
    <t>📆 01/07(수)</t>
  </si>
  <si>
    <t>01/07 소계</t>
  </si>
  <si>
    <t>📆 01/09(금)</t>
  </si>
  <si>
    <t>01/09 소계</t>
  </si>
  <si>
    <t>W2 주간 합계</t>
  </si>
  <si>
    <t>📅 W3  주간 원재료 사용  |  2026.01.12(월) ~ 2026.01.18(일)</t>
  </si>
  <si>
    <t>📊 주간 원재료 사용 요약  |  29종 원재료, 총 1,057.5kg</t>
  </si>
  <si>
    <t>📆 01/12(월)</t>
  </si>
  <si>
    <t>01/12 소계</t>
  </si>
  <si>
    <t>📆 01/13(화)</t>
  </si>
  <si>
    <t>01/13 소계</t>
  </si>
  <si>
    <t>📆 01/14(수)</t>
  </si>
  <si>
    <t>01/14 소계</t>
  </si>
  <si>
    <t>📆 01/15(목)</t>
  </si>
  <si>
    <t>01/15 소계</t>
  </si>
  <si>
    <t>📆 01/16(금)</t>
  </si>
  <si>
    <t>01/16 소계</t>
  </si>
  <si>
    <t>W3 주간 합계</t>
  </si>
  <si>
    <t>📅 W4  주간 원재료 사용  |  2026.01.19(월) ~ 2026.01.25(일)</t>
  </si>
  <si>
    <t>📊 주간 원재료 사용 요약  |  27종 원재료, 총 2,560.0kg</t>
  </si>
  <si>
    <t>📆 01/19(월)</t>
  </si>
  <si>
    <t>01/19 소계</t>
  </si>
  <si>
    <t>📆 01/20(화)</t>
  </si>
  <si>
    <t>01/20 소계</t>
  </si>
  <si>
    <t>📆 01/22(목)</t>
  </si>
  <si>
    <t>01/22 소계</t>
  </si>
  <si>
    <t>📆 01/23(금)</t>
  </si>
  <si>
    <t>01/23 소계</t>
  </si>
  <si>
    <t>W4 주간 합계</t>
  </si>
  <si>
    <t>📅 W5  주간 원재료 사용  |  2026.01.26(월) ~ 2026.02.01(일)</t>
  </si>
  <si>
    <t>📊 주간 원재료 사용 요약  |  19종 원재료, 총 5,500.0kg</t>
  </si>
  <si>
    <t>📆 01/26(월)</t>
  </si>
  <si>
    <t>01/26 소계</t>
  </si>
  <si>
    <t>📆 01/27(화)</t>
  </si>
  <si>
    <t>01/27 소계</t>
  </si>
  <si>
    <t>📆 01/28(수)</t>
  </si>
  <si>
    <t>01/28 소계</t>
  </si>
  <si>
    <t>📆 01/29(목)</t>
  </si>
  <si>
    <t>01/29 소계</t>
  </si>
  <si>
    <t>📆 01/30(금)</t>
  </si>
  <si>
    <t>01/30 소계</t>
  </si>
  <si>
    <t>W5 주간 합계</t>
  </si>
  <si>
    <t>📅 W6  주간 원재료 사용  |  2026.02.02(월) ~ 2026.02.08(일)</t>
  </si>
  <si>
    <t>📊 주간 원재료 사용 요약  |  34종 원재료, 총 7,150.0kg</t>
  </si>
  <si>
    <t>📆 02/02(월)</t>
  </si>
  <si>
    <t>02/02 소계</t>
  </si>
  <si>
    <t>📆 02/03(화)</t>
  </si>
  <si>
    <t>02/03 소계</t>
  </si>
  <si>
    <t>📆 02/04(수)</t>
  </si>
  <si>
    <t>02/04 소계</t>
  </si>
  <si>
    <t>📆 02/05(목)</t>
  </si>
  <si>
    <t>02/05 소계</t>
  </si>
  <si>
    <t>📆 02/06(금)</t>
  </si>
  <si>
    <t>02/06 소계</t>
  </si>
  <si>
    <t>📆 02/08(일)</t>
  </si>
  <si>
    <t>02/08 소계</t>
  </si>
  <si>
    <t>W6 주간 합계</t>
  </si>
  <si>
    <t>📅 W7  주간 원재료 사용  |  2026.02.09(월) ~ 2026.02.15(일)</t>
  </si>
  <si>
    <t>📊 주간 원재료 사용 요약  |  16종 원재료, 총 3,990.0kg</t>
  </si>
  <si>
    <t>📆 02/09(월)</t>
  </si>
  <si>
    <t>02/09 소계</t>
  </si>
  <si>
    <t>📆 02/10(화)</t>
  </si>
  <si>
    <t>02/10 소계</t>
  </si>
  <si>
    <t>📆 02/11(수)</t>
  </si>
  <si>
    <t>02/11 소계</t>
  </si>
  <si>
    <t>W7 주간 합계</t>
  </si>
  <si>
    <t>📅 W8  주간 원재료 사용  |  2026.02.16(월) ~ 2026.02.22(일)</t>
  </si>
  <si>
    <t>📊 주간 원재료 사용 요약  |  13종 원재료, 총 2,700.0kg</t>
  </si>
  <si>
    <t>📆 02/19(목)</t>
  </si>
  <si>
    <t>02/19 소계</t>
  </si>
  <si>
    <t>📆 02/20(금)</t>
  </si>
  <si>
    <t>02/20 소계</t>
  </si>
  <si>
    <t>W8 주간 합계</t>
  </si>
  <si>
    <t>📅 W9  주간 원재료 사용  |  2026.02.23(월) ~ 2026.03.01(일)</t>
  </si>
  <si>
    <t>📊 주간 원재료 사용 요약  |  9종 원재료, 총 1,100.0kg</t>
  </si>
  <si>
    <t>📆 02/24(화)</t>
  </si>
  <si>
    <t>02/24 소계</t>
  </si>
  <si>
    <t>W9 주간 합계</t>
  </si>
  <si>
    <t>2026년 1월 육안검사일지 (1/3)</t>
  </si>
  <si>
    <t>결
재</t>
  </si>
  <si>
    <t>작성자</t>
  </si>
  <si>
    <t>승인자</t>
  </si>
  <si>
    <t>입고일시</t>
  </si>
  <si>
    <t>품  명</t>
  </si>
  <si>
    <t>수입필증
원산지</t>
  </si>
  <si>
    <t>성적서
구비여부</t>
  </si>
  <si>
    <t>유통기한
제조년월일
품질유지기한</t>
  </si>
  <si>
    <t>차량
온도</t>
  </si>
  <si>
    <t>차량
상태</t>
  </si>
  <si>
    <t>파레트
상태</t>
  </si>
  <si>
    <t>정상</t>
  </si>
  <si>
    <t>이물
혼입</t>
  </si>
  <si>
    <t>표시기준
(관리자유무
문질 포함여부)</t>
  </si>
  <si>
    <t>적합
여부</t>
  </si>
  <si>
    <t>부적합시
조치내용</t>
  </si>
  <si>
    <t>국내산</t>
  </si>
  <si>
    <t>○</t>
  </si>
  <si>
    <t>상온</t>
  </si>
  <si>
    <t>-</t>
  </si>
  <si>
    <t>중국산</t>
  </si>
  <si>
    <t>적합 : ○    부적합 : ×    해당없음 : —</t>
  </si>
  <si>
    <t>2026년 1월 육안검사일지 (2/3)</t>
  </si>
  <si>
    <t>미국산</t>
  </si>
  <si>
    <t>2026년 1월 육안검사일지 (3/3)</t>
  </si>
  <si>
    <t>2026년 2월 육안검사일지 (1/3)</t>
  </si>
  <si>
    <t>호주산</t>
  </si>
  <si>
    <t>미얀마산</t>
  </si>
  <si>
    <t>2026년 2월 육안검사일지 (2/3)</t>
  </si>
  <si>
    <t>외국산</t>
  </si>
  <si>
    <t>2026년 2월 육안검사일지 (3/3)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</si>
</sst>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yyyy\-mm\-dd"/>
    <numFmt numFmtId="178" formatCode="#,##0.0"/>
    <numFmt numFmtId="179" formatCode="#,##0.00\%"/>
    <numFmt numFmtId="180" formatCode="0.0\%"/>
    <numFmt numFmtId="181" formatCode="0.00\%"/>
    <numFmt numFmtId="182" formatCode="yyyy\-mm"/>
    <numFmt numFmtId="183" formatCode="#,##0.0&quot; kg&quot;"/>
    <numFmt numFmtId="184" formatCode="yyyy\.mm\.dd"/>
    <numFmt numFmtId="186" formatCode="mm\-dd"/>
  </numFmts>
  <fonts count="56">
    <font>
      <sz val="11"/>
      <color theme="1"/>
      <name val="맑은 고딕"/>
      <family val="2"/>
      <charset val="1"/>
    </font>
    <font>
      <b/>
      <sz val="18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sz val="10"/>
      <color rgb="FF000000"/>
      <name val="Noto Sans CJK SC"/>
      <family val="2"/>
      <charset val="1"/>
    </font>
    <font>
      <b/>
      <sz val="14"/>
      <color rgb="FFFFFFFF"/>
      <name val="Noto Sans CJK SC"/>
      <family val="2"/>
      <charset val="1"/>
    </font>
    <font>
      <sz val="9"/>
      <color rgb="FF333333"/>
      <name val="Noto Sans CJK SC"/>
      <family val="2"/>
      <charset val="1"/>
    </font>
    <font>
      <b/>
      <sz val="10"/>
      <name val="맑은 고딕"/>
      <family val="3"/>
      <charset val="129"/>
    </font>
    <font>
      <b/>
      <sz val="10"/>
      <name val="Noto Sans CJK SC"/>
      <family val="2"/>
      <charset val="1"/>
    </font>
    <font>
      <sz val="9"/>
      <name val="맑은 고딕"/>
      <family val="3"/>
      <charset val="129"/>
    </font>
    <font>
      <sz val="9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0"/>
      <color rgb="FF1F4E79"/>
      <name val="Noto Sans CJK SC"/>
      <family val="2"/>
      <charset val="1"/>
    </font>
    <font>
      <b/>
      <sz val="8"/>
      <name val="Noto Sans CJK SC"/>
      <family val="2"/>
      <charset val="1"/>
    </font>
    <font>
      <b/>
      <sz val="8"/>
      <name val="맑은 고딕"/>
      <family val="3"/>
      <charset val="129"/>
    </font>
    <font>
      <sz val="9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9"/>
      <color rgb="FF888888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Noto Sans CJK SC"/>
      <family val="2"/>
      <charset val="1"/>
    </font>
    <font>
      <b/>
      <sz val="12"/>
      <color rgb="FF7F6000"/>
      <name val="맑은 고딕"/>
      <family val="3"/>
      <charset val="129"/>
    </font>
    <font>
      <sz val="9"/>
      <color rgb="FF888888"/>
      <name val="Noto Sans CJK SC"/>
      <family val="2"/>
      <charset val="1"/>
    </font>
    <font>
      <sz val="10"/>
      <color rgb="FF1F6B75"/>
      <name val="맑은 고딕"/>
      <family val="3"/>
      <charset val="129"/>
    </font>
    <font>
      <sz val="9"/>
      <color rgb="FFC55A11"/>
      <name val="맑은 고딕"/>
      <family val="3"/>
      <charset val="129"/>
    </font>
    <font>
      <b/>
      <sz val="10"/>
      <color rgb="FFC55A1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0066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Noto Sans CJK SC"/>
      <family val="2"/>
      <charset val="1"/>
    </font>
    <font>
      <b/>
      <sz val="11"/>
      <color rgb="FFFFFFFF"/>
      <name val="Cambria"/>
      <family val="1"/>
    </font>
    <font>
      <b/>
      <i/>
      <sz val="11"/>
      <name val="Noto Sans CJK SC"/>
      <family val="2"/>
      <charset val="1"/>
    </font>
    <font>
      <sz val="9"/>
      <color rgb="FFFFFFFF"/>
      <name val="맑은 고딕"/>
      <family val="3"/>
      <charset val="129"/>
    </font>
    <font>
      <sz val="9"/>
      <color rgb="FF1F4E79"/>
      <name val="Noto Sans CJK SC"/>
      <family val="2"/>
      <charset val="1"/>
    </font>
    <font>
      <b/>
      <sz val="10"/>
      <color rgb="FF1F6B75"/>
      <name val="맑은 고딕"/>
      <family val="3"/>
      <charset val="129"/>
    </font>
    <font>
      <b/>
      <sz val="11"/>
      <color rgb="FF7F6000"/>
      <name val="Noto Sans CJK SC"/>
      <family val="2"/>
      <charset val="1"/>
    </font>
    <font>
      <b/>
      <sz val="11"/>
      <name val="Noto Sans CJK SC"/>
      <family val="2"/>
      <charset val="1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7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37474F"/>
      </patternFill>
    </fill>
    <fill>
      <patternFill patternType="solid">
        <fgColor rgb="FF2E75B6"/>
        <bgColor rgb="FF1565C0"/>
      </patternFill>
    </fill>
    <fill>
      <patternFill patternType="solid">
        <fgColor rgb="FFF2F2F2"/>
        <bgColor rgb="FFF5F5F5"/>
      </patternFill>
    </fill>
    <fill>
      <patternFill patternType="solid">
        <fgColor rgb="FF1E5631"/>
        <bgColor rgb="FF2F5233"/>
      </patternFill>
    </fill>
    <fill>
      <patternFill patternType="solid">
        <fgColor rgb="FFE2EFDA"/>
        <bgColor rgb="FFE8F5E9"/>
      </patternFill>
    </fill>
    <fill>
      <patternFill patternType="solid">
        <fgColor rgb="FF2F5233"/>
        <bgColor rgb="FF375623"/>
      </patternFill>
    </fill>
    <fill>
      <patternFill patternType="solid">
        <fgColor rgb="FFF0F8F0"/>
        <bgColor rgb="FFF5F5F5"/>
      </patternFill>
    </fill>
    <fill>
      <patternFill patternType="solid">
        <fgColor rgb="FFFFD700"/>
        <bgColor rgb="FFFF9900"/>
      </patternFill>
    </fill>
    <fill>
      <patternFill patternType="solid">
        <fgColor rgb="FFEBF3FB"/>
        <bgColor rgb="FFF0F5FF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8D8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0F8F0"/>
      </patternFill>
    </fill>
    <fill>
      <patternFill patternType="solid">
        <fgColor rgb="FFF0F5FF"/>
        <bgColor rgb="FFEBF3FB"/>
      </patternFill>
    </fill>
    <fill>
      <patternFill patternType="solid">
        <fgColor rgb="FFD9F0F3"/>
        <bgColor rgb="FFDCE6F1"/>
      </patternFill>
    </fill>
    <fill>
      <patternFill patternType="solid">
        <fgColor rgb="FFFCE4D6"/>
        <bgColor rgb="FFFDE8D8"/>
      </patternFill>
    </fill>
    <fill>
      <patternFill patternType="solid">
        <fgColor rgb="FFFDE8D8"/>
        <bgColor rgb="FFFCE4D6"/>
      </patternFill>
    </fill>
    <fill>
      <patternFill patternType="solid">
        <fgColor rgb="FFD4EDDA"/>
        <bgColor rgb="FFE2EFDA"/>
      </patternFill>
    </fill>
    <fill>
      <patternFill patternType="solid">
        <fgColor rgb="FFC55A11"/>
        <bgColor rgb="FFE65100"/>
      </patternFill>
    </fill>
    <fill>
      <patternFill patternType="solid">
        <fgColor rgb="FFDCE6F1"/>
        <bgColor rgb="FFD6E4F0"/>
      </patternFill>
    </fill>
    <fill>
      <patternFill patternType="solid">
        <fgColor rgb="FFFFFF99"/>
        <bgColor rgb="FFFFF2CC"/>
      </patternFill>
    </fill>
    <fill>
      <patternFill patternType="solid">
        <fgColor rgb="FF2F5233"/>
        <bgColor rgb="FF2F5233"/>
      </patternFill>
    </fill>
    <fill>
      <patternFill patternType="solid">
        <fgColor rgb="FFE65100"/>
        <bgColor rgb="FFE65100"/>
      </patternFill>
    </fill>
    <fill>
      <patternFill patternType="solid">
        <fgColor rgb="FFF5F5F5"/>
        <bgColor rgb="FFF5F5F5"/>
      </patternFill>
    </fill>
    <fill>
      <patternFill patternType="solid">
        <fgColor rgb="FF1565C0"/>
        <bgColor rgb="FF1565C0"/>
      </patternFill>
    </fill>
    <fill>
      <patternFill patternType="solid">
        <fgColor rgb="FFFFD700"/>
        <bgColor rgb="FFFFD700"/>
      </patternFill>
    </fill>
    <fill>
      <patternFill patternType="solid">
        <fgColor rgb="FF37474F"/>
        <bgColor rgb="FF37474F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E8F5E9"/>
        <bgColor rgb="FFE8F5E9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3" fontId="12" fillId="12" borderId="1" xfId="0" applyNumberFormat="1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4" fillId="2" borderId="2" xfId="0" applyFont="1" applyFill="1" applyBorder="1" applyAlignment="1">
      <alignment horizontal="center" vertical="center"/>
    </xf>
    <xf numFmtId="176" fontId="0" fillId="0" borderId="0" xfId="0" applyNumberFormat="1"/>
    <xf numFmtId="0" fontId="1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177" fontId="12" fillId="1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/>
    </xf>
    <xf numFmtId="178" fontId="12" fillId="12" borderId="1" xfId="0" applyNumberFormat="1" applyFont="1" applyFill="1" applyBorder="1" applyAlignment="1">
      <alignment horizontal="right" vertical="center"/>
    </xf>
    <xf numFmtId="4" fontId="18" fillId="10" borderId="2" xfId="0" applyNumberFormat="1" applyFont="1" applyFill="1" applyBorder="1" applyAlignment="1">
      <alignment horizontal="center" vertical="center"/>
    </xf>
    <xf numFmtId="3" fontId="19" fillId="6" borderId="2" xfId="0" applyNumberFormat="1" applyFont="1" applyFill="1" applyBorder="1" applyAlignment="1">
      <alignment horizontal="center" vertical="center"/>
    </xf>
    <xf numFmtId="4" fontId="18" fillId="15" borderId="2" xfId="0" applyNumberFormat="1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177" fontId="21" fillId="12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178" fontId="22" fillId="12" borderId="2" xfId="0" applyNumberFormat="1" applyFont="1" applyFill="1" applyBorder="1" applyAlignment="1">
      <alignment horizontal="center" vertical="center"/>
    </xf>
    <xf numFmtId="0" fontId="23" fillId="13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24" fillId="2" borderId="0" xfId="0" applyNumberFormat="1" applyFont="1" applyFill="1" applyAlignment="1">
      <alignment horizontal="center" vertical="center"/>
    </xf>
    <xf numFmtId="4" fontId="25" fillId="2" borderId="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/>
    <xf numFmtId="178" fontId="12" fillId="16" borderId="1" xfId="0" applyNumberFormat="1" applyFont="1" applyFill="1" applyBorder="1" applyAlignment="1">
      <alignment horizontal="right" vertical="center"/>
    </xf>
    <xf numFmtId="178" fontId="12" fillId="17" borderId="1" xfId="0" applyNumberFormat="1" applyFont="1" applyFill="1" applyBorder="1" applyAlignment="1">
      <alignment horizontal="right" vertical="center"/>
    </xf>
    <xf numFmtId="178" fontId="12" fillId="10" borderId="1" xfId="0" applyNumberFormat="1" applyFont="1" applyFill="1" applyBorder="1" applyAlignment="1">
      <alignment horizontal="right" vertical="center"/>
    </xf>
    <xf numFmtId="178" fontId="12" fillId="6" borderId="1" xfId="0" applyNumberFormat="1" applyFont="1" applyFill="1" applyBorder="1" applyAlignment="1">
      <alignment horizontal="right" vertical="center"/>
    </xf>
    <xf numFmtId="0" fontId="13" fillId="13" borderId="1" xfId="0" applyFont="1" applyFill="1" applyBorder="1" applyAlignment="1">
      <alignment horizontal="left" vertical="center"/>
    </xf>
    <xf numFmtId="178" fontId="12" fillId="13" borderId="1" xfId="0" applyNumberFormat="1" applyFont="1" applyFill="1" applyBorder="1" applyAlignment="1">
      <alignment horizontal="right" vertical="center"/>
    </xf>
    <xf numFmtId="0" fontId="15" fillId="10" borderId="2" xfId="0" applyFont="1" applyFill="1" applyBorder="1" applyAlignment="1">
      <alignment horizontal="left" vertical="center"/>
    </xf>
    <xf numFmtId="4" fontId="21" fillId="12" borderId="2" xfId="0" applyNumberFormat="1" applyFont="1" applyFill="1" applyBorder="1" applyAlignment="1">
      <alignment horizontal="center" vertical="center"/>
    </xf>
    <xf numFmtId="4" fontId="29" fillId="16" borderId="2" xfId="0" applyNumberFormat="1" applyFont="1" applyFill="1" applyBorder="1" applyAlignment="1">
      <alignment horizontal="center" vertical="center"/>
    </xf>
    <xf numFmtId="4" fontId="30" fillId="17" borderId="2" xfId="0" applyNumberFormat="1" applyFont="1" applyFill="1" applyBorder="1" applyAlignment="1">
      <alignment horizontal="center" vertical="center"/>
    </xf>
    <xf numFmtId="4" fontId="19" fillId="6" borderId="2" xfId="0" applyNumberFormat="1" applyFont="1" applyFill="1" applyBorder="1" applyAlignment="1">
      <alignment horizontal="center" vertical="center"/>
    </xf>
    <xf numFmtId="4" fontId="22" fillId="10" borderId="2" xfId="0" applyNumberFormat="1" applyFont="1" applyFill="1" applyBorder="1" applyAlignment="1">
      <alignment horizontal="center" vertical="center"/>
    </xf>
    <xf numFmtId="3" fontId="20" fillId="10" borderId="2" xfId="0" applyNumberFormat="1" applyFont="1" applyFill="1" applyBorder="1" applyAlignment="1">
      <alignment horizontal="center" vertical="center"/>
    </xf>
    <xf numFmtId="3" fontId="31" fillId="17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4" fillId="0" borderId="4" xfId="0" applyFont="1" applyBorder="1"/>
    <xf numFmtId="0" fontId="12" fillId="11" borderId="1" xfId="0" applyFont="1" applyFill="1" applyBorder="1" applyAlignment="1">
      <alignment horizontal="left" vertical="center"/>
    </xf>
    <xf numFmtId="49" fontId="32" fillId="10" borderId="1" xfId="0" applyNumberFormat="1" applyFont="1" applyFill="1" applyBorder="1" applyAlignment="1">
      <alignment horizontal="center" vertical="center"/>
    </xf>
    <xf numFmtId="179" fontId="12" fillId="10" borderId="1" xfId="0" applyNumberFormat="1" applyFont="1" applyFill="1" applyBorder="1" applyAlignment="1">
      <alignment horizontal="right" vertical="center"/>
    </xf>
    <xf numFmtId="3" fontId="33" fillId="17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32" fillId="4" borderId="1" xfId="0" applyFont="1" applyFill="1" applyBorder="1" applyAlignment="1">
      <alignment horizontal="right" vertical="center"/>
    </xf>
    <xf numFmtId="180" fontId="32" fillId="6" borderId="1" xfId="0" applyNumberFormat="1" applyFont="1" applyFill="1" applyBorder="1" applyAlignment="1">
      <alignment horizontal="right" vertical="center"/>
    </xf>
    <xf numFmtId="0" fontId="32" fillId="0" borderId="1" xfId="0" applyFont="1" applyBorder="1" applyAlignment="1">
      <alignment horizontal="right" vertical="center"/>
    </xf>
    <xf numFmtId="49" fontId="32" fillId="13" borderId="1" xfId="0" applyNumberFormat="1" applyFont="1" applyFill="1" applyBorder="1" applyAlignment="1">
      <alignment horizontal="center" vertical="center"/>
    </xf>
    <xf numFmtId="179" fontId="12" fillId="13" borderId="1" xfId="0" applyNumberFormat="1" applyFont="1" applyFill="1" applyBorder="1" applyAlignment="1">
      <alignment horizontal="right" vertical="center"/>
    </xf>
    <xf numFmtId="3" fontId="33" fillId="18" borderId="1" xfId="0" applyNumberFormat="1" applyFont="1" applyFill="1" applyBorder="1" applyAlignment="1">
      <alignment horizontal="right" vertical="center"/>
    </xf>
    <xf numFmtId="0" fontId="32" fillId="13" borderId="1" xfId="0" applyFont="1" applyFill="1" applyBorder="1" applyAlignment="1">
      <alignment horizontal="right" vertical="center"/>
    </xf>
    <xf numFmtId="180" fontId="32" fillId="19" borderId="1" xfId="0" applyNumberFormat="1" applyFont="1" applyFill="1" applyBorder="1" applyAlignment="1">
      <alignment horizontal="right" vertical="center"/>
    </xf>
    <xf numFmtId="180" fontId="32" fillId="4" borderId="1" xfId="0" applyNumberFormat="1" applyFont="1" applyFill="1" applyBorder="1" applyAlignment="1">
      <alignment horizontal="right" vertical="center"/>
    </xf>
    <xf numFmtId="181" fontId="32" fillId="6" borderId="1" xfId="0" applyNumberFormat="1" applyFont="1" applyFill="1" applyBorder="1" applyAlignment="1">
      <alignment horizontal="right" vertical="center"/>
    </xf>
    <xf numFmtId="180" fontId="32" fillId="0" borderId="1" xfId="0" applyNumberFormat="1" applyFont="1" applyBorder="1" applyAlignment="1">
      <alignment horizontal="right" vertical="center"/>
    </xf>
    <xf numFmtId="180" fontId="32" fillId="13" borderId="1" xfId="0" applyNumberFormat="1" applyFont="1" applyFill="1" applyBorder="1" applyAlignment="1">
      <alignment horizontal="right" vertical="center"/>
    </xf>
    <xf numFmtId="3" fontId="33" fillId="10" borderId="1" xfId="0" applyNumberFormat="1" applyFont="1" applyFill="1" applyBorder="1" applyAlignment="1">
      <alignment horizontal="right" vertical="center"/>
    </xf>
    <xf numFmtId="3" fontId="33" fillId="13" borderId="1" xfId="0" applyNumberFormat="1" applyFont="1" applyFill="1" applyBorder="1" applyAlignment="1">
      <alignment horizontal="right" vertical="center"/>
    </xf>
    <xf numFmtId="0" fontId="4" fillId="20" borderId="1" xfId="0" applyFont="1" applyFill="1" applyBorder="1" applyAlignment="1">
      <alignment horizontal="center" vertical="center" wrapText="1"/>
    </xf>
    <xf numFmtId="10" fontId="34" fillId="17" borderId="1" xfId="0" applyNumberFormat="1" applyFont="1" applyFill="1" applyBorder="1" applyAlignment="1">
      <alignment horizontal="right" vertical="center"/>
    </xf>
    <xf numFmtId="0" fontId="35" fillId="0" borderId="0" xfId="0" applyFont="1"/>
    <xf numFmtId="0" fontId="36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6" borderId="0" xfId="0" applyFill="1"/>
    <xf numFmtId="0" fontId="14" fillId="6" borderId="0" xfId="0" applyFont="1" applyFill="1"/>
    <xf numFmtId="0" fontId="0" fillId="4" borderId="0" xfId="0" applyFill="1"/>
    <xf numFmtId="0" fontId="14" fillId="4" borderId="0" xfId="0" applyFont="1" applyFill="1"/>
    <xf numFmtId="0" fontId="0" fillId="12" borderId="0" xfId="0" applyFill="1"/>
    <xf numFmtId="0" fontId="14" fillId="12" borderId="0" xfId="0" applyFont="1" applyFill="1"/>
    <xf numFmtId="0" fontId="37" fillId="0" borderId="0" xfId="0" applyFont="1"/>
    <xf numFmtId="0" fontId="12" fillId="12" borderId="1" xfId="0" applyFont="1" applyFill="1" applyBorder="1" applyAlignment="1">
      <alignment horizontal="center" vertical="center"/>
    </xf>
    <xf numFmtId="177" fontId="12" fillId="10" borderId="1" xfId="0" applyNumberFormat="1" applyFont="1" applyFill="1" applyBorder="1" applyAlignment="1">
      <alignment horizontal="left" vertical="center"/>
    </xf>
    <xf numFmtId="177" fontId="12" fillId="13" borderId="1" xfId="0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77" fontId="12" fillId="21" borderId="1" xfId="0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4" fontId="12" fillId="22" borderId="1" xfId="0" applyNumberFormat="1" applyFont="1" applyFill="1" applyBorder="1" applyAlignment="1">
      <alignment horizontal="right" vertical="center"/>
    </xf>
    <xf numFmtId="3" fontId="12" fillId="10" borderId="1" xfId="0" applyNumberFormat="1" applyFont="1" applyFill="1" applyBorder="1" applyAlignment="1">
      <alignment horizontal="right" vertical="center"/>
    </xf>
    <xf numFmtId="0" fontId="12" fillId="22" borderId="1" xfId="0" applyFont="1" applyFill="1" applyBorder="1" applyAlignment="1">
      <alignment horizontal="center" vertical="center"/>
    </xf>
    <xf numFmtId="177" fontId="12" fillId="22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177" fontId="0" fillId="12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4" fontId="0" fillId="12" borderId="2" xfId="0" applyNumberForma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center" vertical="center"/>
    </xf>
    <xf numFmtId="3" fontId="18" fillId="10" borderId="2" xfId="0" applyNumberFormat="1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177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177" fontId="0" fillId="10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4" fontId="38" fillId="2" borderId="2" xfId="0" applyNumberFormat="1" applyFont="1" applyFill="1" applyBorder="1" applyAlignment="1">
      <alignment horizontal="center" vertical="center"/>
    </xf>
    <xf numFmtId="4" fontId="40" fillId="16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177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42" fillId="0" borderId="0" xfId="0" applyFont="1"/>
    <xf numFmtId="177" fontId="44" fillId="0" borderId="9" xfId="0" applyNumberFormat="1" applyFont="1" applyBorder="1" applyAlignment="1">
      <alignment horizontal="center"/>
    </xf>
    <xf numFmtId="0" fontId="44" fillId="0" borderId="9" xfId="0" applyFont="1" applyBorder="1"/>
    <xf numFmtId="0" fontId="44" fillId="0" borderId="9" xfId="0" applyFont="1" applyBorder="1" applyAlignment="1">
      <alignment horizontal="center"/>
    </xf>
    <xf numFmtId="3" fontId="44" fillId="0" borderId="9" xfId="0" applyNumberFormat="1" applyFont="1" applyBorder="1" applyAlignment="1">
      <alignment horizontal="right"/>
    </xf>
    <xf numFmtId="178" fontId="44" fillId="0" borderId="9" xfId="0" applyNumberFormat="1" applyFont="1" applyBorder="1" applyAlignment="1">
      <alignment horizontal="right"/>
    </xf>
    <xf numFmtId="0" fontId="0" fillId="0" borderId="9" xfId="0" applyBorder="1" applyAlignment="1">
      <alignment horizontal="center"/>
    </xf>
    <xf numFmtId="0" fontId="14" fillId="0" borderId="9" xfId="0" applyFont="1" applyBorder="1"/>
    <xf numFmtId="3" fontId="0" fillId="0" borderId="9" xfId="0" applyNumberFormat="1" applyBorder="1" applyAlignment="1">
      <alignment horizontal="right"/>
    </xf>
    <xf numFmtId="178" fontId="0" fillId="0" borderId="9" xfId="0" applyNumberFormat="1" applyBorder="1" applyAlignment="1">
      <alignment horizontal="right"/>
    </xf>
    <xf numFmtId="0" fontId="42" fillId="0" borderId="9" xfId="0" applyFont="1" applyBorder="1" applyAlignment="1">
      <alignment horizontal="center"/>
    </xf>
    <xf numFmtId="3" fontId="43" fillId="0" borderId="9" xfId="0" applyNumberFormat="1" applyFont="1" applyBorder="1" applyAlignment="1">
      <alignment horizontal="right"/>
    </xf>
    <xf numFmtId="178" fontId="43" fillId="0" borderId="9" xfId="0" applyNumberFormat="1" applyFont="1" applyBorder="1" applyAlignment="1">
      <alignment horizontal="right"/>
    </xf>
    <xf numFmtId="0" fontId="45" fillId="0" borderId="9" xfId="0" applyFont="1" applyBorder="1" applyAlignment="1">
      <alignment horizontal="center"/>
    </xf>
    <xf numFmtId="3" fontId="45" fillId="0" borderId="9" xfId="0" applyNumberFormat="1" applyFont="1" applyBorder="1" applyAlignment="1">
      <alignment horizontal="right"/>
    </xf>
    <xf numFmtId="178" fontId="45" fillId="0" borderId="9" xfId="0" applyNumberFormat="1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14" fillId="0" borderId="10" xfId="0" applyFont="1" applyBorder="1"/>
    <xf numFmtId="3" fontId="0" fillId="0" borderId="10" xfId="0" applyNumberFormat="1" applyBorder="1" applyAlignment="1">
      <alignment horizontal="right"/>
    </xf>
    <xf numFmtId="178" fontId="0" fillId="0" borderId="10" xfId="0" applyNumberFormat="1" applyBorder="1" applyAlignment="1">
      <alignment horizontal="right"/>
    </xf>
    <xf numFmtId="0" fontId="42" fillId="0" borderId="10" xfId="0" applyFont="1" applyBorder="1" applyAlignment="1">
      <alignment horizontal="center"/>
    </xf>
    <xf numFmtId="3" fontId="43" fillId="0" borderId="10" xfId="0" applyNumberFormat="1" applyFont="1" applyBorder="1" applyAlignment="1">
      <alignment horizontal="right"/>
    </xf>
    <xf numFmtId="178" fontId="43" fillId="0" borderId="10" xfId="0" applyNumberFormat="1" applyFont="1" applyBorder="1" applyAlignment="1">
      <alignment horizontal="right"/>
    </xf>
    <xf numFmtId="0" fontId="0" fillId="0" borderId="10" xfId="0" applyBorder="1"/>
    <xf numFmtId="0" fontId="44" fillId="0" borderId="9" xfId="0" applyFont="1" applyBorder="1" applyAlignment="1">
      <alignment horizontal="center" vertical="center"/>
    </xf>
    <xf numFmtId="183" fontId="48" fillId="0" borderId="9" xfId="0" applyNumberFormat="1" applyFont="1" applyBorder="1" applyAlignment="1">
      <alignment horizontal="right" vertical="center"/>
    </xf>
    <xf numFmtId="0" fontId="44" fillId="25" borderId="9" xfId="0" applyFont="1" applyFill="1" applyBorder="1" applyAlignment="1">
      <alignment horizontal="center" vertical="center"/>
    </xf>
    <xf numFmtId="183" fontId="48" fillId="25" borderId="9" xfId="0" applyNumberFormat="1" applyFont="1" applyFill="1" applyBorder="1" applyAlignment="1">
      <alignment horizontal="right" vertical="center"/>
    </xf>
    <xf numFmtId="0" fontId="48" fillId="27" borderId="9" xfId="0" applyFont="1" applyFill="1" applyBorder="1" applyAlignment="1">
      <alignment horizontal="center" vertical="center"/>
    </xf>
    <xf numFmtId="58" fontId="44" fillId="0" borderId="9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left" vertical="center"/>
    </xf>
    <xf numFmtId="178" fontId="44" fillId="0" borderId="9" xfId="0" applyNumberFormat="1" applyFont="1" applyBorder="1" applyAlignment="1">
      <alignment horizontal="right" vertical="center"/>
    </xf>
    <xf numFmtId="0" fontId="0" fillId="0" borderId="9" xfId="0" applyBorder="1"/>
    <xf numFmtId="58" fontId="44" fillId="25" borderId="9" xfId="0" applyNumberFormat="1" applyFont="1" applyFill="1" applyBorder="1" applyAlignment="1">
      <alignment horizontal="center" vertical="center"/>
    </xf>
    <xf numFmtId="0" fontId="44" fillId="25" borderId="9" xfId="0" applyFont="1" applyFill="1" applyBorder="1" applyAlignment="1">
      <alignment horizontal="left" vertical="center"/>
    </xf>
    <xf numFmtId="178" fontId="44" fillId="25" borderId="9" xfId="0" applyNumberFormat="1" applyFont="1" applyFill="1" applyBorder="1" applyAlignment="1">
      <alignment horizontal="right" vertical="center"/>
    </xf>
    <xf numFmtId="0" fontId="0" fillId="25" borderId="9" xfId="0" applyFill="1" applyBorder="1"/>
    <xf numFmtId="178" fontId="49" fillId="28" borderId="9" xfId="0" applyNumberFormat="1" applyFont="1" applyFill="1" applyBorder="1" applyAlignment="1">
      <alignment horizontal="right" vertical="center"/>
    </xf>
    <xf numFmtId="0" fontId="0" fillId="28" borderId="9" xfId="0" applyFill="1" applyBorder="1"/>
    <xf numFmtId="4" fontId="44" fillId="0" borderId="9" xfId="0" applyNumberFormat="1" applyFont="1" applyBorder="1" applyAlignment="1">
      <alignment horizontal="right" vertical="center"/>
    </xf>
    <xf numFmtId="4" fontId="44" fillId="25" borderId="9" xfId="0" applyNumberFormat="1" applyFont="1" applyFill="1" applyBorder="1" applyAlignment="1">
      <alignment horizontal="right" vertical="center"/>
    </xf>
    <xf numFmtId="4" fontId="48" fillId="32" borderId="9" xfId="0" applyNumberFormat="1" applyFont="1" applyFill="1" applyBorder="1" applyAlignment="1">
      <alignment horizontal="right" vertical="center"/>
    </xf>
    <xf numFmtId="0" fontId="0" fillId="32" borderId="9" xfId="0" applyFill="1" applyBorder="1"/>
    <xf numFmtId="4" fontId="49" fillId="28" borderId="9" xfId="0" applyNumberFormat="1" applyFont="1" applyFill="1" applyBorder="1" applyAlignment="1">
      <alignment horizontal="right" vertical="center"/>
    </xf>
    <xf numFmtId="0" fontId="51" fillId="0" borderId="9" xfId="0" applyFont="1" applyBorder="1" applyAlignment="1">
      <alignment horizontal="center" vertical="center" wrapText="1"/>
    </xf>
    <xf numFmtId="0" fontId="51" fillId="33" borderId="9" xfId="0" applyFont="1" applyFill="1" applyBorder="1" applyAlignment="1">
      <alignment horizontal="center" vertical="center" wrapText="1"/>
    </xf>
    <xf numFmtId="0" fontId="52" fillId="0" borderId="9" xfId="0" applyFont="1" applyBorder="1" applyAlignment="1">
      <alignment horizontal="left" vertical="center" wrapText="1"/>
    </xf>
    <xf numFmtId="0" fontId="52" fillId="0" borderId="9" xfId="0" applyFont="1" applyBorder="1" applyAlignment="1">
      <alignment horizontal="center" vertical="center" wrapText="1"/>
    </xf>
    <xf numFmtId="184" fontId="52" fillId="0" borderId="9" xfId="0" applyNumberFormat="1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186" fontId="52" fillId="0" borderId="9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10" fillId="9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9" fillId="8" borderId="0" xfId="0" applyFont="1" applyFill="1" applyAlignment="1">
      <alignment horizontal="left" vertical="center"/>
    </xf>
    <xf numFmtId="0" fontId="28" fillId="0" borderId="0" xfId="0" applyFont="1"/>
    <xf numFmtId="49" fontId="27" fillId="12" borderId="2" xfId="0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39" fillId="10" borderId="0" xfId="0" applyFont="1" applyFill="1" applyAlignment="1">
      <alignment horizontal="left" vertical="center"/>
    </xf>
    <xf numFmtId="182" fontId="41" fillId="12" borderId="2" xfId="0" applyNumberFormat="1" applyFont="1" applyFill="1" applyBorder="1" applyAlignment="1">
      <alignment horizontal="center" vertical="center"/>
    </xf>
    <xf numFmtId="0" fontId="9" fillId="8" borderId="0" xfId="0" applyFont="1" applyFill="1"/>
    <xf numFmtId="0" fontId="49" fillId="28" borderId="9" xfId="0" applyFont="1" applyFill="1" applyBorder="1" applyAlignment="1">
      <alignment horizontal="center" vertical="center"/>
    </xf>
    <xf numFmtId="0" fontId="0" fillId="0" borderId="8" xfId="0" applyBorder="1"/>
    <xf numFmtId="0" fontId="0" fillId="0" borderId="4" xfId="0" applyBorder="1"/>
    <xf numFmtId="0" fontId="47" fillId="26" borderId="0" xfId="0" applyFont="1" applyFill="1" applyAlignment="1">
      <alignment horizontal="center" vertical="center"/>
    </xf>
    <xf numFmtId="0" fontId="46" fillId="23" borderId="0" xfId="0" applyFont="1" applyFill="1" applyAlignment="1">
      <alignment horizontal="center" vertical="center"/>
    </xf>
    <xf numFmtId="0" fontId="48" fillId="0" borderId="9" xfId="0" applyFont="1" applyBorder="1" applyAlignment="1">
      <alignment horizontal="left" vertical="center"/>
    </xf>
    <xf numFmtId="0" fontId="47" fillId="24" borderId="0" xfId="0" applyFont="1" applyFill="1" applyAlignment="1">
      <alignment horizontal="center" vertical="center"/>
    </xf>
    <xf numFmtId="0" fontId="47" fillId="29" borderId="0" xfId="0" applyFont="1" applyFill="1" applyAlignment="1">
      <alignment horizontal="center" vertical="center"/>
    </xf>
    <xf numFmtId="0" fontId="47" fillId="30" borderId="0" xfId="0" applyFont="1" applyFill="1" applyAlignment="1">
      <alignment horizontal="center" vertical="center"/>
    </xf>
    <xf numFmtId="0" fontId="48" fillId="25" borderId="9" xfId="0" applyFont="1" applyFill="1" applyBorder="1" applyAlignment="1">
      <alignment horizontal="left" vertical="center"/>
    </xf>
    <xf numFmtId="0" fontId="48" fillId="31" borderId="9" xfId="0" applyFont="1" applyFill="1" applyBorder="1" applyAlignment="1">
      <alignment horizontal="left" vertical="center"/>
    </xf>
    <xf numFmtId="0" fontId="48" fillId="32" borderId="9" xfId="0" applyFont="1" applyFill="1" applyBorder="1" applyAlignment="1">
      <alignment horizontal="center" vertical="center"/>
    </xf>
    <xf numFmtId="0" fontId="50" fillId="2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54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0" fontId="51" fillId="0" borderId="9" xfId="0" applyFont="1" applyBorder="1" applyAlignment="1">
      <alignment horizontal="center" vertical="center" wrapText="1"/>
    </xf>
    <xf numFmtId="0" fontId="0" fillId="0" borderId="11" xfId="0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8F0"/>
      <rgbColor rgb="FFFF00FF"/>
      <rgbColor rgb="FF00FFFF"/>
      <rgbColor rgb="FF800000"/>
      <rgbColor rgb="FF006600"/>
      <rgbColor rgb="FF000080"/>
      <rgbColor rgb="FF7F6000"/>
      <rgbColor rgb="FF6A1B9A"/>
      <rgbColor rgb="FF1F6B75"/>
      <rgbColor rgb="FFCCCCCC"/>
      <rgbColor rgb="FF888888"/>
      <rgbColor rgb="FFEBF3FB"/>
      <rgbColor rgb="FF993366"/>
      <rgbColor rgb="FFFFF2CC"/>
      <rgbColor rgb="FFD9F0F3"/>
      <rgbColor rgb="FF660066"/>
      <rgbColor rgb="FFF5F5F5"/>
      <rgbColor rgb="FF1565C0"/>
      <rgbColor rgb="FFD6E4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FFF99"/>
      <rgbColor rgb="FFDCE6F1"/>
      <rgbColor rgb="FFFDE8D8"/>
      <rgbColor rgb="FFE2EFDA"/>
      <rgbColor rgb="FFFCE4D6"/>
      <rgbColor rgb="FF2E75B6"/>
      <rgbColor rgb="FF33CCCC"/>
      <rgbColor rgb="FF99CC00"/>
      <rgbColor rgb="FFFFD700"/>
      <rgbColor rgb="FFFF9900"/>
      <rgbColor rgb="FFE65100"/>
      <rgbColor rgb="FF375623"/>
      <rgbColor rgb="FFF0F5FF"/>
      <rgbColor rgb="FF37474F"/>
      <rgbColor rgb="FF2E7D32"/>
      <rgbColor rgb="FF1E5631"/>
      <rgbColor rgb="FF2F5233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zoomScaleNormal="100" workbookViewId="0"/>
  </sheetViews>
  <sheetFormatPr defaultColWidth="8.5" defaultRowHeight="16.5"/>
  <cols>
    <col min="1" max="1" width="3" customWidth="1"/>
    <col min="2" max="2" width="22" customWidth="1"/>
    <col min="3" max="3" width="52" customWidth="1"/>
    <col min="4" max="4" width="18" customWidth="1"/>
  </cols>
  <sheetData>
    <row r="1" spans="1:4" ht="48" customHeight="1">
      <c r="A1" s="177" t="s">
        <v>0</v>
      </c>
      <c r="B1" s="178"/>
      <c r="C1" s="178"/>
      <c r="D1" s="178"/>
    </row>
    <row r="2" spans="1:4" ht="21.75" customHeight="1">
      <c r="A2" s="180" t="s">
        <v>1</v>
      </c>
      <c r="B2" s="178"/>
      <c r="C2" s="178"/>
      <c r="D2" s="178"/>
    </row>
    <row r="4" spans="1:4" ht="25.5" customHeight="1">
      <c r="B4" s="179" t="s">
        <v>2</v>
      </c>
      <c r="C4" s="178"/>
      <c r="D4" s="178"/>
    </row>
    <row r="5" spans="1:4" ht="21" customHeight="1">
      <c r="B5" s="1" t="s">
        <v>3</v>
      </c>
      <c r="C5" s="1" t="s">
        <v>4</v>
      </c>
      <c r="D5" s="1" t="s">
        <v>5</v>
      </c>
    </row>
    <row r="6" spans="1:4" ht="21" customHeight="1">
      <c r="B6" s="2" t="s">
        <v>6</v>
      </c>
      <c r="C6" s="2" t="s">
        <v>7</v>
      </c>
      <c r="D6" s="2" t="s">
        <v>8</v>
      </c>
    </row>
    <row r="7" spans="1:4" ht="21" customHeight="1">
      <c r="B7" s="2" t="s">
        <v>9</v>
      </c>
      <c r="C7" s="2" t="s">
        <v>10</v>
      </c>
      <c r="D7" s="2" t="s">
        <v>11</v>
      </c>
    </row>
    <row r="8" spans="1:4" ht="21" customHeight="1">
      <c r="B8" s="2" t="s">
        <v>12</v>
      </c>
      <c r="C8" s="2" t="s">
        <v>13</v>
      </c>
      <c r="D8" s="2" t="s">
        <v>14</v>
      </c>
    </row>
    <row r="9" spans="1:4" ht="21" customHeight="1">
      <c r="B9" s="2" t="s">
        <v>15</v>
      </c>
      <c r="C9" s="2" t="s">
        <v>16</v>
      </c>
      <c r="D9" s="2" t="s">
        <v>17</v>
      </c>
    </row>
    <row r="10" spans="1:4" ht="21" customHeight="1">
      <c r="B10" s="2" t="s">
        <v>18</v>
      </c>
      <c r="C10" s="2" t="s">
        <v>19</v>
      </c>
      <c r="D10" s="2" t="s">
        <v>20</v>
      </c>
    </row>
    <row r="11" spans="1:4" ht="21" customHeight="1"/>
    <row r="12" spans="1:4" ht="25.5" customHeight="1">
      <c r="B12" s="179" t="s">
        <v>21</v>
      </c>
      <c r="C12" s="178"/>
      <c r="D12" s="178"/>
    </row>
    <row r="13" spans="1:4" ht="21" customHeight="1">
      <c r="B13" s="3" t="s">
        <v>22</v>
      </c>
      <c r="C13" s="4" t="s">
        <v>23</v>
      </c>
      <c r="D13" s="4" t="s">
        <v>24</v>
      </c>
    </row>
    <row r="14" spans="1:4" ht="21" customHeight="1">
      <c r="B14" s="3" t="s">
        <v>25</v>
      </c>
      <c r="C14" s="4" t="s">
        <v>26</v>
      </c>
      <c r="D14" s="4" t="s">
        <v>27</v>
      </c>
    </row>
    <row r="15" spans="1:4" ht="21" customHeight="1">
      <c r="B15" s="3" t="s">
        <v>28</v>
      </c>
      <c r="C15" s="4" t="s">
        <v>29</v>
      </c>
      <c r="D15" s="4" t="s">
        <v>30</v>
      </c>
    </row>
    <row r="16" spans="1:4" ht="21" customHeight="1">
      <c r="B16" s="3" t="s">
        <v>31</v>
      </c>
      <c r="C16" s="4" t="s">
        <v>32</v>
      </c>
      <c r="D16" s="4" t="s">
        <v>33</v>
      </c>
    </row>
    <row r="17" spans="2:4" ht="21" customHeight="1">
      <c r="B17" s="3" t="s">
        <v>34</v>
      </c>
      <c r="C17" s="4" t="s">
        <v>35</v>
      </c>
      <c r="D17" s="4" t="s">
        <v>36</v>
      </c>
    </row>
    <row r="18" spans="2:4" ht="21" customHeight="1"/>
    <row r="19" spans="2:4" ht="25.5" customHeight="1">
      <c r="B19" s="179" t="s">
        <v>37</v>
      </c>
      <c r="C19" s="178"/>
      <c r="D19" s="178"/>
    </row>
    <row r="20" spans="2:4" ht="21" customHeight="1">
      <c r="B20" s="2" t="s">
        <v>38</v>
      </c>
      <c r="C20" s="2"/>
      <c r="D20" s="2" t="s">
        <v>39</v>
      </c>
    </row>
    <row r="21" spans="2:4" ht="21" customHeight="1">
      <c r="B21" s="2" t="s">
        <v>40</v>
      </c>
      <c r="C21" s="2"/>
      <c r="D21" s="2" t="s">
        <v>41</v>
      </c>
    </row>
    <row r="22" spans="2:4" ht="21" customHeight="1">
      <c r="B22" s="2" t="s">
        <v>42</v>
      </c>
      <c r="C22" s="2"/>
      <c r="D22" s="2" t="s">
        <v>43</v>
      </c>
    </row>
  </sheetData>
  <mergeCells count="5">
    <mergeCell ref="A1:D1"/>
    <mergeCell ref="B19:D19"/>
    <mergeCell ref="B4:D4"/>
    <mergeCell ref="A2:D2"/>
    <mergeCell ref="B12:D12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showGridLines="0" zoomScaleNormal="100" workbookViewId="0"/>
  </sheetViews>
  <sheetFormatPr defaultColWidth="8.5" defaultRowHeight="16.5"/>
  <cols>
    <col min="1" max="1" width="5" customWidth="1"/>
    <col min="2" max="2" width="30" customWidth="1"/>
    <col min="3" max="4" width="14" customWidth="1"/>
    <col min="5" max="5" width="18" customWidth="1"/>
    <col min="6" max="6" width="10" customWidth="1"/>
    <col min="7" max="7" width="12" customWidth="1"/>
  </cols>
  <sheetData>
    <row r="1" spans="1:7" ht="34.5" customHeight="1">
      <c r="A1" s="182" t="s">
        <v>44</v>
      </c>
      <c r="B1" s="178"/>
      <c r="C1" s="178"/>
      <c r="D1" s="178"/>
      <c r="E1" s="178"/>
      <c r="F1" s="178"/>
      <c r="G1" s="178"/>
    </row>
    <row r="2" spans="1:7" ht="19.5" customHeight="1">
      <c r="A2" s="181" t="s">
        <v>45</v>
      </c>
      <c r="B2" s="178"/>
      <c r="C2" s="178"/>
      <c r="D2" s="178"/>
      <c r="E2" s="178"/>
      <c r="F2" s="178"/>
      <c r="G2" s="178"/>
    </row>
    <row r="3" spans="1:7" ht="30" customHeight="1">
      <c r="A3" s="5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</row>
    <row r="4" spans="1:7" ht="19.5" customHeight="1">
      <c r="A4" s="7">
        <v>1</v>
      </c>
      <c r="B4" s="8" t="s">
        <v>53</v>
      </c>
      <c r="C4" s="9"/>
      <c r="D4" s="7" t="s">
        <v>54</v>
      </c>
      <c r="E4" s="10"/>
      <c r="F4" s="10"/>
      <c r="G4" s="7">
        <v>1</v>
      </c>
    </row>
    <row r="5" spans="1:7" ht="19.5" customHeight="1">
      <c r="A5" s="11">
        <v>2</v>
      </c>
      <c r="B5" s="12" t="s">
        <v>55</v>
      </c>
      <c r="C5" s="9"/>
      <c r="D5" s="11" t="s">
        <v>54</v>
      </c>
      <c r="E5" s="13"/>
      <c r="F5" s="13"/>
      <c r="G5" s="11">
        <v>5</v>
      </c>
    </row>
    <row r="6" spans="1:7" ht="19.5" customHeight="1">
      <c r="A6" s="7">
        <v>3</v>
      </c>
      <c r="B6" s="8" t="s">
        <v>56</v>
      </c>
      <c r="C6" s="9"/>
      <c r="D6" s="7" t="s">
        <v>54</v>
      </c>
      <c r="E6" s="10"/>
      <c r="F6" s="10"/>
      <c r="G6" s="7">
        <v>1</v>
      </c>
    </row>
    <row r="7" spans="1:7" ht="19.5" customHeight="1">
      <c r="A7" s="11">
        <v>4</v>
      </c>
      <c r="B7" s="12" t="s">
        <v>57</v>
      </c>
      <c r="C7" s="9"/>
      <c r="D7" s="11" t="s">
        <v>54</v>
      </c>
      <c r="E7" s="13"/>
      <c r="F7" s="13"/>
      <c r="G7" s="11">
        <v>2</v>
      </c>
    </row>
    <row r="8" spans="1:7" ht="19.5" customHeight="1">
      <c r="A8" s="7">
        <v>5</v>
      </c>
      <c r="B8" s="8" t="s">
        <v>58</v>
      </c>
      <c r="C8" s="9"/>
      <c r="D8" s="7" t="s">
        <v>54</v>
      </c>
      <c r="E8" s="10"/>
      <c r="F8" s="10"/>
      <c r="G8" s="7">
        <v>11</v>
      </c>
    </row>
    <row r="9" spans="1:7" ht="19.5" customHeight="1">
      <c r="A9" s="11">
        <v>6</v>
      </c>
      <c r="B9" s="12" t="s">
        <v>59</v>
      </c>
      <c r="C9" s="9"/>
      <c r="D9" s="11" t="s">
        <v>54</v>
      </c>
      <c r="E9" s="13"/>
      <c r="F9" s="13"/>
      <c r="G9" s="11">
        <v>5</v>
      </c>
    </row>
    <row r="10" spans="1:7" ht="19.5" customHeight="1">
      <c r="A10" s="7">
        <v>7</v>
      </c>
      <c r="B10" s="8" t="s">
        <v>60</v>
      </c>
      <c r="C10" s="9">
        <v>8000</v>
      </c>
      <c r="D10" s="7" t="s">
        <v>54</v>
      </c>
      <c r="E10" s="10"/>
      <c r="F10" s="10"/>
      <c r="G10" s="7">
        <v>6</v>
      </c>
    </row>
    <row r="11" spans="1:7" ht="19.5" customHeight="1">
      <c r="A11" s="11">
        <v>8</v>
      </c>
      <c r="B11" s="12" t="s">
        <v>61</v>
      </c>
      <c r="C11" s="9"/>
      <c r="D11" s="11" t="s">
        <v>54</v>
      </c>
      <c r="E11" s="13"/>
      <c r="F11" s="13"/>
      <c r="G11" s="11">
        <v>1</v>
      </c>
    </row>
    <row r="12" spans="1:7" ht="19.5" customHeight="1">
      <c r="A12" s="11">
        <v>9</v>
      </c>
      <c r="B12" s="12" t="s">
        <v>62</v>
      </c>
      <c r="C12" s="9">
        <v>12000</v>
      </c>
      <c r="D12" s="11" t="s">
        <v>54</v>
      </c>
      <c r="E12" s="13"/>
      <c r="F12" s="13"/>
      <c r="G12" s="14"/>
    </row>
    <row r="13" spans="1:7" ht="19.5" customHeight="1">
      <c r="A13" s="7">
        <v>10</v>
      </c>
      <c r="B13" s="8" t="s">
        <v>63</v>
      </c>
      <c r="C13" s="9">
        <v>5500</v>
      </c>
      <c r="D13" s="7" t="s">
        <v>54</v>
      </c>
      <c r="E13" s="10"/>
      <c r="F13" s="10"/>
      <c r="G13" s="7">
        <v>1</v>
      </c>
    </row>
    <row r="14" spans="1:7" ht="19.5" customHeight="1">
      <c r="A14" s="11">
        <v>11</v>
      </c>
      <c r="B14" s="12" t="s">
        <v>64</v>
      </c>
      <c r="C14" s="9"/>
      <c r="D14" s="11" t="s">
        <v>54</v>
      </c>
      <c r="E14" s="13"/>
      <c r="F14" s="13"/>
      <c r="G14" s="11">
        <v>1</v>
      </c>
    </row>
    <row r="15" spans="1:7" ht="19.5" customHeight="1">
      <c r="A15" s="7">
        <v>12</v>
      </c>
      <c r="B15" s="8" t="s">
        <v>65</v>
      </c>
      <c r="C15" s="9"/>
      <c r="D15" s="7" t="s">
        <v>54</v>
      </c>
      <c r="E15" s="10"/>
      <c r="F15" s="10"/>
      <c r="G15" s="7">
        <v>1</v>
      </c>
    </row>
    <row r="16" spans="1:7" ht="19.5" customHeight="1">
      <c r="A16" s="11">
        <v>13</v>
      </c>
      <c r="B16" s="12" t="s">
        <v>66</v>
      </c>
      <c r="C16" s="9"/>
      <c r="D16" s="11" t="s">
        <v>54</v>
      </c>
      <c r="E16" s="13"/>
      <c r="F16" s="13"/>
      <c r="G16" s="11">
        <v>1</v>
      </c>
    </row>
    <row r="17" spans="1:7" ht="19.5" customHeight="1">
      <c r="A17" s="7">
        <v>14</v>
      </c>
      <c r="B17" s="8" t="s">
        <v>67</v>
      </c>
      <c r="C17" s="9"/>
      <c r="D17" s="7" t="s">
        <v>54</v>
      </c>
      <c r="E17" s="10"/>
      <c r="F17" s="10"/>
      <c r="G17" s="7">
        <v>2</v>
      </c>
    </row>
    <row r="18" spans="1:7" ht="19.5" customHeight="1">
      <c r="A18" s="11">
        <v>15</v>
      </c>
      <c r="B18" s="12" t="s">
        <v>68</v>
      </c>
      <c r="C18" s="9">
        <v>8291.2999999999993</v>
      </c>
      <c r="D18" s="11" t="s">
        <v>54</v>
      </c>
      <c r="E18" s="13"/>
      <c r="F18" s="13"/>
      <c r="G18" s="11">
        <v>14</v>
      </c>
    </row>
    <row r="19" spans="1:7" ht="19.5" customHeight="1">
      <c r="A19" s="7">
        <v>16</v>
      </c>
      <c r="B19" s="8" t="s">
        <v>69</v>
      </c>
      <c r="C19" s="9">
        <v>12900</v>
      </c>
      <c r="D19" s="7" t="s">
        <v>54</v>
      </c>
      <c r="E19" s="10"/>
      <c r="F19" s="10"/>
      <c r="G19" s="7">
        <v>4</v>
      </c>
    </row>
    <row r="20" spans="1:7" ht="19.5" customHeight="1">
      <c r="A20" s="11">
        <v>17</v>
      </c>
      <c r="B20" s="12" t="s">
        <v>70</v>
      </c>
      <c r="C20" s="9"/>
      <c r="D20" s="11" t="s">
        <v>54</v>
      </c>
      <c r="E20" s="13"/>
      <c r="F20" s="13"/>
      <c r="G20" s="11">
        <v>5</v>
      </c>
    </row>
    <row r="21" spans="1:7" ht="19.5" customHeight="1">
      <c r="A21" s="7">
        <v>18</v>
      </c>
      <c r="B21" s="8" t="s">
        <v>71</v>
      </c>
      <c r="C21" s="9">
        <v>7800</v>
      </c>
      <c r="D21" s="7" t="s">
        <v>54</v>
      </c>
      <c r="E21" s="10"/>
      <c r="F21" s="10"/>
      <c r="G21" s="7">
        <v>18</v>
      </c>
    </row>
    <row r="22" spans="1:7" ht="19.5" customHeight="1">
      <c r="A22" s="11">
        <v>19</v>
      </c>
      <c r="B22" s="12" t="s">
        <v>72</v>
      </c>
      <c r="C22" s="9"/>
      <c r="D22" s="11" t="s">
        <v>54</v>
      </c>
      <c r="E22" s="13"/>
      <c r="F22" s="13"/>
      <c r="G22" s="11">
        <v>1</v>
      </c>
    </row>
    <row r="23" spans="1:7" ht="19.5" customHeight="1">
      <c r="A23" s="7">
        <v>20</v>
      </c>
      <c r="B23" s="8" t="s">
        <v>73</v>
      </c>
      <c r="C23" s="9">
        <v>32453.33</v>
      </c>
      <c r="D23" s="7" t="s">
        <v>54</v>
      </c>
      <c r="E23" s="10"/>
      <c r="F23" s="10"/>
      <c r="G23" s="7">
        <v>1</v>
      </c>
    </row>
    <row r="24" spans="1:7" ht="19.5" customHeight="1">
      <c r="A24" s="11">
        <v>21</v>
      </c>
      <c r="B24" s="12" t="s">
        <v>74</v>
      </c>
      <c r="C24" s="9">
        <v>23900</v>
      </c>
      <c r="D24" s="11" t="s">
        <v>54</v>
      </c>
      <c r="E24" s="13"/>
      <c r="F24" s="13"/>
      <c r="G24" s="11">
        <v>1</v>
      </c>
    </row>
    <row r="25" spans="1:7" ht="19.5" customHeight="1">
      <c r="A25" s="7">
        <v>22</v>
      </c>
      <c r="B25" s="8" t="s">
        <v>75</v>
      </c>
      <c r="C25" s="9"/>
      <c r="D25" s="7" t="s">
        <v>54</v>
      </c>
      <c r="E25" s="10"/>
      <c r="F25" s="10"/>
      <c r="G25" s="7">
        <v>19</v>
      </c>
    </row>
    <row r="26" spans="1:7" ht="19.5" customHeight="1">
      <c r="A26" s="11">
        <v>23</v>
      </c>
      <c r="B26" s="12" t="s">
        <v>76</v>
      </c>
      <c r="C26" s="9"/>
      <c r="D26" s="11" t="s">
        <v>54</v>
      </c>
      <c r="E26" s="13"/>
      <c r="F26" s="13"/>
      <c r="G26" s="11">
        <v>9</v>
      </c>
    </row>
    <row r="27" spans="1:7" ht="19.5" customHeight="1">
      <c r="A27" s="7">
        <v>24</v>
      </c>
      <c r="B27" s="8" t="s">
        <v>77</v>
      </c>
      <c r="C27" s="9"/>
      <c r="D27" s="7" t="s">
        <v>54</v>
      </c>
      <c r="E27" s="10"/>
      <c r="F27" s="10"/>
      <c r="G27" s="7">
        <v>1</v>
      </c>
    </row>
    <row r="28" spans="1:7" ht="19.5" customHeight="1">
      <c r="A28" s="11">
        <v>25</v>
      </c>
      <c r="B28" s="12" t="s">
        <v>78</v>
      </c>
      <c r="C28" s="9"/>
      <c r="D28" s="11" t="s">
        <v>54</v>
      </c>
      <c r="E28" s="13"/>
      <c r="F28" s="13"/>
      <c r="G28" s="11">
        <v>1</v>
      </c>
    </row>
    <row r="29" spans="1:7" ht="19.5" customHeight="1">
      <c r="A29" s="7">
        <v>26</v>
      </c>
      <c r="B29" s="8" t="s">
        <v>79</v>
      </c>
      <c r="C29" s="9"/>
      <c r="D29" s="7" t="s">
        <v>54</v>
      </c>
      <c r="E29" s="10"/>
      <c r="F29" s="10"/>
      <c r="G29" s="7">
        <v>1</v>
      </c>
    </row>
    <row r="30" spans="1:7" ht="19.5" customHeight="1">
      <c r="A30" s="11">
        <v>27</v>
      </c>
      <c r="B30" s="12" t="s">
        <v>80</v>
      </c>
      <c r="C30" s="9"/>
      <c r="D30" s="11" t="s">
        <v>54</v>
      </c>
      <c r="E30" s="13"/>
      <c r="F30" s="13"/>
      <c r="G30" s="11">
        <v>1</v>
      </c>
    </row>
    <row r="31" spans="1:7" ht="19.5" customHeight="1">
      <c r="A31" s="7">
        <v>28</v>
      </c>
      <c r="B31" s="8" t="s">
        <v>81</v>
      </c>
      <c r="C31" s="9"/>
      <c r="D31" s="7" t="s">
        <v>54</v>
      </c>
      <c r="E31" s="10"/>
      <c r="F31" s="10"/>
      <c r="G31" s="7">
        <v>3</v>
      </c>
    </row>
    <row r="32" spans="1:7" ht="19.5" customHeight="1">
      <c r="A32" s="11">
        <v>29</v>
      </c>
      <c r="B32" s="12" t="s">
        <v>82</v>
      </c>
      <c r="C32" s="9">
        <v>3215</v>
      </c>
      <c r="D32" s="11" t="s">
        <v>54</v>
      </c>
      <c r="E32" s="13"/>
      <c r="F32" s="13"/>
      <c r="G32" s="11">
        <v>5</v>
      </c>
    </row>
    <row r="33" spans="1:7" ht="19.5" customHeight="1">
      <c r="A33" s="7">
        <v>30</v>
      </c>
      <c r="B33" s="8" t="s">
        <v>83</v>
      </c>
      <c r="C33" s="9"/>
      <c r="D33" s="7" t="s">
        <v>54</v>
      </c>
      <c r="E33" s="10"/>
      <c r="F33" s="10"/>
      <c r="G33" s="7">
        <v>3</v>
      </c>
    </row>
    <row r="34" spans="1:7" ht="19.5" customHeight="1">
      <c r="A34" s="11">
        <v>31</v>
      </c>
      <c r="B34" s="12" t="s">
        <v>84</v>
      </c>
      <c r="C34" s="9">
        <v>6651.54</v>
      </c>
      <c r="D34" s="11" t="s">
        <v>54</v>
      </c>
      <c r="E34" s="13"/>
      <c r="F34" s="13"/>
      <c r="G34" s="11">
        <v>16</v>
      </c>
    </row>
    <row r="35" spans="1:7" ht="19.5" customHeight="1">
      <c r="A35" s="7">
        <v>32</v>
      </c>
      <c r="B35" s="8" t="s">
        <v>85</v>
      </c>
      <c r="C35" s="9"/>
      <c r="D35" s="7" t="s">
        <v>54</v>
      </c>
      <c r="E35" s="10"/>
      <c r="F35" s="10"/>
      <c r="G35" s="7">
        <v>3</v>
      </c>
    </row>
    <row r="36" spans="1:7" ht="19.5" customHeight="1">
      <c r="A36" s="11">
        <v>33</v>
      </c>
      <c r="B36" s="12" t="s">
        <v>86</v>
      </c>
      <c r="C36" s="9">
        <v>12870</v>
      </c>
      <c r="D36" s="11" t="s">
        <v>54</v>
      </c>
      <c r="E36" s="13"/>
      <c r="F36" s="13"/>
      <c r="G36" s="11">
        <v>2</v>
      </c>
    </row>
    <row r="37" spans="1:7" ht="19.5" customHeight="1">
      <c r="A37" s="7">
        <v>34</v>
      </c>
      <c r="B37" s="8" t="s">
        <v>87</v>
      </c>
      <c r="C37" s="9">
        <v>5500</v>
      </c>
      <c r="D37" s="7" t="s">
        <v>54</v>
      </c>
      <c r="E37" s="10"/>
      <c r="F37" s="10"/>
      <c r="G37" s="7">
        <v>1</v>
      </c>
    </row>
    <row r="38" spans="1:7" ht="19.5" customHeight="1">
      <c r="A38" s="11">
        <v>35</v>
      </c>
      <c r="B38" s="12" t="s">
        <v>88</v>
      </c>
      <c r="C38" s="9"/>
      <c r="D38" s="11" t="s">
        <v>54</v>
      </c>
      <c r="E38" s="13"/>
      <c r="F38" s="13"/>
      <c r="G38" s="11">
        <v>1</v>
      </c>
    </row>
    <row r="39" spans="1:7" ht="19.5" customHeight="1">
      <c r="A39" s="7">
        <v>36</v>
      </c>
      <c r="B39" s="8" t="s">
        <v>89</v>
      </c>
      <c r="C39" s="9">
        <v>24500</v>
      </c>
      <c r="D39" s="7" t="s">
        <v>54</v>
      </c>
      <c r="E39" s="10"/>
      <c r="F39" s="10"/>
      <c r="G39" s="7">
        <v>4</v>
      </c>
    </row>
    <row r="40" spans="1:7" ht="19.5" customHeight="1">
      <c r="A40" s="11">
        <v>37</v>
      </c>
      <c r="B40" s="12" t="s">
        <v>90</v>
      </c>
      <c r="C40" s="9"/>
      <c r="D40" s="11" t="s">
        <v>54</v>
      </c>
      <c r="E40" s="13"/>
      <c r="F40" s="13"/>
      <c r="G40" s="11">
        <v>29</v>
      </c>
    </row>
    <row r="41" spans="1:7" ht="19.5" customHeight="1">
      <c r="A41" s="7">
        <v>38</v>
      </c>
      <c r="B41" s="8" t="s">
        <v>91</v>
      </c>
      <c r="C41" s="9"/>
      <c r="D41" s="7" t="s">
        <v>54</v>
      </c>
      <c r="E41" s="10"/>
      <c r="F41" s="10"/>
      <c r="G41" s="7">
        <v>3</v>
      </c>
    </row>
    <row r="42" spans="1:7" ht="19.5" customHeight="1">
      <c r="A42" s="11">
        <v>39</v>
      </c>
      <c r="B42" s="12" t="s">
        <v>92</v>
      </c>
      <c r="C42" s="9">
        <v>1613.28</v>
      </c>
      <c r="D42" s="11" t="s">
        <v>54</v>
      </c>
      <c r="E42" s="13"/>
      <c r="F42" s="13"/>
      <c r="G42" s="11">
        <v>34</v>
      </c>
    </row>
    <row r="43" spans="1:7" ht="19.5" customHeight="1">
      <c r="A43" s="7">
        <v>40</v>
      </c>
      <c r="B43" s="8" t="s">
        <v>93</v>
      </c>
      <c r="C43" s="9"/>
      <c r="D43" s="7" t="s">
        <v>54</v>
      </c>
      <c r="E43" s="10"/>
      <c r="F43" s="10"/>
      <c r="G43" s="7">
        <v>13</v>
      </c>
    </row>
    <row r="44" spans="1:7" ht="19.5" customHeight="1">
      <c r="A44" s="11">
        <v>41</v>
      </c>
      <c r="B44" s="12" t="s">
        <v>94</v>
      </c>
      <c r="C44" s="9"/>
      <c r="D44" s="11" t="s">
        <v>54</v>
      </c>
      <c r="E44" s="13"/>
      <c r="F44" s="13"/>
      <c r="G44" s="11">
        <v>6</v>
      </c>
    </row>
    <row r="45" spans="1:7" ht="19.5" customHeight="1">
      <c r="A45" s="7">
        <v>42</v>
      </c>
      <c r="B45" s="8" t="s">
        <v>95</v>
      </c>
      <c r="C45" s="9">
        <v>4900</v>
      </c>
      <c r="D45" s="7" t="s">
        <v>54</v>
      </c>
      <c r="E45" s="10"/>
      <c r="F45" s="10"/>
      <c r="G45" s="7">
        <v>1</v>
      </c>
    </row>
    <row r="46" spans="1:7" ht="19.5" customHeight="1">
      <c r="A46" s="11">
        <v>43</v>
      </c>
      <c r="B46" s="12" t="s">
        <v>96</v>
      </c>
      <c r="C46" s="9"/>
      <c r="D46" s="11" t="s">
        <v>54</v>
      </c>
      <c r="E46" s="13"/>
      <c r="F46" s="13"/>
      <c r="G46" s="11">
        <v>3</v>
      </c>
    </row>
    <row r="47" spans="1:7" ht="19.5" customHeight="1">
      <c r="A47" s="7">
        <v>44</v>
      </c>
      <c r="B47" s="8" t="s">
        <v>97</v>
      </c>
      <c r="C47" s="9">
        <v>7714.29</v>
      </c>
      <c r="D47" s="7" t="s">
        <v>54</v>
      </c>
      <c r="E47" s="10"/>
      <c r="F47" s="10"/>
      <c r="G47" s="7">
        <v>6</v>
      </c>
    </row>
    <row r="48" spans="1:7" ht="19.5" customHeight="1">
      <c r="A48" s="11">
        <v>45</v>
      </c>
      <c r="B48" s="12" t="s">
        <v>98</v>
      </c>
      <c r="C48" s="9"/>
      <c r="D48" s="11" t="s">
        <v>54</v>
      </c>
      <c r="E48" s="13"/>
      <c r="F48" s="13"/>
      <c r="G48" s="11">
        <v>3</v>
      </c>
    </row>
    <row r="49" spans="1:7" ht="19.5" customHeight="1">
      <c r="A49" s="7">
        <v>46</v>
      </c>
      <c r="B49" s="8" t="s">
        <v>99</v>
      </c>
      <c r="C49" s="9">
        <v>1168.99</v>
      </c>
      <c r="D49" s="7" t="s">
        <v>54</v>
      </c>
      <c r="E49" s="10"/>
      <c r="F49" s="10"/>
      <c r="G49" s="7">
        <v>69</v>
      </c>
    </row>
    <row r="50" spans="1:7" ht="19.5" customHeight="1">
      <c r="A50" s="11">
        <v>47</v>
      </c>
      <c r="B50" s="12" t="s">
        <v>100</v>
      </c>
      <c r="C50" s="9"/>
      <c r="D50" s="11" t="s">
        <v>54</v>
      </c>
      <c r="E50" s="13"/>
      <c r="F50" s="13"/>
      <c r="G50" s="11">
        <v>1</v>
      </c>
    </row>
    <row r="51" spans="1:7" ht="19.5" customHeight="1">
      <c r="A51" s="7">
        <v>48</v>
      </c>
      <c r="B51" s="8" t="s">
        <v>101</v>
      </c>
      <c r="C51" s="9"/>
      <c r="D51" s="7" t="s">
        <v>54</v>
      </c>
      <c r="E51" s="10"/>
      <c r="F51" s="10"/>
      <c r="G51" s="7">
        <v>0</v>
      </c>
    </row>
    <row r="52" spans="1:7" ht="19.5" customHeight="1">
      <c r="A52" s="11">
        <v>49</v>
      </c>
      <c r="B52" s="12" t="s">
        <v>102</v>
      </c>
      <c r="C52" s="9"/>
      <c r="D52" s="11" t="s">
        <v>54</v>
      </c>
      <c r="E52" s="13"/>
      <c r="F52" s="13"/>
      <c r="G52" s="11">
        <v>0</v>
      </c>
    </row>
    <row r="53" spans="1:7" ht="19.5" customHeight="1">
      <c r="A53" s="7">
        <v>50</v>
      </c>
      <c r="B53" s="8" t="s">
        <v>103</v>
      </c>
      <c r="C53" s="9"/>
      <c r="D53" s="7" t="s">
        <v>54</v>
      </c>
      <c r="E53" s="10"/>
      <c r="F53" s="10"/>
      <c r="G53" s="7">
        <v>0</v>
      </c>
    </row>
    <row r="54" spans="1:7" ht="19.5" customHeight="1">
      <c r="A54" s="11">
        <v>51</v>
      </c>
      <c r="B54" s="12" t="s">
        <v>104</v>
      </c>
      <c r="C54" s="9">
        <v>14135</v>
      </c>
      <c r="D54" s="11" t="s">
        <v>54</v>
      </c>
      <c r="E54" s="13"/>
      <c r="F54" s="13"/>
      <c r="G54" s="11">
        <v>22</v>
      </c>
    </row>
    <row r="55" spans="1:7" ht="19.5" customHeight="1">
      <c r="A55" s="7">
        <v>52</v>
      </c>
      <c r="B55" s="8" t="s">
        <v>105</v>
      </c>
      <c r="C55" s="9"/>
      <c r="D55" s="7" t="s">
        <v>54</v>
      </c>
      <c r="E55" s="10"/>
      <c r="F55" s="10"/>
      <c r="G55" s="7">
        <v>2</v>
      </c>
    </row>
    <row r="56" spans="1:7" ht="19.5" customHeight="1">
      <c r="A56" s="11">
        <v>53</v>
      </c>
      <c r="B56" s="12" t="s">
        <v>106</v>
      </c>
      <c r="C56" s="9"/>
      <c r="D56" s="11" t="s">
        <v>54</v>
      </c>
      <c r="E56" s="13"/>
      <c r="F56" s="13"/>
      <c r="G56" s="11">
        <v>1</v>
      </c>
    </row>
    <row r="57" spans="1:7" ht="19.5" customHeight="1">
      <c r="A57" s="7">
        <v>54</v>
      </c>
      <c r="B57" s="8" t="s">
        <v>107</v>
      </c>
      <c r="C57" s="9">
        <v>19980</v>
      </c>
      <c r="D57" s="7" t="s">
        <v>54</v>
      </c>
      <c r="E57" s="10"/>
      <c r="F57" s="10"/>
      <c r="G57" s="7">
        <v>6</v>
      </c>
    </row>
    <row r="58" spans="1:7" ht="19.5" customHeight="1">
      <c r="A58" s="11">
        <v>55</v>
      </c>
      <c r="B58" s="12" t="s">
        <v>108</v>
      </c>
      <c r="C58" s="9">
        <v>1212.8800000000001</v>
      </c>
      <c r="D58" s="11" t="s">
        <v>54</v>
      </c>
      <c r="E58" s="13"/>
      <c r="F58" s="13"/>
      <c r="G58" s="11">
        <v>5</v>
      </c>
    </row>
    <row r="59" spans="1:7" ht="19.5" customHeight="1">
      <c r="A59" s="7">
        <v>56</v>
      </c>
      <c r="B59" s="8" t="s">
        <v>109</v>
      </c>
      <c r="C59" s="9"/>
      <c r="D59" s="7" t="s">
        <v>54</v>
      </c>
      <c r="E59" s="10"/>
      <c r="F59" s="10"/>
      <c r="G59" s="7">
        <v>2</v>
      </c>
    </row>
    <row r="60" spans="1:7" ht="19.5" customHeight="1">
      <c r="A60" s="11">
        <v>57</v>
      </c>
      <c r="B60" s="12" t="s">
        <v>110</v>
      </c>
      <c r="C60" s="9"/>
      <c r="D60" s="11" t="s">
        <v>54</v>
      </c>
      <c r="E60" s="13"/>
      <c r="F60" s="13"/>
      <c r="G60" s="11">
        <v>2</v>
      </c>
    </row>
    <row r="61" spans="1:7" ht="19.5" customHeight="1">
      <c r="A61" s="7">
        <v>58</v>
      </c>
      <c r="B61" s="8" t="s">
        <v>111</v>
      </c>
      <c r="C61" s="9">
        <v>11500</v>
      </c>
      <c r="D61" s="7" t="s">
        <v>54</v>
      </c>
      <c r="E61" s="10"/>
      <c r="F61" s="10"/>
      <c r="G61" s="7">
        <v>3</v>
      </c>
    </row>
    <row r="62" spans="1:7" ht="19.5" customHeight="1">
      <c r="A62" s="11">
        <v>59</v>
      </c>
      <c r="B62" s="12" t="s">
        <v>112</v>
      </c>
      <c r="C62" s="9"/>
      <c r="D62" s="11" t="s">
        <v>54</v>
      </c>
      <c r="E62" s="13"/>
      <c r="F62" s="13"/>
      <c r="G62" s="11">
        <v>1</v>
      </c>
    </row>
    <row r="63" spans="1:7" ht="19.5" customHeight="1">
      <c r="A63" s="7">
        <v>60</v>
      </c>
      <c r="B63" s="8" t="s">
        <v>113</v>
      </c>
      <c r="C63" s="9"/>
      <c r="D63" s="7" t="s">
        <v>54</v>
      </c>
      <c r="E63" s="10"/>
      <c r="F63" s="10"/>
      <c r="G63" s="7">
        <v>61</v>
      </c>
    </row>
    <row r="64" spans="1:7" ht="19.5" customHeight="1">
      <c r="A64" s="11">
        <v>61</v>
      </c>
      <c r="B64" s="12" t="s">
        <v>114</v>
      </c>
      <c r="C64" s="9">
        <v>20800</v>
      </c>
      <c r="D64" s="11" t="s">
        <v>54</v>
      </c>
      <c r="E64" s="13"/>
      <c r="F64" s="13"/>
      <c r="G64" s="11">
        <v>6</v>
      </c>
    </row>
    <row r="65" spans="1:7" ht="19.5" customHeight="1">
      <c r="A65" s="7">
        <v>62</v>
      </c>
      <c r="B65" s="8" t="s">
        <v>115</v>
      </c>
      <c r="C65" s="9">
        <v>3123.24</v>
      </c>
      <c r="D65" s="7" t="s">
        <v>54</v>
      </c>
      <c r="E65" s="10"/>
      <c r="F65" s="10"/>
      <c r="G65" s="7">
        <v>8</v>
      </c>
    </row>
    <row r="66" spans="1:7" ht="19.5" customHeight="1">
      <c r="A66" s="11">
        <v>63</v>
      </c>
      <c r="B66" s="12" t="s">
        <v>116</v>
      </c>
      <c r="C66" s="9">
        <v>2780.56</v>
      </c>
      <c r="D66" s="11" t="s">
        <v>54</v>
      </c>
      <c r="E66" s="13"/>
      <c r="F66" s="13"/>
      <c r="G66" s="11">
        <v>13</v>
      </c>
    </row>
    <row r="67" spans="1:7" ht="19.5" customHeight="1">
      <c r="A67" s="7">
        <v>64</v>
      </c>
      <c r="B67" s="8" t="s">
        <v>117</v>
      </c>
      <c r="C67" s="9"/>
      <c r="D67" s="7" t="s">
        <v>54</v>
      </c>
      <c r="E67" s="10"/>
      <c r="F67" s="10"/>
      <c r="G67" s="7">
        <v>1</v>
      </c>
    </row>
    <row r="68" spans="1:7" ht="19.5" customHeight="1">
      <c r="A68" s="11">
        <v>65</v>
      </c>
      <c r="B68" s="12" t="s">
        <v>118</v>
      </c>
      <c r="C68" s="9">
        <v>899.09</v>
      </c>
      <c r="D68" s="11" t="s">
        <v>54</v>
      </c>
      <c r="E68" s="13"/>
      <c r="F68" s="13"/>
      <c r="G68" s="11">
        <v>32</v>
      </c>
    </row>
    <row r="69" spans="1:7" ht="19.5" customHeight="1">
      <c r="A69" s="7">
        <v>66</v>
      </c>
      <c r="B69" s="8" t="s">
        <v>119</v>
      </c>
      <c r="C69" s="9"/>
      <c r="D69" s="7" t="s">
        <v>54</v>
      </c>
      <c r="E69" s="10"/>
      <c r="F69" s="10"/>
      <c r="G69" s="7">
        <v>7</v>
      </c>
    </row>
    <row r="70" spans="1:7" ht="19.5" customHeight="1">
      <c r="A70" s="11">
        <v>67</v>
      </c>
      <c r="B70" s="12" t="s">
        <v>120</v>
      </c>
      <c r="C70" s="9">
        <v>3380.54</v>
      </c>
      <c r="D70" s="11" t="s">
        <v>54</v>
      </c>
      <c r="E70" s="13"/>
      <c r="F70" s="13"/>
      <c r="G70" s="11">
        <v>48</v>
      </c>
    </row>
    <row r="71" spans="1:7" ht="19.5" customHeight="1">
      <c r="A71" s="7">
        <v>68</v>
      </c>
      <c r="B71" s="8" t="s">
        <v>121</v>
      </c>
      <c r="C71" s="9">
        <v>620</v>
      </c>
      <c r="D71" s="7" t="s">
        <v>54</v>
      </c>
      <c r="E71" s="10"/>
      <c r="F71" s="10"/>
      <c r="G71" s="7">
        <v>70</v>
      </c>
    </row>
    <row r="72" spans="1:7" ht="19.5" customHeight="1">
      <c r="A72" s="11">
        <v>69</v>
      </c>
      <c r="B72" s="12" t="s">
        <v>122</v>
      </c>
      <c r="C72" s="9">
        <v>17350</v>
      </c>
      <c r="D72" s="11" t="s">
        <v>54</v>
      </c>
      <c r="E72" s="13"/>
      <c r="F72" s="13"/>
      <c r="G72" s="11">
        <v>6</v>
      </c>
    </row>
    <row r="73" spans="1:7" ht="19.5" customHeight="1">
      <c r="A73" s="7">
        <v>70</v>
      </c>
      <c r="B73" s="8" t="s">
        <v>123</v>
      </c>
      <c r="C73" s="9"/>
      <c r="D73" s="7" t="s">
        <v>54</v>
      </c>
      <c r="E73" s="10"/>
      <c r="F73" s="10"/>
      <c r="G73" s="7">
        <v>2</v>
      </c>
    </row>
    <row r="74" spans="1:7" ht="19.5" customHeight="1">
      <c r="A74" s="11">
        <v>71</v>
      </c>
      <c r="B74" s="12" t="s">
        <v>124</v>
      </c>
      <c r="C74" s="9"/>
      <c r="D74" s="11" t="s">
        <v>54</v>
      </c>
      <c r="E74" s="13"/>
      <c r="F74" s="13"/>
      <c r="G74" s="11">
        <v>10</v>
      </c>
    </row>
    <row r="75" spans="1:7" ht="19.5" customHeight="1">
      <c r="A75" s="7">
        <v>72</v>
      </c>
      <c r="B75" s="8" t="s">
        <v>125</v>
      </c>
      <c r="C75" s="9">
        <v>3000</v>
      </c>
      <c r="D75" s="7" t="s">
        <v>54</v>
      </c>
      <c r="E75" s="10"/>
      <c r="F75" s="10"/>
      <c r="G75" s="7">
        <v>6</v>
      </c>
    </row>
    <row r="76" spans="1:7" ht="19.5" customHeight="1">
      <c r="A76" s="11">
        <v>73</v>
      </c>
      <c r="B76" s="12" t="s">
        <v>126</v>
      </c>
      <c r="C76" s="9"/>
      <c r="D76" s="11" t="s">
        <v>54</v>
      </c>
      <c r="E76" s="13"/>
      <c r="F76" s="13"/>
      <c r="G76" s="11">
        <v>1</v>
      </c>
    </row>
    <row r="77" spans="1:7" ht="19.5" customHeight="1">
      <c r="A77" s="7">
        <v>74</v>
      </c>
      <c r="B77" s="8" t="s">
        <v>127</v>
      </c>
      <c r="C77" s="9"/>
      <c r="D77" s="7" t="s">
        <v>54</v>
      </c>
      <c r="E77" s="10"/>
      <c r="F77" s="10"/>
      <c r="G77" s="7">
        <v>1</v>
      </c>
    </row>
    <row r="78" spans="1:7" ht="19.5" customHeight="1">
      <c r="A78" s="11">
        <v>75</v>
      </c>
      <c r="B78" s="12" t="s">
        <v>128</v>
      </c>
      <c r="C78" s="9">
        <v>12490.82</v>
      </c>
      <c r="D78" s="11" t="s">
        <v>54</v>
      </c>
      <c r="E78" s="13"/>
      <c r="F78" s="13"/>
      <c r="G78" s="11">
        <v>11</v>
      </c>
    </row>
    <row r="79" spans="1:7" ht="19.5" customHeight="1">
      <c r="A79" s="7">
        <v>76</v>
      </c>
      <c r="B79" s="8" t="s">
        <v>129</v>
      </c>
      <c r="C79" s="9">
        <v>6000</v>
      </c>
      <c r="D79" s="7" t="s">
        <v>54</v>
      </c>
      <c r="E79" s="10"/>
      <c r="F79" s="10"/>
      <c r="G79" s="7">
        <v>6</v>
      </c>
    </row>
    <row r="80" spans="1:7" ht="19.5" customHeight="1">
      <c r="A80" s="11">
        <v>77</v>
      </c>
      <c r="B80" s="12" t="s">
        <v>130</v>
      </c>
      <c r="C80" s="9">
        <v>5430.55</v>
      </c>
      <c r="D80" s="11" t="s">
        <v>54</v>
      </c>
      <c r="E80" s="13"/>
      <c r="F80" s="13"/>
      <c r="G80" s="11">
        <v>30</v>
      </c>
    </row>
    <row r="81" spans="1:7" ht="19.5" customHeight="1">
      <c r="A81" s="7">
        <v>78</v>
      </c>
      <c r="B81" s="8" t="s">
        <v>131</v>
      </c>
      <c r="C81" s="9"/>
      <c r="D81" s="7" t="s">
        <v>54</v>
      </c>
      <c r="E81" s="10"/>
      <c r="F81" s="10"/>
      <c r="G81" s="7">
        <v>1</v>
      </c>
    </row>
    <row r="82" spans="1:7" ht="19.5" customHeight="1">
      <c r="A82" s="11">
        <v>79</v>
      </c>
      <c r="B82" s="12" t="s">
        <v>132</v>
      </c>
      <c r="C82" s="9">
        <v>9557.14</v>
      </c>
      <c r="D82" s="11" t="s">
        <v>54</v>
      </c>
      <c r="E82" s="13"/>
      <c r="F82" s="13"/>
      <c r="G82" s="11">
        <v>6</v>
      </c>
    </row>
    <row r="83" spans="1:7" ht="19.5" customHeight="1">
      <c r="A83" s="7">
        <v>80</v>
      </c>
      <c r="B83" s="8" t="s">
        <v>133</v>
      </c>
      <c r="C83" s="9"/>
      <c r="D83" s="7" t="s">
        <v>54</v>
      </c>
      <c r="E83" s="10"/>
      <c r="F83" s="10"/>
      <c r="G83" s="7">
        <v>2</v>
      </c>
    </row>
    <row r="84" spans="1:7" ht="18" customHeight="1">
      <c r="A84" s="7">
        <v>81</v>
      </c>
      <c r="B84" s="8" t="s">
        <v>134</v>
      </c>
      <c r="C84" s="9">
        <v>2900</v>
      </c>
      <c r="D84" s="7" t="s">
        <v>54</v>
      </c>
      <c r="E84" s="10"/>
      <c r="F84" s="10"/>
      <c r="G84" s="7">
        <v>16</v>
      </c>
    </row>
    <row r="85" spans="1:7" ht="16.5" customHeight="1">
      <c r="A85" s="7">
        <v>83</v>
      </c>
      <c r="B85" s="8" t="s">
        <v>135</v>
      </c>
      <c r="C85" s="9"/>
      <c r="D85" s="7" t="s">
        <v>54</v>
      </c>
      <c r="E85" s="10"/>
      <c r="F85" s="10"/>
      <c r="G85" s="7"/>
    </row>
    <row r="86" spans="1:7" ht="16.5" customHeight="1">
      <c r="A86" s="11">
        <v>84</v>
      </c>
      <c r="B86" s="15" t="s">
        <v>136</v>
      </c>
      <c r="C86" s="9"/>
      <c r="D86" s="11" t="s">
        <v>54</v>
      </c>
      <c r="E86" s="13"/>
      <c r="F86" s="13"/>
      <c r="G86" s="11"/>
    </row>
    <row r="87" spans="1:7" ht="16.5" customHeight="1">
      <c r="A87" s="16">
        <v>85</v>
      </c>
      <c r="B87" s="15" t="s">
        <v>137</v>
      </c>
      <c r="C87" s="17"/>
      <c r="D87" s="14" t="s">
        <v>54</v>
      </c>
      <c r="E87" s="15"/>
      <c r="F87" s="15"/>
      <c r="G87" s="14"/>
    </row>
    <row r="88" spans="1:7" ht="16.5" customHeight="1">
      <c r="A88" s="14">
        <v>86</v>
      </c>
      <c r="B88" s="15" t="s">
        <v>138</v>
      </c>
      <c r="C88" s="17"/>
      <c r="D88" s="14" t="s">
        <v>54</v>
      </c>
      <c r="E88" s="15"/>
      <c r="F88" s="15"/>
      <c r="G88" s="14"/>
    </row>
    <row r="89" spans="1:7" ht="16.5" customHeight="1">
      <c r="A89" s="18" t="s">
        <v>139</v>
      </c>
    </row>
  </sheetData>
  <mergeCells count="2">
    <mergeCell ref="A2:G2"/>
    <mergeCell ref="A1:G1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83"/>
  <sheetViews>
    <sheetView zoomScaleNormal="100" workbookViewId="0"/>
  </sheetViews>
  <sheetFormatPr defaultColWidth="8.5" defaultRowHeight="16.5"/>
  <cols>
    <col min="52" max="52" width="14" customWidth="1"/>
  </cols>
  <sheetData>
    <row r="1" spans="1:83" ht="16.5" customHeight="1">
      <c r="A1" s="18" t="s">
        <v>140</v>
      </c>
      <c r="B1" t="s">
        <v>141</v>
      </c>
      <c r="C1" s="18" t="s">
        <v>142</v>
      </c>
      <c r="D1" s="18" t="s">
        <v>143</v>
      </c>
      <c r="E1" s="18" t="s">
        <v>144</v>
      </c>
      <c r="F1" s="18" t="s">
        <v>145</v>
      </c>
      <c r="G1" s="18" t="s">
        <v>146</v>
      </c>
      <c r="H1" s="18" t="s">
        <v>147</v>
      </c>
      <c r="I1" s="18" t="s">
        <v>148</v>
      </c>
      <c r="J1" s="18" t="s">
        <v>149</v>
      </c>
      <c r="K1" s="18" t="s">
        <v>150</v>
      </c>
      <c r="L1" s="18" t="s">
        <v>151</v>
      </c>
      <c r="M1" s="18" t="s">
        <v>152</v>
      </c>
      <c r="N1" s="18" t="s">
        <v>153</v>
      </c>
      <c r="O1" s="18" t="s">
        <v>154</v>
      </c>
      <c r="P1" s="18" t="s">
        <v>155</v>
      </c>
      <c r="Q1" s="18" t="s">
        <v>156</v>
      </c>
      <c r="R1" s="18" t="s">
        <v>157</v>
      </c>
      <c r="S1" s="18" t="s">
        <v>158</v>
      </c>
      <c r="T1" s="18" t="s">
        <v>159</v>
      </c>
      <c r="U1" s="18" t="s">
        <v>160</v>
      </c>
      <c r="V1" s="18" t="s">
        <v>161</v>
      </c>
      <c r="W1" s="18" t="s">
        <v>162</v>
      </c>
      <c r="X1" s="18" t="s">
        <v>163</v>
      </c>
      <c r="Y1" s="18" t="s">
        <v>164</v>
      </c>
      <c r="Z1" s="18" t="s">
        <v>165</v>
      </c>
      <c r="AA1" s="18" t="s">
        <v>166</v>
      </c>
      <c r="AB1" s="18" t="s">
        <v>167</v>
      </c>
      <c r="AC1" s="18" t="s">
        <v>168</v>
      </c>
      <c r="AD1" s="18" t="s">
        <v>169</v>
      </c>
      <c r="AE1" s="18" t="s">
        <v>170</v>
      </c>
      <c r="AF1" s="18" t="s">
        <v>171</v>
      </c>
      <c r="AG1" s="18" t="s">
        <v>172</v>
      </c>
      <c r="AH1" s="18" t="s">
        <v>173</v>
      </c>
      <c r="AI1" s="18" t="s">
        <v>174</v>
      </c>
      <c r="AJ1" s="18" t="s">
        <v>175</v>
      </c>
      <c r="AK1" s="18" t="s">
        <v>176</v>
      </c>
      <c r="AL1" s="18" t="s">
        <v>177</v>
      </c>
      <c r="AM1" s="18" t="s">
        <v>178</v>
      </c>
      <c r="AN1" s="18" t="s">
        <v>179</v>
      </c>
      <c r="AO1" s="18" t="s">
        <v>180</v>
      </c>
      <c r="AP1" s="18" t="s">
        <v>181</v>
      </c>
      <c r="AQ1" s="18" t="s">
        <v>182</v>
      </c>
      <c r="AR1" s="18" t="s">
        <v>183</v>
      </c>
      <c r="AS1" s="18" t="s">
        <v>184</v>
      </c>
      <c r="AT1" s="18" t="s">
        <v>185</v>
      </c>
      <c r="AU1" s="18" t="s">
        <v>186</v>
      </c>
      <c r="AV1" s="18" t="s">
        <v>187</v>
      </c>
      <c r="AW1" s="18" t="s">
        <v>188</v>
      </c>
      <c r="AX1" s="18" t="s">
        <v>189</v>
      </c>
      <c r="AY1" s="18" t="s">
        <v>190</v>
      </c>
      <c r="AZ1" s="19" t="s">
        <v>191</v>
      </c>
      <c r="BA1" s="18" t="s">
        <v>192</v>
      </c>
      <c r="BB1" s="18" t="s">
        <v>193</v>
      </c>
      <c r="BC1" s="18" t="s">
        <v>194</v>
      </c>
      <c r="BD1" s="18" t="s">
        <v>195</v>
      </c>
      <c r="BE1" s="18" t="s">
        <v>196</v>
      </c>
      <c r="BF1" s="18" t="s">
        <v>197</v>
      </c>
      <c r="BG1" s="18" t="s">
        <v>198</v>
      </c>
      <c r="BH1" s="18" t="s">
        <v>199</v>
      </c>
      <c r="BI1" s="18" t="s">
        <v>200</v>
      </c>
      <c r="BJ1" s="18" t="s">
        <v>201</v>
      </c>
      <c r="BK1" s="18" t="s">
        <v>202</v>
      </c>
      <c r="BL1" s="18" t="s">
        <v>203</v>
      </c>
      <c r="BM1" s="18" t="s">
        <v>204</v>
      </c>
      <c r="BN1" s="18" t="s">
        <v>205</v>
      </c>
      <c r="BO1" s="18" t="s">
        <v>206</v>
      </c>
      <c r="BP1" s="18" t="s">
        <v>207</v>
      </c>
      <c r="BQ1" s="18" t="s">
        <v>208</v>
      </c>
      <c r="BR1" s="18" t="s">
        <v>209</v>
      </c>
      <c r="BS1" s="18" t="s">
        <v>210</v>
      </c>
      <c r="BT1" s="18" t="s">
        <v>211</v>
      </c>
      <c r="BU1" s="18" t="s">
        <v>212</v>
      </c>
      <c r="BV1" s="18" t="s">
        <v>213</v>
      </c>
      <c r="BW1" s="18" t="s">
        <v>214</v>
      </c>
      <c r="BX1" s="18" t="s">
        <v>215</v>
      </c>
      <c r="BY1" s="18" t="s">
        <v>216</v>
      </c>
      <c r="BZ1" s="18" t="s">
        <v>217</v>
      </c>
      <c r="CA1" s="18" t="s">
        <v>218</v>
      </c>
      <c r="CB1" s="18" t="s">
        <v>219</v>
      </c>
      <c r="CC1" s="18" t="s">
        <v>220</v>
      </c>
      <c r="CD1" s="18" t="s">
        <v>221</v>
      </c>
      <c r="CE1" s="18" t="s">
        <v>222</v>
      </c>
    </row>
    <row r="2" spans="1:83" ht="16.5" customHeight="1">
      <c r="A2" s="18" t="s">
        <v>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3" ht="16.5" customHeight="1">
      <c r="A3" s="18" t="s">
        <v>55</v>
      </c>
      <c r="B3">
        <v>0</v>
      </c>
      <c r="C3">
        <v>3.5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2.5</v>
      </c>
      <c r="U3">
        <v>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1.8</v>
      </c>
    </row>
    <row r="4" spans="1:83" ht="16.5" customHeight="1">
      <c r="A4" s="18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3" ht="16.5" customHeight="1">
      <c r="A5" s="18" t="s">
        <v>57</v>
      </c>
      <c r="B5">
        <v>0</v>
      </c>
      <c r="C5">
        <v>0</v>
      </c>
      <c r="D5">
        <v>0</v>
      </c>
      <c r="E5">
        <v>0</v>
      </c>
      <c r="F5">
        <v>0</v>
      </c>
      <c r="G5">
        <v>1.2</v>
      </c>
      <c r="H5">
        <v>1.7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3" ht="16.5" customHeight="1">
      <c r="A6" s="18" t="s">
        <v>58</v>
      </c>
      <c r="B6">
        <v>0.4</v>
      </c>
      <c r="C6">
        <v>0</v>
      </c>
      <c r="D6">
        <v>0</v>
      </c>
      <c r="E6">
        <v>0</v>
      </c>
      <c r="F6">
        <v>2</v>
      </c>
      <c r="G6">
        <v>2.2999999999999998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</v>
      </c>
      <c r="U6">
        <v>5</v>
      </c>
      <c r="V6">
        <v>0</v>
      </c>
      <c r="W6">
        <v>0</v>
      </c>
      <c r="X6">
        <v>0.4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1.2</v>
      </c>
      <c r="AV6">
        <v>0</v>
      </c>
      <c r="AW6">
        <v>0</v>
      </c>
      <c r="AX6">
        <v>0</v>
      </c>
      <c r="AY6">
        <v>0</v>
      </c>
      <c r="BA6">
        <v>0</v>
      </c>
      <c r="BB6">
        <v>0</v>
      </c>
      <c r="BC6">
        <v>2.7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3.3</v>
      </c>
      <c r="BW6">
        <v>3.3</v>
      </c>
      <c r="BX6">
        <v>0</v>
      </c>
      <c r="BY6">
        <v>0</v>
      </c>
      <c r="BZ6">
        <v>2.6</v>
      </c>
      <c r="CA6">
        <v>0</v>
      </c>
      <c r="CB6">
        <v>0</v>
      </c>
      <c r="CC6">
        <v>0</v>
      </c>
    </row>
    <row r="7" spans="1:83" ht="16.5" customHeight="1">
      <c r="A7" s="18" t="s">
        <v>59</v>
      </c>
      <c r="B7">
        <v>0</v>
      </c>
      <c r="C7">
        <v>0.4</v>
      </c>
      <c r="D7">
        <v>0</v>
      </c>
      <c r="E7">
        <v>0</v>
      </c>
      <c r="F7">
        <v>0</v>
      </c>
      <c r="G7">
        <v>0.3</v>
      </c>
      <c r="H7">
        <v>0.3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2.4</v>
      </c>
      <c r="CC7">
        <v>0.4</v>
      </c>
    </row>
    <row r="8" spans="1:83" ht="16.5" customHeight="1">
      <c r="A8" s="18" t="s">
        <v>60</v>
      </c>
      <c r="B8">
        <v>0</v>
      </c>
      <c r="C8">
        <v>3.5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2.5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13.4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13.4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1.8</v>
      </c>
    </row>
    <row r="9" spans="1:83" ht="16.5" customHeight="1">
      <c r="A9" s="18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0.4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3" ht="16.5" customHeight="1">
      <c r="A10" s="18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3" ht="16.5" customHeight="1">
      <c r="A11" s="18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4.6399999999999997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3" ht="16.5" customHeight="1">
      <c r="A12" s="18" t="s">
        <v>64</v>
      </c>
      <c r="B12">
        <v>0</v>
      </c>
      <c r="C12">
        <v>4.7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3" ht="16.5" customHeight="1">
      <c r="A13" s="18" t="s">
        <v>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1.1000000000000001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3" ht="16.5" customHeight="1">
      <c r="A14" s="18" t="s">
        <v>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3" ht="16.5" customHeight="1">
      <c r="A15" s="18" t="s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1.1000000000000001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3" ht="16.5" customHeight="1">
      <c r="A16" s="18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2.96</v>
      </c>
      <c r="K16">
        <v>2.96</v>
      </c>
      <c r="L16">
        <v>2.96</v>
      </c>
      <c r="M16">
        <v>2.96</v>
      </c>
      <c r="N16">
        <v>2.96</v>
      </c>
      <c r="O16">
        <v>2.96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A16">
        <v>0</v>
      </c>
      <c r="BB16">
        <v>0</v>
      </c>
      <c r="BC16">
        <v>5.8</v>
      </c>
      <c r="BD16">
        <v>15.1</v>
      </c>
      <c r="BE16">
        <v>3</v>
      </c>
      <c r="BF16">
        <v>3</v>
      </c>
      <c r="BG16">
        <v>2.9</v>
      </c>
      <c r="BH16">
        <v>2.9</v>
      </c>
      <c r="BI16">
        <v>3</v>
      </c>
      <c r="BJ16">
        <v>11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7</v>
      </c>
      <c r="CE16">
        <v>7</v>
      </c>
    </row>
    <row r="17" spans="1:83" ht="16.5" customHeight="1">
      <c r="A17" s="18" t="s">
        <v>69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7.14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2.4</v>
      </c>
      <c r="CC17">
        <v>3</v>
      </c>
    </row>
    <row r="18" spans="1:83" ht="16.5" customHeight="1">
      <c r="A18" s="18" t="s">
        <v>70</v>
      </c>
      <c r="B18">
        <v>0</v>
      </c>
      <c r="C18">
        <v>0</v>
      </c>
      <c r="D18">
        <v>8.4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7.6</v>
      </c>
      <c r="BV18">
        <v>2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3" ht="16.5" customHeight="1">
      <c r="A19" s="18" t="s">
        <v>71</v>
      </c>
      <c r="B19">
        <v>0.9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1.3</v>
      </c>
      <c r="Y19">
        <v>0</v>
      </c>
      <c r="Z19">
        <v>8.8000000000000007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4</v>
      </c>
      <c r="AI19">
        <v>12.1</v>
      </c>
      <c r="AJ19">
        <v>67</v>
      </c>
      <c r="AK19">
        <v>1.9</v>
      </c>
      <c r="AL19">
        <v>7.6</v>
      </c>
      <c r="AM19">
        <v>13.6</v>
      </c>
      <c r="AN19">
        <v>8.8000000000000007</v>
      </c>
      <c r="AO19">
        <v>0</v>
      </c>
      <c r="AP19">
        <v>1.99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9</v>
      </c>
      <c r="BF19">
        <v>0</v>
      </c>
      <c r="BG19">
        <v>2.9</v>
      </c>
      <c r="BH19">
        <v>0</v>
      </c>
      <c r="BI19">
        <v>0</v>
      </c>
      <c r="BJ19">
        <v>0</v>
      </c>
      <c r="BK19">
        <v>2.2999999999999998</v>
      </c>
      <c r="BL19">
        <v>0</v>
      </c>
      <c r="BM19">
        <v>3.3</v>
      </c>
      <c r="BN19">
        <v>2</v>
      </c>
      <c r="BO19">
        <v>0</v>
      </c>
      <c r="BP19">
        <v>0</v>
      </c>
      <c r="BQ19">
        <v>0</v>
      </c>
      <c r="BR19">
        <v>0</v>
      </c>
      <c r="BS19">
        <v>2.9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E19">
        <v>5.6</v>
      </c>
    </row>
    <row r="20" spans="1:83" ht="16.5" customHeight="1">
      <c r="A20" s="18" t="s">
        <v>72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6</v>
      </c>
      <c r="AV20">
        <v>0</v>
      </c>
      <c r="AW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3" ht="16.5" customHeight="1">
      <c r="A21" s="18" t="s">
        <v>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3" ht="16.5" customHeight="1">
      <c r="A22" s="18" t="s">
        <v>74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3.57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3" ht="16.5" customHeight="1">
      <c r="A23" s="18" t="s">
        <v>75</v>
      </c>
      <c r="B23">
        <v>0.8</v>
      </c>
      <c r="C23">
        <v>0</v>
      </c>
      <c r="D23">
        <v>0</v>
      </c>
      <c r="E23">
        <v>0</v>
      </c>
      <c r="F23">
        <v>0.8</v>
      </c>
      <c r="G23">
        <v>1.2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1.1000000000000001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</v>
      </c>
      <c r="Y23">
        <v>1.6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2.4</v>
      </c>
      <c r="BA23">
        <v>0</v>
      </c>
      <c r="BB23">
        <v>0</v>
      </c>
      <c r="BC23">
        <v>3.3</v>
      </c>
      <c r="BD23">
        <v>0</v>
      </c>
      <c r="BE23">
        <v>0</v>
      </c>
      <c r="BF23">
        <v>0</v>
      </c>
      <c r="BG23">
        <v>0</v>
      </c>
      <c r="BH23">
        <v>1.7</v>
      </c>
      <c r="BI23">
        <v>0</v>
      </c>
      <c r="BJ23">
        <v>2.2000000000000002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1.7</v>
      </c>
      <c r="BU23">
        <v>1.5</v>
      </c>
      <c r="BV23">
        <v>2</v>
      </c>
      <c r="BW23">
        <v>2</v>
      </c>
      <c r="BX23">
        <v>1.7</v>
      </c>
      <c r="BY23">
        <v>1.3</v>
      </c>
      <c r="BZ23">
        <v>3.1</v>
      </c>
      <c r="CA23">
        <v>0</v>
      </c>
      <c r="CB23">
        <v>0</v>
      </c>
      <c r="CC23">
        <v>0</v>
      </c>
    </row>
    <row r="24" spans="1:83" ht="16.5" customHeight="1">
      <c r="A24" s="18" t="s">
        <v>76</v>
      </c>
      <c r="B24">
        <v>0.04</v>
      </c>
      <c r="C24">
        <v>0</v>
      </c>
      <c r="D24">
        <v>0</v>
      </c>
      <c r="E24">
        <v>0</v>
      </c>
      <c r="F24">
        <v>0</v>
      </c>
      <c r="G24">
        <v>0.6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1.6</v>
      </c>
      <c r="BA24">
        <v>0</v>
      </c>
      <c r="BB24">
        <v>0</v>
      </c>
      <c r="BC24">
        <v>0.2</v>
      </c>
      <c r="BD24">
        <v>0</v>
      </c>
      <c r="BE24">
        <v>0</v>
      </c>
      <c r="BF24">
        <v>0</v>
      </c>
      <c r="BG24">
        <v>0</v>
      </c>
      <c r="BH24">
        <v>0.1</v>
      </c>
      <c r="BI24">
        <v>0</v>
      </c>
      <c r="BJ24">
        <v>0.1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0.2</v>
      </c>
      <c r="CA24">
        <v>0</v>
      </c>
      <c r="CB24">
        <v>0</v>
      </c>
      <c r="CC24">
        <v>0</v>
      </c>
    </row>
    <row r="25" spans="1:83" ht="16.5" customHeight="1">
      <c r="A25" s="18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1.7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3" ht="16.5" customHeight="1">
      <c r="A26" s="18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1.7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3" ht="16.5" customHeight="1">
      <c r="A27" s="18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3" ht="16.5" customHeight="1">
      <c r="A28" s="18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2.9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3" ht="16.5" customHeight="1">
      <c r="A29" s="18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1.2</v>
      </c>
      <c r="H29">
        <v>1.2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3" ht="16.5" customHeight="1">
      <c r="A30" s="18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15.4</v>
      </c>
      <c r="BK30">
        <v>14</v>
      </c>
      <c r="BL30">
        <v>8</v>
      </c>
      <c r="BM30">
        <v>0</v>
      </c>
      <c r="BN30">
        <v>12.4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8</v>
      </c>
      <c r="CE30">
        <v>7.5</v>
      </c>
    </row>
    <row r="31" spans="1:83" ht="16.5" customHeight="1">
      <c r="A31" s="18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28</v>
      </c>
      <c r="BL31">
        <v>33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3" ht="16.5" customHeight="1">
      <c r="A32" s="18" t="s">
        <v>84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3.6</v>
      </c>
      <c r="X32">
        <v>5.0999999999999996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0.2</v>
      </c>
      <c r="AL32">
        <v>0</v>
      </c>
      <c r="AM32">
        <v>3.4</v>
      </c>
      <c r="AN32">
        <v>0</v>
      </c>
      <c r="AO32">
        <v>0</v>
      </c>
      <c r="AP32">
        <v>0.35</v>
      </c>
      <c r="AQ32">
        <v>0</v>
      </c>
      <c r="AR32">
        <v>0</v>
      </c>
      <c r="AS32">
        <v>0</v>
      </c>
      <c r="AT32">
        <v>4.2</v>
      </c>
      <c r="AU32">
        <v>0</v>
      </c>
      <c r="AV32">
        <v>0.2</v>
      </c>
      <c r="AW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3</v>
      </c>
      <c r="BL32">
        <v>7</v>
      </c>
      <c r="BM32">
        <v>3</v>
      </c>
      <c r="BN32">
        <v>2.7</v>
      </c>
      <c r="BO32">
        <v>0</v>
      </c>
      <c r="BP32">
        <v>3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0.2</v>
      </c>
      <c r="BZ32">
        <v>3.7</v>
      </c>
      <c r="CA32">
        <v>0.2</v>
      </c>
      <c r="CB32">
        <v>0</v>
      </c>
      <c r="CC32">
        <v>0</v>
      </c>
    </row>
    <row r="33" spans="1:83" ht="16.5" customHeight="1">
      <c r="A33" s="18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30</v>
      </c>
      <c r="BW33">
        <v>30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3" ht="16.5" customHeight="1">
      <c r="A34" s="18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0.1</v>
      </c>
      <c r="J34">
        <v>0</v>
      </c>
      <c r="K34">
        <v>3.57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3" ht="16.5" customHeight="1">
      <c r="A35" s="18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3" ht="16.5" customHeight="1">
      <c r="A36" s="18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7.14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3" ht="16.5" customHeight="1">
      <c r="A37" s="18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4.3</v>
      </c>
      <c r="Q37">
        <v>4.9000000000000004</v>
      </c>
      <c r="R37">
        <v>4.9000000000000004</v>
      </c>
      <c r="S37">
        <v>4.9000000000000004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3" ht="16.5" customHeight="1">
      <c r="A38" s="18" t="s">
        <v>90</v>
      </c>
      <c r="B38">
        <v>0</v>
      </c>
      <c r="C38">
        <v>0</v>
      </c>
      <c r="D38">
        <v>67.3</v>
      </c>
      <c r="E38">
        <v>0</v>
      </c>
      <c r="F38">
        <v>61.7</v>
      </c>
      <c r="G38">
        <v>0</v>
      </c>
      <c r="H38">
        <v>0</v>
      </c>
      <c r="I38">
        <v>68.099999999999994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63.2</v>
      </c>
      <c r="U38">
        <v>0</v>
      </c>
      <c r="V38">
        <v>48.4</v>
      </c>
      <c r="W38">
        <v>0</v>
      </c>
      <c r="X38">
        <v>0</v>
      </c>
      <c r="Y38">
        <v>63.5</v>
      </c>
      <c r="Z38">
        <v>0</v>
      </c>
      <c r="AA38">
        <v>26.67</v>
      </c>
      <c r="AB38">
        <v>65.2</v>
      </c>
      <c r="AC38">
        <v>0</v>
      </c>
      <c r="AD38">
        <v>99</v>
      </c>
      <c r="AE38">
        <v>100</v>
      </c>
      <c r="AF38">
        <v>95</v>
      </c>
      <c r="AG38">
        <v>96</v>
      </c>
      <c r="AH38">
        <v>63.6</v>
      </c>
      <c r="AI38">
        <v>48.4</v>
      </c>
      <c r="AJ38">
        <v>17.7</v>
      </c>
      <c r="AK38">
        <v>63.9</v>
      </c>
      <c r="AL38">
        <v>0</v>
      </c>
      <c r="AM38">
        <v>0</v>
      </c>
      <c r="AN38">
        <v>0</v>
      </c>
      <c r="AO38">
        <v>0</v>
      </c>
      <c r="AP38">
        <v>47.73</v>
      </c>
      <c r="AQ38">
        <v>0</v>
      </c>
      <c r="AR38">
        <v>0</v>
      </c>
      <c r="AS38">
        <v>69.5</v>
      </c>
      <c r="AT38">
        <v>0</v>
      </c>
      <c r="AU38">
        <v>61.7</v>
      </c>
      <c r="AV38">
        <v>63.7</v>
      </c>
      <c r="AW38">
        <v>83.4</v>
      </c>
      <c r="AX38">
        <v>0</v>
      </c>
      <c r="AY38">
        <v>0</v>
      </c>
      <c r="AZ38" s="20">
        <v>2</v>
      </c>
      <c r="BA38">
        <v>66.2</v>
      </c>
      <c r="BB38">
        <v>61.5</v>
      </c>
      <c r="BC38">
        <v>0</v>
      </c>
      <c r="BD38">
        <v>58.2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60.7</v>
      </c>
      <c r="BV38">
        <v>0</v>
      </c>
      <c r="BW38">
        <v>0</v>
      </c>
      <c r="BX38">
        <v>67.099999999999994</v>
      </c>
      <c r="BY38">
        <v>63.4</v>
      </c>
      <c r="BZ38">
        <v>0</v>
      </c>
      <c r="CA38">
        <v>53.1</v>
      </c>
      <c r="CB38">
        <v>62.7</v>
      </c>
      <c r="CC38">
        <v>0</v>
      </c>
    </row>
    <row r="39" spans="1:83" ht="16.5" customHeight="1">
      <c r="A39" s="18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12.1</v>
      </c>
      <c r="W39">
        <v>14.3</v>
      </c>
      <c r="X39">
        <v>0</v>
      </c>
      <c r="Y39">
        <v>0</v>
      </c>
      <c r="Z39">
        <v>0</v>
      </c>
      <c r="AA39">
        <v>6.68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3" ht="16.5" customHeight="1">
      <c r="A40" s="18" t="s">
        <v>92</v>
      </c>
      <c r="B40">
        <v>2.7</v>
      </c>
      <c r="C40">
        <v>0</v>
      </c>
      <c r="D40">
        <v>0</v>
      </c>
      <c r="E40">
        <v>4.7</v>
      </c>
      <c r="F40">
        <v>0</v>
      </c>
      <c r="G40">
        <v>0</v>
      </c>
      <c r="H40">
        <v>0</v>
      </c>
      <c r="I40">
        <v>0</v>
      </c>
      <c r="J40">
        <v>5.43</v>
      </c>
      <c r="K40">
        <v>5.43</v>
      </c>
      <c r="L40">
        <v>5.43</v>
      </c>
      <c r="M40">
        <v>5.43</v>
      </c>
      <c r="N40">
        <v>5.43</v>
      </c>
      <c r="O40">
        <v>5.43</v>
      </c>
      <c r="P40">
        <v>2.1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3.6</v>
      </c>
      <c r="X40">
        <v>5.0999999999999996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6.8</v>
      </c>
      <c r="AN40">
        <v>4.4000000000000004</v>
      </c>
      <c r="AO40">
        <v>0</v>
      </c>
      <c r="AP40">
        <v>0</v>
      </c>
      <c r="AQ40">
        <v>0</v>
      </c>
      <c r="AR40">
        <v>2.4</v>
      </c>
      <c r="AS40">
        <v>0</v>
      </c>
      <c r="AT40">
        <v>4.2</v>
      </c>
      <c r="AU40">
        <v>0</v>
      </c>
      <c r="AV40">
        <v>0</v>
      </c>
      <c r="AW40">
        <v>0</v>
      </c>
      <c r="AX40">
        <v>0</v>
      </c>
      <c r="AY40">
        <v>0</v>
      </c>
      <c r="BA40">
        <v>0</v>
      </c>
      <c r="BB40">
        <v>0</v>
      </c>
      <c r="BC40">
        <v>3.9</v>
      </c>
      <c r="BD40">
        <v>0</v>
      </c>
      <c r="BE40">
        <v>4.4000000000000004</v>
      </c>
      <c r="BF40">
        <v>2</v>
      </c>
      <c r="BG40">
        <v>1.9</v>
      </c>
      <c r="BH40">
        <v>2</v>
      </c>
      <c r="BI40">
        <v>4.7</v>
      </c>
      <c r="BJ40">
        <v>1.5</v>
      </c>
      <c r="BK40">
        <v>2.2000000000000002</v>
      </c>
      <c r="BL40">
        <v>3</v>
      </c>
      <c r="BM40">
        <v>2.2000000000000002</v>
      </c>
      <c r="BN40">
        <v>2</v>
      </c>
      <c r="BO40">
        <v>4.7699999999999996</v>
      </c>
      <c r="BP40">
        <v>4.7</v>
      </c>
      <c r="BQ40">
        <v>0</v>
      </c>
      <c r="BR40">
        <v>2.7</v>
      </c>
      <c r="BS40">
        <v>1.9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7.4</v>
      </c>
      <c r="CA40">
        <v>0</v>
      </c>
      <c r="CB40">
        <v>0</v>
      </c>
      <c r="CC40">
        <v>0</v>
      </c>
      <c r="CD40">
        <v>3</v>
      </c>
      <c r="CE40">
        <v>2.8</v>
      </c>
    </row>
    <row r="41" spans="1:83" ht="16.5" customHeight="1">
      <c r="A41" s="18" t="s">
        <v>93</v>
      </c>
      <c r="B41">
        <v>0</v>
      </c>
      <c r="C41">
        <v>4.2</v>
      </c>
      <c r="D41">
        <v>0</v>
      </c>
      <c r="E41">
        <v>0</v>
      </c>
      <c r="F41">
        <v>2.4</v>
      </c>
      <c r="G41">
        <v>4.0999999999999996</v>
      </c>
      <c r="H41">
        <v>4.0999999999999996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0.8</v>
      </c>
      <c r="Q41">
        <v>1.1000000000000001</v>
      </c>
      <c r="R41">
        <v>1.1000000000000001</v>
      </c>
      <c r="S41">
        <v>1.1000000000000001</v>
      </c>
      <c r="T41">
        <v>2.5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1.6</v>
      </c>
      <c r="AV41">
        <v>0</v>
      </c>
      <c r="AW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1.6</v>
      </c>
      <c r="CC41">
        <v>4.2</v>
      </c>
    </row>
    <row r="42" spans="1:83" ht="16.5" customHeight="1">
      <c r="A42" s="18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1.21</v>
      </c>
      <c r="W42">
        <v>0</v>
      </c>
      <c r="X42">
        <v>0</v>
      </c>
      <c r="Y42">
        <v>0</v>
      </c>
      <c r="Z42">
        <v>0</v>
      </c>
      <c r="AA42">
        <v>0.67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1.21</v>
      </c>
      <c r="AJ42">
        <v>0</v>
      </c>
      <c r="AK42">
        <v>0</v>
      </c>
      <c r="AL42">
        <v>0.6</v>
      </c>
      <c r="AM42">
        <v>0</v>
      </c>
      <c r="AN42">
        <v>0</v>
      </c>
      <c r="AO42">
        <v>0</v>
      </c>
      <c r="AP42">
        <v>0.74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0.7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3" ht="16.5" customHeight="1">
      <c r="A43" s="18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3" ht="16.5" customHeight="1">
      <c r="A44" s="18" t="s">
        <v>96</v>
      </c>
      <c r="B44">
        <v>0</v>
      </c>
      <c r="C44">
        <v>0</v>
      </c>
      <c r="D44">
        <v>2.2000000000000002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1.9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3" ht="16.5" customHeight="1">
      <c r="A45" s="18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6.62</v>
      </c>
      <c r="K45">
        <v>6.62</v>
      </c>
      <c r="L45">
        <v>6.62</v>
      </c>
      <c r="M45">
        <v>6.62</v>
      </c>
      <c r="N45">
        <v>6.62</v>
      </c>
      <c r="O45">
        <v>6.62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3" ht="16.5" customHeight="1">
      <c r="A46" s="18" t="s">
        <v>98</v>
      </c>
      <c r="B46">
        <v>0</v>
      </c>
      <c r="C46">
        <v>0</v>
      </c>
      <c r="D46">
        <v>0</v>
      </c>
      <c r="E46">
        <v>0</v>
      </c>
      <c r="F46">
        <v>4.8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7.6</v>
      </c>
      <c r="BV46">
        <v>0</v>
      </c>
      <c r="BW46">
        <v>0</v>
      </c>
      <c r="BX46">
        <v>8.4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3" ht="16.5" customHeight="1">
      <c r="A47" s="18" t="s">
        <v>99</v>
      </c>
      <c r="B47">
        <v>2.7</v>
      </c>
      <c r="C47">
        <v>6.5</v>
      </c>
      <c r="D47">
        <v>8.4</v>
      </c>
      <c r="E47">
        <v>4.7</v>
      </c>
      <c r="F47">
        <v>10</v>
      </c>
      <c r="G47">
        <v>8.6999999999999993</v>
      </c>
      <c r="H47">
        <v>8.6</v>
      </c>
      <c r="I47">
        <v>10.6</v>
      </c>
      <c r="J47">
        <v>1.42</v>
      </c>
      <c r="K47">
        <v>1.42</v>
      </c>
      <c r="L47">
        <v>1.42</v>
      </c>
      <c r="M47">
        <v>1.42</v>
      </c>
      <c r="N47">
        <v>1.42</v>
      </c>
      <c r="O47">
        <v>1.42</v>
      </c>
      <c r="P47">
        <v>2.1</v>
      </c>
      <c r="Q47">
        <v>1.4</v>
      </c>
      <c r="R47">
        <v>1.4</v>
      </c>
      <c r="S47">
        <v>1.4</v>
      </c>
      <c r="T47">
        <v>10.199999999999999</v>
      </c>
      <c r="U47">
        <v>10</v>
      </c>
      <c r="V47">
        <v>0</v>
      </c>
      <c r="W47">
        <v>3.6</v>
      </c>
      <c r="X47">
        <v>2.5</v>
      </c>
      <c r="Y47">
        <v>14.8</v>
      </c>
      <c r="Z47">
        <v>2.9</v>
      </c>
      <c r="AA47">
        <v>0</v>
      </c>
      <c r="AB47">
        <v>4.9000000000000004</v>
      </c>
      <c r="AC47">
        <v>6.4</v>
      </c>
      <c r="AD47">
        <v>0</v>
      </c>
      <c r="AE47">
        <v>0</v>
      </c>
      <c r="AF47">
        <v>0</v>
      </c>
      <c r="AG47">
        <v>0</v>
      </c>
      <c r="AH47">
        <v>7.9</v>
      </c>
      <c r="AI47">
        <v>0</v>
      </c>
      <c r="AJ47">
        <v>2.1</v>
      </c>
      <c r="AK47">
        <v>4.8</v>
      </c>
      <c r="AL47">
        <v>6.1</v>
      </c>
      <c r="AM47">
        <v>3.4</v>
      </c>
      <c r="AN47">
        <v>4.4000000000000004</v>
      </c>
      <c r="AO47">
        <v>6.4</v>
      </c>
      <c r="AP47">
        <v>9.6999999999999993</v>
      </c>
      <c r="AQ47">
        <v>5.6</v>
      </c>
      <c r="AR47">
        <v>2.4</v>
      </c>
      <c r="AS47">
        <v>11.3</v>
      </c>
      <c r="AT47">
        <v>4.2</v>
      </c>
      <c r="AU47">
        <v>10</v>
      </c>
      <c r="AV47">
        <v>4.8</v>
      </c>
      <c r="AW47">
        <v>0</v>
      </c>
      <c r="AX47">
        <v>0</v>
      </c>
      <c r="AY47">
        <v>0</v>
      </c>
      <c r="AZ47" s="20">
        <v>19</v>
      </c>
      <c r="BA47">
        <v>10.8</v>
      </c>
      <c r="BB47">
        <v>10</v>
      </c>
      <c r="BC47">
        <v>3.9</v>
      </c>
      <c r="BD47">
        <v>9.5</v>
      </c>
      <c r="BE47">
        <v>4.4000000000000004</v>
      </c>
      <c r="BF47">
        <v>2</v>
      </c>
      <c r="BG47">
        <v>1.9</v>
      </c>
      <c r="BH47">
        <v>2</v>
      </c>
      <c r="BI47">
        <v>4.7</v>
      </c>
      <c r="BJ47">
        <v>1.5</v>
      </c>
      <c r="BK47">
        <v>2.2000000000000002</v>
      </c>
      <c r="BL47">
        <v>3</v>
      </c>
      <c r="BM47">
        <v>2.2000000000000002</v>
      </c>
      <c r="BN47">
        <v>2</v>
      </c>
      <c r="BO47">
        <v>4.7699999999999996</v>
      </c>
      <c r="BP47">
        <v>4.7</v>
      </c>
      <c r="BQ47">
        <v>8.4</v>
      </c>
      <c r="BR47">
        <v>2.7</v>
      </c>
      <c r="BS47">
        <v>1.9</v>
      </c>
      <c r="BT47">
        <v>2</v>
      </c>
      <c r="BU47">
        <v>7.6</v>
      </c>
      <c r="BV47">
        <v>4.7</v>
      </c>
      <c r="BW47">
        <v>4.7</v>
      </c>
      <c r="BX47">
        <v>8.4</v>
      </c>
      <c r="BY47">
        <v>4.8</v>
      </c>
      <c r="BZ47">
        <v>3.7</v>
      </c>
      <c r="CA47">
        <v>5</v>
      </c>
      <c r="CB47">
        <v>10.199999999999999</v>
      </c>
      <c r="CC47">
        <v>8.9</v>
      </c>
      <c r="CD47">
        <v>3</v>
      </c>
      <c r="CE47">
        <v>2.8</v>
      </c>
    </row>
    <row r="48" spans="1:83" ht="16.5" customHeight="1">
      <c r="A48" s="18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3" ht="16.5" customHeight="1">
      <c r="A49" s="18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3" ht="16.5" customHeight="1">
      <c r="A50" s="18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3" ht="16.5" customHeight="1">
      <c r="A51" s="18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3" ht="16.5" customHeight="1">
      <c r="A52" s="18" t="s">
        <v>104</v>
      </c>
      <c r="B52">
        <v>0.4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1.1000000000000001</v>
      </c>
      <c r="T52">
        <v>0</v>
      </c>
      <c r="U52">
        <v>0</v>
      </c>
      <c r="V52">
        <v>0.91</v>
      </c>
      <c r="W52">
        <v>0.2</v>
      </c>
      <c r="X52">
        <v>0.4</v>
      </c>
      <c r="Y52">
        <v>1.6</v>
      </c>
      <c r="Z52">
        <v>1.5</v>
      </c>
      <c r="AA52">
        <v>0.5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1.6</v>
      </c>
      <c r="AI52">
        <v>0.91</v>
      </c>
      <c r="AJ52">
        <v>0</v>
      </c>
      <c r="AK52">
        <v>1.3</v>
      </c>
      <c r="AL52">
        <v>1.5</v>
      </c>
      <c r="AM52">
        <v>1.7</v>
      </c>
      <c r="AN52">
        <v>0.47</v>
      </c>
      <c r="AO52">
        <v>0</v>
      </c>
      <c r="AP52">
        <v>0.2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1.1000000000000001</v>
      </c>
      <c r="BL52">
        <v>0</v>
      </c>
      <c r="BM52">
        <v>1.1000000000000001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E52">
        <v>3.1</v>
      </c>
    </row>
    <row r="53" spans="1:83" ht="16.5" customHeight="1">
      <c r="A53" s="18" t="s">
        <v>105</v>
      </c>
      <c r="B53">
        <v>0</v>
      </c>
      <c r="C53">
        <v>0</v>
      </c>
      <c r="D53">
        <v>0</v>
      </c>
      <c r="E53">
        <v>0</v>
      </c>
      <c r="F53">
        <v>1.2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1.1000000000000001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 spans="1:83" ht="16.5" customHeight="1">
      <c r="A54" s="18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 spans="1:83" ht="16.5" customHeight="1">
      <c r="A55" s="18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</v>
      </c>
      <c r="K55">
        <v>0.49</v>
      </c>
      <c r="L55">
        <v>0.49</v>
      </c>
      <c r="M55">
        <v>0.49</v>
      </c>
      <c r="N55">
        <v>0.49</v>
      </c>
      <c r="O55">
        <v>0.49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 spans="1:83" ht="16.5" customHeight="1">
      <c r="A56" s="18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3.2</v>
      </c>
      <c r="Q56">
        <v>1.3</v>
      </c>
      <c r="R56">
        <v>1.3</v>
      </c>
      <c r="S56">
        <v>1.3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1.2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 spans="1:83" ht="16.5" customHeight="1">
      <c r="A57" s="18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3.3</v>
      </c>
      <c r="CC57">
        <v>1.8</v>
      </c>
    </row>
    <row r="58" spans="1:83" ht="16.5" customHeight="1">
      <c r="A58" s="18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9</v>
      </c>
      <c r="AT58">
        <v>0</v>
      </c>
      <c r="AU58">
        <v>0</v>
      </c>
      <c r="AV58">
        <v>0</v>
      </c>
      <c r="AW58">
        <v>7.5</v>
      </c>
      <c r="AX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3" ht="16.5" customHeight="1">
      <c r="A59" s="18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0.2</v>
      </c>
      <c r="AQ59">
        <v>0</v>
      </c>
      <c r="AR59">
        <v>0</v>
      </c>
      <c r="AS59">
        <v>0</v>
      </c>
      <c r="AT59">
        <v>0</v>
      </c>
      <c r="AU59">
        <v>1.2</v>
      </c>
      <c r="AV59">
        <v>1</v>
      </c>
      <c r="AW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3" ht="16.5" customHeight="1">
      <c r="A60" s="18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A60">
        <v>0</v>
      </c>
      <c r="BB60">
        <v>11.5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3" ht="16.5" customHeight="1">
      <c r="A61" s="18" t="s">
        <v>113</v>
      </c>
      <c r="B61">
        <v>0</v>
      </c>
      <c r="C61">
        <v>17.7</v>
      </c>
      <c r="D61">
        <v>12.6</v>
      </c>
      <c r="E61">
        <v>37.9</v>
      </c>
      <c r="F61">
        <v>16.100000000000001</v>
      </c>
      <c r="G61">
        <v>17.399999999999999</v>
      </c>
      <c r="H61">
        <v>17.3</v>
      </c>
      <c r="I61">
        <v>17.7</v>
      </c>
      <c r="J61">
        <v>3.1</v>
      </c>
      <c r="K61">
        <v>3.1</v>
      </c>
      <c r="L61">
        <v>3.1</v>
      </c>
      <c r="M61">
        <v>3.1</v>
      </c>
      <c r="N61">
        <v>3.1</v>
      </c>
      <c r="O61">
        <v>3.1</v>
      </c>
      <c r="P61">
        <v>0</v>
      </c>
      <c r="Q61">
        <v>17.600000000000001</v>
      </c>
      <c r="R61">
        <v>17.600000000000001</v>
      </c>
      <c r="S61">
        <v>17.600000000000001</v>
      </c>
      <c r="T61">
        <v>16.399999999999999</v>
      </c>
      <c r="U61">
        <v>13</v>
      </c>
      <c r="V61">
        <v>33.32</v>
      </c>
      <c r="W61">
        <v>0</v>
      </c>
      <c r="X61">
        <v>0</v>
      </c>
      <c r="Y61">
        <v>15.4</v>
      </c>
      <c r="Z61">
        <v>25.4</v>
      </c>
      <c r="AA61">
        <v>19.399999999999999</v>
      </c>
      <c r="AB61">
        <v>21.1</v>
      </c>
      <c r="AC61">
        <v>26.4</v>
      </c>
      <c r="AD61">
        <v>0</v>
      </c>
      <c r="AE61">
        <v>0</v>
      </c>
      <c r="AF61">
        <v>0</v>
      </c>
      <c r="AG61">
        <v>0</v>
      </c>
      <c r="AH61">
        <v>11.9</v>
      </c>
      <c r="AI61">
        <v>33.32</v>
      </c>
      <c r="AJ61">
        <v>10</v>
      </c>
      <c r="AK61">
        <v>19.3</v>
      </c>
      <c r="AL61">
        <v>0</v>
      </c>
      <c r="AM61">
        <v>0</v>
      </c>
      <c r="AN61">
        <v>35.89</v>
      </c>
      <c r="AO61">
        <v>23.4</v>
      </c>
      <c r="AP61">
        <v>22.87</v>
      </c>
      <c r="AQ61">
        <v>4.5999999999999996</v>
      </c>
      <c r="AR61">
        <v>0</v>
      </c>
      <c r="AS61">
        <v>9</v>
      </c>
      <c r="AT61">
        <v>0</v>
      </c>
      <c r="AU61">
        <v>16.100000000000001</v>
      </c>
      <c r="AV61">
        <v>21.7</v>
      </c>
      <c r="AW61">
        <v>6.3</v>
      </c>
      <c r="AX61">
        <v>12.5</v>
      </c>
      <c r="AY61">
        <v>0</v>
      </c>
      <c r="AZ61" s="20">
        <v>3</v>
      </c>
      <c r="BA61">
        <v>17.2</v>
      </c>
      <c r="BB61">
        <v>16</v>
      </c>
      <c r="BC61">
        <v>0</v>
      </c>
      <c r="BD61">
        <v>15.1</v>
      </c>
      <c r="BE61">
        <v>32.6</v>
      </c>
      <c r="BF61">
        <v>14.9</v>
      </c>
      <c r="BG61">
        <v>14.2</v>
      </c>
      <c r="BH61">
        <v>14.5</v>
      </c>
      <c r="BI61">
        <v>37.299999999999997</v>
      </c>
      <c r="BJ61">
        <v>14.7</v>
      </c>
      <c r="BK61">
        <v>0</v>
      </c>
      <c r="BL61">
        <v>15.36</v>
      </c>
      <c r="BM61">
        <v>0</v>
      </c>
      <c r="BN61">
        <v>11.6</v>
      </c>
      <c r="BO61">
        <v>40.61</v>
      </c>
      <c r="BP61">
        <v>37.9</v>
      </c>
      <c r="BQ61">
        <v>13.7</v>
      </c>
      <c r="BR61">
        <v>0</v>
      </c>
      <c r="BS61">
        <v>12</v>
      </c>
      <c r="BT61">
        <v>12.8</v>
      </c>
      <c r="BU61">
        <v>12.1</v>
      </c>
      <c r="BV61">
        <v>1.2</v>
      </c>
      <c r="BW61">
        <v>1.2</v>
      </c>
      <c r="BX61">
        <v>13.4</v>
      </c>
      <c r="BY61">
        <v>21.8</v>
      </c>
      <c r="BZ61">
        <v>0</v>
      </c>
      <c r="CA61">
        <v>19.600000000000001</v>
      </c>
      <c r="CB61">
        <v>16.3</v>
      </c>
      <c r="CC61">
        <v>17.899999999999999</v>
      </c>
      <c r="CD61">
        <v>15.36</v>
      </c>
      <c r="CE61">
        <v>11.37</v>
      </c>
    </row>
    <row r="62" spans="1:83" ht="16.5" customHeight="1">
      <c r="A62" s="18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0.24</v>
      </c>
      <c r="K62">
        <v>0.24</v>
      </c>
      <c r="L62">
        <v>0.24</v>
      </c>
      <c r="M62">
        <v>0.24</v>
      </c>
      <c r="N62">
        <v>0.24</v>
      </c>
      <c r="O62">
        <v>0.24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3" ht="16.5" customHeight="1">
      <c r="A63" s="18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10.16</v>
      </c>
      <c r="K63">
        <v>10.16</v>
      </c>
      <c r="L63">
        <v>10.16</v>
      </c>
      <c r="M63">
        <v>10.16</v>
      </c>
      <c r="N63">
        <v>10.16</v>
      </c>
      <c r="O63">
        <v>10.16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23.5</v>
      </c>
      <c r="BK63">
        <v>0</v>
      </c>
      <c r="BL63">
        <v>0</v>
      </c>
      <c r="BM63">
        <v>0</v>
      </c>
      <c r="BN63">
        <v>24.8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33</v>
      </c>
      <c r="CE63">
        <v>30.7</v>
      </c>
    </row>
    <row r="64" spans="1:83" ht="16.5" customHeight="1">
      <c r="A64" s="18" t="s">
        <v>116</v>
      </c>
      <c r="B64">
        <v>36.5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40.1</v>
      </c>
      <c r="Q64">
        <v>33.299999999999997</v>
      </c>
      <c r="R64">
        <v>33.299999999999997</v>
      </c>
      <c r="S64">
        <v>33.299999999999997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44.8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 s="20">
        <v>18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37.200000000000003</v>
      </c>
      <c r="BG64">
        <v>35.799999999999997</v>
      </c>
      <c r="BH64">
        <v>36.6</v>
      </c>
      <c r="BI64">
        <v>0</v>
      </c>
      <c r="BJ64">
        <v>0</v>
      </c>
      <c r="BK64">
        <v>0</v>
      </c>
      <c r="BL64">
        <v>0</v>
      </c>
      <c r="BM64">
        <v>41.6</v>
      </c>
      <c r="BN64">
        <v>0</v>
      </c>
      <c r="BO64">
        <v>0</v>
      </c>
      <c r="BP64">
        <v>0</v>
      </c>
      <c r="BQ64">
        <v>0</v>
      </c>
      <c r="BR64">
        <v>33.659999999999997</v>
      </c>
      <c r="BS64">
        <v>36.299999999999997</v>
      </c>
      <c r="BT64">
        <v>36.799999999999997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 spans="1:83" ht="16.5" customHeight="1">
      <c r="A65" s="18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A65">
        <v>3.4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 spans="1:83" ht="16.5" customHeight="1">
      <c r="A66" s="18" t="s">
        <v>118</v>
      </c>
      <c r="B66">
        <v>1.2</v>
      </c>
      <c r="C66">
        <v>0</v>
      </c>
      <c r="D66">
        <v>0</v>
      </c>
      <c r="E66">
        <v>0.9</v>
      </c>
      <c r="F66">
        <v>0</v>
      </c>
      <c r="G66">
        <v>0</v>
      </c>
      <c r="H66">
        <v>0</v>
      </c>
      <c r="I66">
        <v>0</v>
      </c>
      <c r="J66">
        <v>0.39</v>
      </c>
      <c r="K66">
        <v>0.39</v>
      </c>
      <c r="L66">
        <v>0.39</v>
      </c>
      <c r="M66">
        <v>0.39</v>
      </c>
      <c r="N66">
        <v>0.39</v>
      </c>
      <c r="O66">
        <v>0.39</v>
      </c>
      <c r="P66">
        <v>0.2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</v>
      </c>
      <c r="X66">
        <v>1.1000000000000001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1.5</v>
      </c>
      <c r="AN66">
        <v>0.9</v>
      </c>
      <c r="AO66">
        <v>0</v>
      </c>
      <c r="AP66">
        <v>0</v>
      </c>
      <c r="AQ66">
        <v>0</v>
      </c>
      <c r="AR66">
        <v>0.2</v>
      </c>
      <c r="AS66">
        <v>0</v>
      </c>
      <c r="AT66">
        <v>1.9</v>
      </c>
      <c r="AU66">
        <v>0</v>
      </c>
      <c r="AV66">
        <v>0</v>
      </c>
      <c r="AW66">
        <v>0</v>
      </c>
      <c r="AX66">
        <v>0</v>
      </c>
      <c r="AY66">
        <v>0</v>
      </c>
      <c r="AZ66" s="20">
        <v>2</v>
      </c>
      <c r="BA66">
        <v>0</v>
      </c>
      <c r="BB66">
        <v>0</v>
      </c>
      <c r="BC66">
        <v>0.4</v>
      </c>
      <c r="BD66">
        <v>0</v>
      </c>
      <c r="BE66">
        <v>0.9</v>
      </c>
      <c r="BF66">
        <v>0.2</v>
      </c>
      <c r="BG66">
        <v>0.2</v>
      </c>
      <c r="BH66">
        <v>0.2</v>
      </c>
      <c r="BI66">
        <v>0.9</v>
      </c>
      <c r="BJ66">
        <v>0.1</v>
      </c>
      <c r="BK66">
        <v>1</v>
      </c>
      <c r="BL66">
        <v>0.37</v>
      </c>
      <c r="BM66">
        <v>1</v>
      </c>
      <c r="BN66">
        <v>0.9</v>
      </c>
      <c r="BO66">
        <v>0.97</v>
      </c>
      <c r="BP66">
        <v>0.9</v>
      </c>
      <c r="BQ66">
        <v>0</v>
      </c>
      <c r="BR66">
        <v>1.2</v>
      </c>
      <c r="BS66">
        <v>0.7</v>
      </c>
      <c r="BT66">
        <v>0.7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1.7</v>
      </c>
      <c r="CA66">
        <v>0</v>
      </c>
      <c r="CB66">
        <v>0</v>
      </c>
      <c r="CC66">
        <v>0</v>
      </c>
      <c r="CD66">
        <v>0.37</v>
      </c>
      <c r="CE66">
        <v>0.6</v>
      </c>
    </row>
    <row r="67" spans="1:83" ht="18" customHeight="1">
      <c r="A67" s="18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6.5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6.4</v>
      </c>
      <c r="AL67">
        <v>0</v>
      </c>
      <c r="AM67">
        <v>0</v>
      </c>
      <c r="AN67">
        <v>0</v>
      </c>
      <c r="AO67">
        <v>0</v>
      </c>
      <c r="AP67">
        <v>13.92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6.4</v>
      </c>
      <c r="AW67">
        <v>0</v>
      </c>
      <c r="AX67">
        <v>0</v>
      </c>
      <c r="AY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6.3</v>
      </c>
      <c r="BZ67">
        <v>0</v>
      </c>
      <c r="CA67">
        <v>6.6</v>
      </c>
      <c r="CB67">
        <v>0</v>
      </c>
      <c r="CC67">
        <v>0</v>
      </c>
    </row>
    <row r="68" spans="1:83" ht="16.5" customHeight="1">
      <c r="A68" s="21" t="s">
        <v>134</v>
      </c>
      <c r="AZ68" s="20">
        <v>9</v>
      </c>
    </row>
    <row r="69" spans="1:83" ht="16.5" customHeight="1">
      <c r="A69" s="18" t="s">
        <v>120</v>
      </c>
      <c r="B69">
        <v>53.1</v>
      </c>
      <c r="C69">
        <v>58.9</v>
      </c>
      <c r="D69">
        <v>0</v>
      </c>
      <c r="E69">
        <v>47.5</v>
      </c>
      <c r="F69">
        <v>0</v>
      </c>
      <c r="G69">
        <v>58</v>
      </c>
      <c r="H69">
        <v>57.6</v>
      </c>
      <c r="I69">
        <v>0</v>
      </c>
      <c r="J69">
        <v>53.2</v>
      </c>
      <c r="K69">
        <v>53.2</v>
      </c>
      <c r="L69">
        <v>53.2</v>
      </c>
      <c r="M69">
        <v>53.2</v>
      </c>
      <c r="N69">
        <v>53.2</v>
      </c>
      <c r="O69">
        <v>53.2</v>
      </c>
      <c r="P69">
        <v>43</v>
      </c>
      <c r="Q69">
        <v>35.5</v>
      </c>
      <c r="R69">
        <v>35.5</v>
      </c>
      <c r="S69">
        <v>35.5</v>
      </c>
      <c r="T69">
        <v>0</v>
      </c>
      <c r="U69">
        <v>54</v>
      </c>
      <c r="V69">
        <v>0</v>
      </c>
      <c r="W69">
        <v>71.400000000000006</v>
      </c>
      <c r="X69">
        <v>70.900000000000006</v>
      </c>
      <c r="Y69">
        <v>0</v>
      </c>
      <c r="Z69">
        <v>58.8</v>
      </c>
      <c r="AA69">
        <v>0</v>
      </c>
      <c r="AB69">
        <v>0</v>
      </c>
      <c r="AC69">
        <v>43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75.900000000000006</v>
      </c>
      <c r="AM69">
        <v>67.900000000000006</v>
      </c>
      <c r="AN69">
        <v>43.96</v>
      </c>
      <c r="AO69">
        <v>46</v>
      </c>
      <c r="AP69">
        <v>0</v>
      </c>
      <c r="AQ69">
        <v>45.1</v>
      </c>
      <c r="AR69">
        <v>47.8</v>
      </c>
      <c r="AS69">
        <v>0</v>
      </c>
      <c r="AT69">
        <v>83.4</v>
      </c>
      <c r="AU69">
        <v>0</v>
      </c>
      <c r="AV69">
        <v>0</v>
      </c>
      <c r="AW69">
        <v>0</v>
      </c>
      <c r="AX69">
        <v>0</v>
      </c>
      <c r="AY69">
        <v>81.400000000000006</v>
      </c>
      <c r="AZ69" s="20">
        <v>43</v>
      </c>
      <c r="BA69">
        <v>0</v>
      </c>
      <c r="BB69">
        <v>0</v>
      </c>
      <c r="BC69">
        <v>77.8</v>
      </c>
      <c r="BD69">
        <v>0</v>
      </c>
      <c r="BE69">
        <v>43.5</v>
      </c>
      <c r="BF69">
        <v>39.700000000000003</v>
      </c>
      <c r="BG69">
        <v>38.200000000000003</v>
      </c>
      <c r="BH69">
        <v>39</v>
      </c>
      <c r="BI69">
        <v>48</v>
      </c>
      <c r="BJ69">
        <v>29.3</v>
      </c>
      <c r="BK69">
        <v>45</v>
      </c>
      <c r="BL69">
        <v>29.5</v>
      </c>
      <c r="BM69">
        <v>44.4</v>
      </c>
      <c r="BN69">
        <v>39.6</v>
      </c>
      <c r="BO69">
        <v>47.62</v>
      </c>
      <c r="BP69">
        <v>47.5</v>
      </c>
      <c r="BQ69">
        <v>0</v>
      </c>
      <c r="BR69">
        <v>54.5</v>
      </c>
      <c r="BS69">
        <v>38.700000000000003</v>
      </c>
      <c r="BT69">
        <v>39.200000000000003</v>
      </c>
      <c r="BU69">
        <v>0</v>
      </c>
      <c r="BV69">
        <v>56</v>
      </c>
      <c r="BW69">
        <v>56</v>
      </c>
      <c r="BX69">
        <v>0</v>
      </c>
      <c r="BY69">
        <v>0</v>
      </c>
      <c r="BZ69">
        <v>73.900000000000006</v>
      </c>
      <c r="CA69">
        <v>0</v>
      </c>
      <c r="CB69">
        <v>0</v>
      </c>
      <c r="CC69">
        <v>59.6</v>
      </c>
      <c r="CD69">
        <v>29.5</v>
      </c>
      <c r="CE69">
        <v>27.8</v>
      </c>
    </row>
    <row r="70" spans="1:83" ht="16.5" customHeight="1">
      <c r="A70" s="18" t="s">
        <v>121</v>
      </c>
      <c r="B70">
        <v>0.86</v>
      </c>
      <c r="C70">
        <v>0.6</v>
      </c>
      <c r="D70">
        <v>1.1000000000000001</v>
      </c>
      <c r="E70">
        <v>0.9</v>
      </c>
      <c r="F70">
        <v>1</v>
      </c>
      <c r="G70">
        <v>0.6</v>
      </c>
      <c r="H70">
        <v>0.5</v>
      </c>
      <c r="I70">
        <v>1.2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0.7</v>
      </c>
      <c r="Q70">
        <v>0.9</v>
      </c>
      <c r="R70">
        <v>0.9</v>
      </c>
      <c r="S70">
        <v>0.9</v>
      </c>
      <c r="T70">
        <v>1.1000000000000001</v>
      </c>
      <c r="U70">
        <v>1</v>
      </c>
      <c r="V70">
        <v>0.85</v>
      </c>
      <c r="W70">
        <v>1.2</v>
      </c>
      <c r="X70">
        <v>0.9</v>
      </c>
      <c r="Y70">
        <v>1.1000000000000001</v>
      </c>
      <c r="Z70">
        <v>0.9</v>
      </c>
      <c r="AA70">
        <v>0.08</v>
      </c>
      <c r="AB70">
        <v>1</v>
      </c>
      <c r="AC70">
        <v>0.8</v>
      </c>
      <c r="AD70">
        <v>1</v>
      </c>
      <c r="AE70">
        <v>0</v>
      </c>
      <c r="AF70">
        <v>1</v>
      </c>
      <c r="AG70">
        <v>1</v>
      </c>
      <c r="AH70">
        <v>1.1000000000000001</v>
      </c>
      <c r="AI70">
        <v>0.85</v>
      </c>
      <c r="AJ70">
        <v>0.2</v>
      </c>
      <c r="AK70">
        <v>0.9</v>
      </c>
      <c r="AL70">
        <v>0</v>
      </c>
      <c r="AM70">
        <v>1.2</v>
      </c>
      <c r="AN70">
        <v>0.8</v>
      </c>
      <c r="AO70">
        <v>0.8</v>
      </c>
      <c r="AP70">
        <v>1.1000000000000001</v>
      </c>
      <c r="AQ70">
        <v>0.7</v>
      </c>
      <c r="AR70">
        <v>0.8</v>
      </c>
      <c r="AS70">
        <v>1.2</v>
      </c>
      <c r="AT70">
        <v>1.5</v>
      </c>
      <c r="AU70">
        <v>1</v>
      </c>
      <c r="AV70">
        <v>0.9</v>
      </c>
      <c r="AW70">
        <v>1.1000000000000001</v>
      </c>
      <c r="AX70">
        <v>2.5</v>
      </c>
      <c r="AY70">
        <v>0</v>
      </c>
      <c r="AZ70" s="20">
        <v>2</v>
      </c>
      <c r="BA70">
        <v>1.1000000000000001</v>
      </c>
      <c r="BB70">
        <v>1</v>
      </c>
      <c r="BC70">
        <v>1.4</v>
      </c>
      <c r="BD70">
        <v>1</v>
      </c>
      <c r="BE70">
        <v>0.8</v>
      </c>
      <c r="BF70">
        <v>0.7</v>
      </c>
      <c r="BG70">
        <v>0.7</v>
      </c>
      <c r="BH70">
        <v>0.7</v>
      </c>
      <c r="BI70">
        <v>0.9</v>
      </c>
      <c r="BJ70">
        <v>0.5</v>
      </c>
      <c r="BK70">
        <v>0.8</v>
      </c>
      <c r="BL70">
        <v>0.53</v>
      </c>
      <c r="BM70">
        <v>0.8</v>
      </c>
      <c r="BN70">
        <v>0.7</v>
      </c>
      <c r="BO70">
        <v>0.86</v>
      </c>
      <c r="BP70">
        <v>0.9</v>
      </c>
      <c r="BQ70">
        <v>0.8</v>
      </c>
      <c r="BR70">
        <v>1</v>
      </c>
      <c r="BS70">
        <v>0.7</v>
      </c>
      <c r="BT70">
        <v>0.7</v>
      </c>
      <c r="BU70">
        <v>1</v>
      </c>
      <c r="BV70">
        <v>0.8</v>
      </c>
      <c r="BW70">
        <v>0.8</v>
      </c>
      <c r="BX70">
        <v>1</v>
      </c>
      <c r="BY70">
        <v>0.9</v>
      </c>
      <c r="BZ70">
        <v>1.3</v>
      </c>
      <c r="CA70">
        <v>0.9</v>
      </c>
      <c r="CB70">
        <v>1.1000000000000001</v>
      </c>
      <c r="CC70">
        <v>0.6</v>
      </c>
      <c r="CD70">
        <v>0.53</v>
      </c>
      <c r="CE70">
        <v>0.5</v>
      </c>
    </row>
    <row r="71" spans="1:83" ht="16.5" customHeight="1">
      <c r="A71" s="18" t="s">
        <v>122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6.65</v>
      </c>
      <c r="K71">
        <v>6.65</v>
      </c>
      <c r="L71">
        <v>6.65</v>
      </c>
      <c r="M71">
        <v>6.65</v>
      </c>
      <c r="N71">
        <v>6.65</v>
      </c>
      <c r="O71">
        <v>6.65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3" ht="16.5" customHeight="1">
      <c r="A72" s="18" t="s">
        <v>123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A72">
        <v>1.3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3" ht="16.5" customHeight="1">
      <c r="A73" s="18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0.8</v>
      </c>
      <c r="H73">
        <v>0.6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1.21</v>
      </c>
      <c r="W73">
        <v>0</v>
      </c>
      <c r="X73">
        <v>0</v>
      </c>
      <c r="Y73">
        <v>0</v>
      </c>
      <c r="Z73">
        <v>0</v>
      </c>
      <c r="AA73">
        <v>0</v>
      </c>
      <c r="AB73">
        <v>1.3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1.21</v>
      </c>
      <c r="AJ73">
        <v>0</v>
      </c>
      <c r="AK73">
        <v>1.3</v>
      </c>
      <c r="AL73">
        <v>0</v>
      </c>
      <c r="AM73">
        <v>0</v>
      </c>
      <c r="AN73">
        <v>0</v>
      </c>
      <c r="AO73">
        <v>0</v>
      </c>
      <c r="AP73">
        <v>0.99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1.3</v>
      </c>
      <c r="AW73">
        <v>0</v>
      </c>
      <c r="AX73">
        <v>0</v>
      </c>
      <c r="AY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1.3</v>
      </c>
      <c r="BZ73">
        <v>0</v>
      </c>
      <c r="CA73">
        <v>1.3</v>
      </c>
      <c r="CB73">
        <v>0</v>
      </c>
      <c r="CC73">
        <v>0</v>
      </c>
    </row>
    <row r="74" spans="1:83" ht="16.5" customHeight="1">
      <c r="A74" s="18" t="s">
        <v>125</v>
      </c>
      <c r="B74">
        <v>0</v>
      </c>
      <c r="C74">
        <v>0</v>
      </c>
      <c r="D74">
        <v>0</v>
      </c>
      <c r="E74">
        <v>0</v>
      </c>
      <c r="F74">
        <v>0</v>
      </c>
      <c r="G74">
        <v>1.2</v>
      </c>
      <c r="H74">
        <v>1.2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1.2</v>
      </c>
      <c r="AV74">
        <v>0</v>
      </c>
      <c r="AW74">
        <v>0</v>
      </c>
      <c r="AX74">
        <v>0</v>
      </c>
      <c r="AY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 spans="1:83" ht="16.5" customHeight="1">
      <c r="A75" s="18" t="s">
        <v>126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76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 spans="1:83" ht="16.5" customHeight="1">
      <c r="A76" s="18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83.3</v>
      </c>
      <c r="AY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 spans="1:83" ht="16.5" customHeight="1">
      <c r="A77" s="18" t="s">
        <v>128</v>
      </c>
      <c r="B77">
        <v>0</v>
      </c>
      <c r="C77">
        <v>0</v>
      </c>
      <c r="D77">
        <v>0</v>
      </c>
      <c r="E77">
        <v>0</v>
      </c>
      <c r="F77">
        <v>0</v>
      </c>
      <c r="G77">
        <v>1.2</v>
      </c>
      <c r="H77">
        <v>1.2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3.2</v>
      </c>
      <c r="Q77">
        <v>2.7</v>
      </c>
      <c r="R77">
        <v>2.7</v>
      </c>
      <c r="S77">
        <v>2.7</v>
      </c>
      <c r="T77">
        <v>0</v>
      </c>
      <c r="U77">
        <v>0</v>
      </c>
      <c r="V77">
        <v>0</v>
      </c>
      <c r="W77">
        <v>0</v>
      </c>
      <c r="X77">
        <v>0.6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3.4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3.74</v>
      </c>
      <c r="BS77">
        <v>3.6</v>
      </c>
      <c r="BT77">
        <v>3.7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 spans="1:83" ht="16.5" customHeight="1">
      <c r="A78" s="18" t="s">
        <v>129</v>
      </c>
      <c r="B78">
        <v>0</v>
      </c>
      <c r="C78">
        <v>0</v>
      </c>
      <c r="D78">
        <v>0</v>
      </c>
      <c r="E78">
        <v>0</v>
      </c>
      <c r="F78">
        <v>0</v>
      </c>
      <c r="G78">
        <v>1.2</v>
      </c>
      <c r="H78">
        <v>1.2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1.9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1.8</v>
      </c>
      <c r="CA78">
        <v>0</v>
      </c>
      <c r="CB78">
        <v>0</v>
      </c>
      <c r="CC78">
        <v>0</v>
      </c>
    </row>
    <row r="79" spans="1:83" ht="16.5" customHeight="1">
      <c r="A79" s="18" t="s">
        <v>130</v>
      </c>
      <c r="B79">
        <v>0.4</v>
      </c>
      <c r="C79">
        <v>0</v>
      </c>
      <c r="D79">
        <v>0</v>
      </c>
      <c r="E79">
        <v>0.4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0.3</v>
      </c>
      <c r="Q79">
        <v>0.2</v>
      </c>
      <c r="R79">
        <v>0.2</v>
      </c>
      <c r="S79">
        <v>0.2</v>
      </c>
      <c r="T79">
        <v>0</v>
      </c>
      <c r="U79">
        <v>0</v>
      </c>
      <c r="V79">
        <v>0</v>
      </c>
      <c r="W79">
        <v>0.5</v>
      </c>
      <c r="X79">
        <v>0.4</v>
      </c>
      <c r="Y79">
        <v>0</v>
      </c>
      <c r="Z79">
        <v>0.3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0.5</v>
      </c>
      <c r="AN79">
        <v>0.38</v>
      </c>
      <c r="AO79">
        <v>0</v>
      </c>
      <c r="AP79">
        <v>0</v>
      </c>
      <c r="AQ79">
        <v>0</v>
      </c>
      <c r="AR79">
        <v>0.4</v>
      </c>
      <c r="AS79">
        <v>0</v>
      </c>
      <c r="AT79">
        <v>0.6</v>
      </c>
      <c r="AU79">
        <v>0</v>
      </c>
      <c r="AV79">
        <v>0</v>
      </c>
      <c r="AW79">
        <v>0</v>
      </c>
      <c r="AX79">
        <v>0</v>
      </c>
      <c r="AY79">
        <v>0</v>
      </c>
      <c r="AZ79" s="20">
        <v>2</v>
      </c>
      <c r="BA79">
        <v>0</v>
      </c>
      <c r="BB79">
        <v>0</v>
      </c>
      <c r="BC79">
        <v>0.6</v>
      </c>
      <c r="BD79">
        <v>0</v>
      </c>
      <c r="BE79">
        <v>0.4</v>
      </c>
      <c r="BF79">
        <v>0.3</v>
      </c>
      <c r="BG79">
        <v>0.3</v>
      </c>
      <c r="BH79">
        <v>0.3</v>
      </c>
      <c r="BI79">
        <v>0.5</v>
      </c>
      <c r="BJ79">
        <v>0.2</v>
      </c>
      <c r="BK79">
        <v>0.4</v>
      </c>
      <c r="BL79">
        <v>0.24</v>
      </c>
      <c r="BM79">
        <v>0.4</v>
      </c>
      <c r="BN79">
        <v>0.3</v>
      </c>
      <c r="BO79">
        <v>0.4</v>
      </c>
      <c r="BP79">
        <v>0.4</v>
      </c>
      <c r="BQ79">
        <v>0</v>
      </c>
      <c r="BR79">
        <v>0.5</v>
      </c>
      <c r="BS79">
        <v>0.3</v>
      </c>
      <c r="BT79">
        <v>0.3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0.6</v>
      </c>
      <c r="CA79">
        <v>0</v>
      </c>
      <c r="CB79">
        <v>0</v>
      </c>
      <c r="CC79">
        <v>0</v>
      </c>
      <c r="CD79">
        <v>0.24</v>
      </c>
      <c r="CE79">
        <v>0.23</v>
      </c>
    </row>
    <row r="80" spans="1:83" ht="16.5" customHeight="1">
      <c r="A80" s="18" t="s">
        <v>131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3.2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1" ht="16.5" customHeight="1">
      <c r="A81" s="18" t="s">
        <v>132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2.2000000000000002</v>
      </c>
      <c r="K81">
        <v>2.2000000000000002</v>
      </c>
      <c r="L81">
        <v>2.2000000000000002</v>
      </c>
      <c r="M81">
        <v>2.2000000000000002</v>
      </c>
      <c r="N81">
        <v>2.2000000000000002</v>
      </c>
      <c r="O81">
        <v>2.2000000000000002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1" ht="16.5" customHeight="1">
      <c r="A82" s="18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4.26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13.3</v>
      </c>
      <c r="CB82">
        <v>0</v>
      </c>
      <c r="CC82">
        <v>0</v>
      </c>
    </row>
    <row r="83" spans="1:81" ht="16.5" customHeight="1">
      <c r="A83" s="18" t="s">
        <v>223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</sheetData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505"/>
  <sheetViews>
    <sheetView zoomScaleNormal="100" workbookViewId="0"/>
  </sheetViews>
  <sheetFormatPr defaultColWidth="8.5" defaultRowHeight="16.5"/>
  <cols>
    <col min="1" max="1" width="6" customWidth="1"/>
    <col min="2" max="2" width="13" customWidth="1"/>
    <col min="3" max="3" width="24" customWidth="1"/>
    <col min="4" max="4" width="10" customWidth="1"/>
    <col min="5" max="5" width="14" customWidth="1"/>
    <col min="6" max="6" width="10" customWidth="1"/>
    <col min="7" max="86" width="11" customWidth="1"/>
    <col min="87" max="87" width="14" customWidth="1"/>
  </cols>
  <sheetData>
    <row r="1" spans="1:90" ht="34.5" customHeight="1">
      <c r="A1" s="182" t="s">
        <v>224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</row>
    <row r="2" spans="1:90" ht="18" customHeight="1">
      <c r="A2" s="190" t="s">
        <v>225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</row>
    <row r="3" spans="1:90" ht="30" customHeight="1">
      <c r="A3" s="186" t="s">
        <v>46</v>
      </c>
      <c r="B3" s="184" t="s">
        <v>226</v>
      </c>
      <c r="C3" s="184" t="s">
        <v>227</v>
      </c>
      <c r="D3" s="184" t="s">
        <v>228</v>
      </c>
      <c r="E3" s="186" t="s">
        <v>229</v>
      </c>
      <c r="F3" s="184" t="s">
        <v>230</v>
      </c>
      <c r="G3" s="187" t="s">
        <v>231</v>
      </c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9"/>
      <c r="CJ3" s="22" t="s">
        <v>232</v>
      </c>
      <c r="CL3" t="s">
        <v>233</v>
      </c>
    </row>
    <row r="4" spans="1:90" ht="30" customHeight="1">
      <c r="A4" s="185"/>
      <c r="B4" s="185"/>
      <c r="C4" s="185"/>
      <c r="D4" s="185"/>
      <c r="E4" s="185"/>
      <c r="F4" s="185"/>
      <c r="G4" s="23" t="s">
        <v>53</v>
      </c>
      <c r="H4" s="23" t="s">
        <v>55</v>
      </c>
      <c r="I4" s="23" t="s">
        <v>56</v>
      </c>
      <c r="J4" s="23" t="s">
        <v>57</v>
      </c>
      <c r="K4" s="23" t="s">
        <v>58</v>
      </c>
      <c r="L4" s="23" t="s">
        <v>59</v>
      </c>
      <c r="M4" s="23" t="s">
        <v>60</v>
      </c>
      <c r="N4" s="23" t="s">
        <v>61</v>
      </c>
      <c r="O4" s="23" t="s">
        <v>62</v>
      </c>
      <c r="P4" s="23" t="s">
        <v>63</v>
      </c>
      <c r="Q4" s="23" t="s">
        <v>64</v>
      </c>
      <c r="R4" s="23" t="s">
        <v>65</v>
      </c>
      <c r="S4" s="23" t="s">
        <v>66</v>
      </c>
      <c r="T4" s="23" t="s">
        <v>67</v>
      </c>
      <c r="U4" s="23" t="s">
        <v>68</v>
      </c>
      <c r="V4" s="23" t="s">
        <v>69</v>
      </c>
      <c r="W4" s="23" t="s">
        <v>70</v>
      </c>
      <c r="X4" s="23" t="s">
        <v>71</v>
      </c>
      <c r="Y4" s="23" t="s">
        <v>72</v>
      </c>
      <c r="Z4" s="23" t="s">
        <v>73</v>
      </c>
      <c r="AA4" s="23" t="s">
        <v>74</v>
      </c>
      <c r="AB4" s="23" t="s">
        <v>75</v>
      </c>
      <c r="AC4" s="23" t="s">
        <v>76</v>
      </c>
      <c r="AD4" s="23" t="s">
        <v>77</v>
      </c>
      <c r="AE4" s="23" t="s">
        <v>78</v>
      </c>
      <c r="AF4" s="23" t="s">
        <v>79</v>
      </c>
      <c r="AG4" s="23" t="s">
        <v>80</v>
      </c>
      <c r="AH4" s="23" t="s">
        <v>81</v>
      </c>
      <c r="AI4" s="23" t="s">
        <v>82</v>
      </c>
      <c r="AJ4" s="23" t="s">
        <v>83</v>
      </c>
      <c r="AK4" s="23" t="s">
        <v>84</v>
      </c>
      <c r="AL4" s="23" t="s">
        <v>85</v>
      </c>
      <c r="AM4" s="23" t="s">
        <v>86</v>
      </c>
      <c r="AN4" s="23" t="s">
        <v>87</v>
      </c>
      <c r="AO4" s="23" t="s">
        <v>88</v>
      </c>
      <c r="AP4" s="23" t="s">
        <v>89</v>
      </c>
      <c r="AQ4" s="23" t="s">
        <v>90</v>
      </c>
      <c r="AR4" s="23" t="s">
        <v>91</v>
      </c>
      <c r="AS4" s="23" t="s">
        <v>92</v>
      </c>
      <c r="AT4" s="23" t="s">
        <v>93</v>
      </c>
      <c r="AU4" s="23" t="s">
        <v>94</v>
      </c>
      <c r="AV4" s="23" t="s">
        <v>95</v>
      </c>
      <c r="AW4" s="23" t="s">
        <v>96</v>
      </c>
      <c r="AX4" s="23" t="s">
        <v>97</v>
      </c>
      <c r="AY4" s="23" t="s">
        <v>98</v>
      </c>
      <c r="AZ4" s="23" t="s">
        <v>99</v>
      </c>
      <c r="BA4" s="23" t="s">
        <v>100</v>
      </c>
      <c r="BB4" s="23" t="s">
        <v>101</v>
      </c>
      <c r="BC4" s="23" t="s">
        <v>102</v>
      </c>
      <c r="BD4" s="23" t="s">
        <v>103</v>
      </c>
      <c r="BE4" s="23" t="s">
        <v>104</v>
      </c>
      <c r="BF4" s="23" t="s">
        <v>105</v>
      </c>
      <c r="BG4" s="23" t="s">
        <v>106</v>
      </c>
      <c r="BH4" s="23" t="s">
        <v>107</v>
      </c>
      <c r="BI4" s="23" t="s">
        <v>108</v>
      </c>
      <c r="BJ4" s="23" t="s">
        <v>109</v>
      </c>
      <c r="BK4" s="23" t="s">
        <v>110</v>
      </c>
      <c r="BL4" s="23" t="s">
        <v>111</v>
      </c>
      <c r="BM4" s="23" t="s">
        <v>112</v>
      </c>
      <c r="BN4" s="23" t="s">
        <v>113</v>
      </c>
      <c r="BO4" s="23" t="s">
        <v>114</v>
      </c>
      <c r="BP4" s="23" t="s">
        <v>115</v>
      </c>
      <c r="BQ4" s="23" t="s">
        <v>116</v>
      </c>
      <c r="BR4" s="23" t="s">
        <v>117</v>
      </c>
      <c r="BS4" s="23" t="s">
        <v>118</v>
      </c>
      <c r="BT4" s="23" t="s">
        <v>119</v>
      </c>
      <c r="BU4" s="23" t="s">
        <v>120</v>
      </c>
      <c r="BV4" s="23" t="s">
        <v>121</v>
      </c>
      <c r="BW4" s="23" t="s">
        <v>122</v>
      </c>
      <c r="BX4" s="23" t="s">
        <v>123</v>
      </c>
      <c r="BY4" s="23" t="s">
        <v>124</v>
      </c>
      <c r="BZ4" s="23" t="s">
        <v>125</v>
      </c>
      <c r="CA4" s="23" t="s">
        <v>126</v>
      </c>
      <c r="CB4" s="23" t="s">
        <v>127</v>
      </c>
      <c r="CC4" s="23" t="s">
        <v>128</v>
      </c>
      <c r="CD4" s="23" t="s">
        <v>129</v>
      </c>
      <c r="CE4" s="23" t="s">
        <v>130</v>
      </c>
      <c r="CF4" s="23" t="s">
        <v>131</v>
      </c>
      <c r="CG4" s="23" t="s">
        <v>132</v>
      </c>
      <c r="CH4" s="23" t="s">
        <v>133</v>
      </c>
      <c r="CI4" s="23" t="s">
        <v>134</v>
      </c>
      <c r="CJ4" s="23"/>
      <c r="CK4" s="23"/>
      <c r="CL4" s="24" t="s">
        <v>234</v>
      </c>
    </row>
    <row r="5" spans="1:90" ht="18" customHeight="1">
      <c r="A5" s="7">
        <v>1</v>
      </c>
      <c r="B5" s="25">
        <v>45940</v>
      </c>
      <c r="C5" s="26" t="s">
        <v>204</v>
      </c>
      <c r="D5" s="27">
        <v>210</v>
      </c>
      <c r="E5" s="7"/>
      <c r="F5" s="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>
        <v>6.93</v>
      </c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>
        <v>6.3</v>
      </c>
      <c r="AL5" s="28"/>
      <c r="AM5" s="28"/>
      <c r="AN5" s="28"/>
      <c r="AO5" s="28"/>
      <c r="AP5" s="28"/>
      <c r="AQ5" s="28"/>
      <c r="AR5" s="28"/>
      <c r="AS5" s="28">
        <v>4.62</v>
      </c>
      <c r="AT5" s="28"/>
      <c r="AU5" s="28"/>
      <c r="AV5" s="28"/>
      <c r="AW5" s="28"/>
      <c r="AX5" s="28"/>
      <c r="AY5" s="28"/>
      <c r="AZ5" s="28">
        <v>4.62</v>
      </c>
      <c r="BA5" s="28"/>
      <c r="BB5" s="28"/>
      <c r="BC5" s="28"/>
      <c r="BD5" s="28"/>
      <c r="BE5" s="28">
        <v>2.31</v>
      </c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>
        <v>87.36</v>
      </c>
      <c r="BR5" s="28"/>
      <c r="BS5" s="28">
        <v>2.1</v>
      </c>
      <c r="BT5" s="28"/>
      <c r="BU5" s="28">
        <v>93.24</v>
      </c>
      <c r="BV5" s="28">
        <v>1.68</v>
      </c>
      <c r="BW5" s="28"/>
      <c r="BX5" s="28"/>
      <c r="BY5" s="28"/>
      <c r="BZ5" s="28"/>
      <c r="CA5" s="28"/>
      <c r="CB5" s="28"/>
      <c r="CC5" s="28"/>
      <c r="CD5" s="28"/>
      <c r="CE5" s="28">
        <v>0.84</v>
      </c>
      <c r="CF5" s="28"/>
      <c r="CG5" s="28"/>
      <c r="CH5" s="28"/>
      <c r="CI5" s="28"/>
      <c r="CJ5" s="29" t="str">
        <f>IFERROR(SUMPRODUCT(G5:CI5,'🏭 원료 마스터'!$C$4:$C$84),"")</f>
        <v/>
      </c>
      <c r="CL5" t="s">
        <v>235</v>
      </c>
    </row>
    <row r="6" spans="1:90" ht="18" customHeight="1">
      <c r="A6" s="11">
        <v>2</v>
      </c>
      <c r="B6" s="25">
        <v>45940</v>
      </c>
      <c r="C6" s="26" t="s">
        <v>205</v>
      </c>
      <c r="D6" s="27">
        <v>140</v>
      </c>
      <c r="E6" s="11"/>
      <c r="F6" s="1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>
        <v>2.8</v>
      </c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>
        <v>17.36</v>
      </c>
      <c r="AJ6" s="30"/>
      <c r="AK6" s="30">
        <v>3.78</v>
      </c>
      <c r="AL6" s="30"/>
      <c r="AM6" s="30"/>
      <c r="AN6" s="30"/>
      <c r="AO6" s="30"/>
      <c r="AP6" s="30"/>
      <c r="AQ6" s="30"/>
      <c r="AR6" s="30"/>
      <c r="AS6" s="30">
        <v>2.8</v>
      </c>
      <c r="AT6" s="30"/>
      <c r="AU6" s="30"/>
      <c r="AV6" s="30"/>
      <c r="AW6" s="30"/>
      <c r="AX6" s="30"/>
      <c r="AY6" s="30"/>
      <c r="AZ6" s="30">
        <v>2.8</v>
      </c>
      <c r="BA6" s="30"/>
      <c r="BB6" s="30"/>
      <c r="BC6" s="30"/>
      <c r="BD6" s="30"/>
      <c r="BE6" s="30">
        <v>1.4</v>
      </c>
      <c r="BF6" s="30"/>
      <c r="BG6" s="30"/>
      <c r="BH6" s="30"/>
      <c r="BI6" s="30"/>
      <c r="BJ6" s="30"/>
      <c r="BK6" s="30"/>
      <c r="BL6" s="30"/>
      <c r="BM6" s="30"/>
      <c r="BN6" s="30">
        <v>16.239999999999998</v>
      </c>
      <c r="BO6" s="30"/>
      <c r="BP6" s="30">
        <v>34.72</v>
      </c>
      <c r="BQ6" s="30"/>
      <c r="BR6" s="30"/>
      <c r="BS6" s="30">
        <v>1.26</v>
      </c>
      <c r="BT6" s="30"/>
      <c r="BU6" s="30">
        <v>55.44</v>
      </c>
      <c r="BV6" s="30">
        <v>0.98</v>
      </c>
      <c r="BW6" s="30"/>
      <c r="BX6" s="30"/>
      <c r="BY6" s="30"/>
      <c r="BZ6" s="30"/>
      <c r="CA6" s="30"/>
      <c r="CB6" s="30"/>
      <c r="CC6" s="30"/>
      <c r="CD6" s="30"/>
      <c r="CE6" s="30">
        <v>0.42</v>
      </c>
      <c r="CF6" s="30"/>
      <c r="CG6" s="30"/>
      <c r="CH6" s="30"/>
      <c r="CI6" s="30"/>
      <c r="CJ6" s="29" t="str">
        <f>IFERROR(SUMPRODUCT(G6:CI6,'🏭 원료 마스터'!$C$4:$C$84),"")</f>
        <v/>
      </c>
      <c r="CL6" t="s">
        <v>235</v>
      </c>
    </row>
    <row r="7" spans="1:90" ht="18" customHeight="1">
      <c r="A7" s="7">
        <v>3</v>
      </c>
      <c r="B7" s="25">
        <v>45943</v>
      </c>
      <c r="C7" s="26" t="s">
        <v>204</v>
      </c>
      <c r="D7" s="27">
        <v>140</v>
      </c>
      <c r="E7" s="7"/>
      <c r="F7" s="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>
        <v>4.62</v>
      </c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>
        <v>4.2</v>
      </c>
      <c r="AL7" s="28"/>
      <c r="AM7" s="28"/>
      <c r="AN7" s="28"/>
      <c r="AO7" s="28"/>
      <c r="AP7" s="28"/>
      <c r="AQ7" s="28"/>
      <c r="AR7" s="28"/>
      <c r="AS7" s="28">
        <v>3.08</v>
      </c>
      <c r="AT7" s="28"/>
      <c r="AU7" s="28"/>
      <c r="AV7" s="28"/>
      <c r="AW7" s="28"/>
      <c r="AX7" s="28"/>
      <c r="AY7" s="28"/>
      <c r="AZ7" s="28">
        <v>3.08</v>
      </c>
      <c r="BA7" s="28"/>
      <c r="BB7" s="28"/>
      <c r="BC7" s="28"/>
      <c r="BD7" s="28"/>
      <c r="BE7" s="28">
        <v>1.54</v>
      </c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>
        <v>58.24</v>
      </c>
      <c r="BR7" s="28"/>
      <c r="BS7" s="28">
        <v>1.4</v>
      </c>
      <c r="BT7" s="28"/>
      <c r="BU7" s="28">
        <v>62.16</v>
      </c>
      <c r="BV7" s="28">
        <v>1.1200000000000001</v>
      </c>
      <c r="BW7" s="28"/>
      <c r="BX7" s="28"/>
      <c r="BY7" s="28"/>
      <c r="BZ7" s="28"/>
      <c r="CA7" s="28"/>
      <c r="CB7" s="28"/>
      <c r="CC7" s="28"/>
      <c r="CD7" s="28"/>
      <c r="CE7" s="28">
        <v>0.56000000000000005</v>
      </c>
      <c r="CF7" s="28"/>
      <c r="CG7" s="28"/>
      <c r="CH7" s="28"/>
      <c r="CI7" s="28"/>
      <c r="CJ7" s="29" t="str">
        <f>IFERROR(SUMPRODUCT(G7:CI7,'🏭 원료 마스터'!$C$4:$C$84),"")</f>
        <v/>
      </c>
      <c r="CL7" t="s">
        <v>235</v>
      </c>
    </row>
    <row r="8" spans="1:90" ht="18" customHeight="1">
      <c r="A8" s="11">
        <v>4</v>
      </c>
      <c r="B8" s="25">
        <v>45943</v>
      </c>
      <c r="C8" s="26" t="s">
        <v>205</v>
      </c>
      <c r="D8" s="27">
        <v>210</v>
      </c>
      <c r="E8" s="11"/>
      <c r="F8" s="1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>
        <v>4.2</v>
      </c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>
        <v>26.04</v>
      </c>
      <c r="AJ8" s="30"/>
      <c r="AK8" s="30">
        <v>5.67</v>
      </c>
      <c r="AL8" s="30"/>
      <c r="AM8" s="30"/>
      <c r="AN8" s="30"/>
      <c r="AO8" s="30"/>
      <c r="AP8" s="30"/>
      <c r="AQ8" s="30"/>
      <c r="AR8" s="30"/>
      <c r="AS8" s="30">
        <v>4.2</v>
      </c>
      <c r="AT8" s="30"/>
      <c r="AU8" s="30"/>
      <c r="AV8" s="30"/>
      <c r="AW8" s="30"/>
      <c r="AX8" s="30"/>
      <c r="AY8" s="30"/>
      <c r="AZ8" s="30">
        <v>4.2</v>
      </c>
      <c r="BA8" s="30"/>
      <c r="BB8" s="30"/>
      <c r="BC8" s="30"/>
      <c r="BD8" s="30"/>
      <c r="BE8" s="30">
        <v>2.1</v>
      </c>
      <c r="BF8" s="30"/>
      <c r="BG8" s="30"/>
      <c r="BH8" s="30"/>
      <c r="BI8" s="30"/>
      <c r="BJ8" s="30"/>
      <c r="BK8" s="30"/>
      <c r="BL8" s="30"/>
      <c r="BM8" s="30"/>
      <c r="BN8" s="30">
        <v>24.36</v>
      </c>
      <c r="BO8" s="30"/>
      <c r="BP8" s="30">
        <v>52.08</v>
      </c>
      <c r="BQ8" s="30"/>
      <c r="BR8" s="30"/>
      <c r="BS8" s="30">
        <v>1.89</v>
      </c>
      <c r="BT8" s="30"/>
      <c r="BU8" s="30">
        <v>83.16</v>
      </c>
      <c r="BV8" s="30">
        <v>1.47</v>
      </c>
      <c r="BW8" s="30"/>
      <c r="BX8" s="30"/>
      <c r="BY8" s="30"/>
      <c r="BZ8" s="30"/>
      <c r="CA8" s="30"/>
      <c r="CB8" s="30"/>
      <c r="CC8" s="30"/>
      <c r="CD8" s="30"/>
      <c r="CE8" s="30">
        <v>0.63</v>
      </c>
      <c r="CF8" s="30"/>
      <c r="CG8" s="30"/>
      <c r="CH8" s="30"/>
      <c r="CI8" s="30"/>
      <c r="CJ8" s="29" t="str">
        <f>IFERROR(SUMPRODUCT(G8:CI8,'🏭 원료 마스터'!$C$4:$C$84),"")</f>
        <v/>
      </c>
      <c r="CL8" t="s">
        <v>235</v>
      </c>
    </row>
    <row r="9" spans="1:90" ht="18" customHeight="1">
      <c r="A9" s="7">
        <v>5</v>
      </c>
      <c r="B9" s="25">
        <v>45944</v>
      </c>
      <c r="C9" s="26" t="s">
        <v>143</v>
      </c>
      <c r="D9" s="27">
        <v>180</v>
      </c>
      <c r="E9" s="7"/>
      <c r="F9" s="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>
        <v>15.12</v>
      </c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>
        <v>121.14</v>
      </c>
      <c r="AR9" s="28"/>
      <c r="AS9" s="28"/>
      <c r="AT9" s="28"/>
      <c r="AU9" s="28"/>
      <c r="AV9" s="28"/>
      <c r="AW9" s="28">
        <v>3.96</v>
      </c>
      <c r="AX9" s="28"/>
      <c r="AY9" s="28"/>
      <c r="AZ9" s="28">
        <v>15.12</v>
      </c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>
        <v>22.68</v>
      </c>
      <c r="BO9" s="28"/>
      <c r="BP9" s="28"/>
      <c r="BQ9" s="28"/>
      <c r="BR9" s="28"/>
      <c r="BS9" s="28"/>
      <c r="BT9" s="28"/>
      <c r="BU9" s="28"/>
      <c r="BV9" s="28">
        <v>1.98</v>
      </c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9" t="str">
        <f>IFERROR(SUMPRODUCT(G9:CI9,'🏭 원료 마스터'!$C$4:$C$84),"")</f>
        <v/>
      </c>
      <c r="CL9" t="s">
        <v>235</v>
      </c>
    </row>
    <row r="10" spans="1:90" ht="18" customHeight="1">
      <c r="A10" s="11">
        <v>6</v>
      </c>
      <c r="B10" s="25">
        <v>45945</v>
      </c>
      <c r="C10" s="26" t="s">
        <v>143</v>
      </c>
      <c r="D10" s="27">
        <v>60</v>
      </c>
      <c r="E10" s="11"/>
      <c r="F10" s="11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>
        <v>5.04</v>
      </c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>
        <v>40.380000000000003</v>
      </c>
      <c r="AR10" s="30"/>
      <c r="AS10" s="30"/>
      <c r="AT10" s="30"/>
      <c r="AU10" s="30"/>
      <c r="AV10" s="30"/>
      <c r="AW10" s="30">
        <v>1.32</v>
      </c>
      <c r="AX10" s="30"/>
      <c r="AY10" s="30"/>
      <c r="AZ10" s="30">
        <v>5.04</v>
      </c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>
        <v>7.56</v>
      </c>
      <c r="BO10" s="30"/>
      <c r="BP10" s="30"/>
      <c r="BQ10" s="30"/>
      <c r="BR10" s="30"/>
      <c r="BS10" s="30"/>
      <c r="BT10" s="30"/>
      <c r="BU10" s="30"/>
      <c r="BV10" s="30">
        <v>0.66</v>
      </c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29" t="str">
        <f>IFERROR(SUMPRODUCT(G10:CI10,'🏭 원료 마스터'!$C$4:$C$84),"")</f>
        <v/>
      </c>
      <c r="CL10" t="s">
        <v>235</v>
      </c>
    </row>
    <row r="11" spans="1:90" ht="18" customHeight="1">
      <c r="A11" s="7">
        <v>7</v>
      </c>
      <c r="B11" s="25">
        <v>45945</v>
      </c>
      <c r="C11" s="26" t="s">
        <v>184</v>
      </c>
      <c r="D11" s="27">
        <v>120</v>
      </c>
      <c r="E11" s="7"/>
      <c r="F11" s="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>
        <v>83.4</v>
      </c>
      <c r="AR11" s="28"/>
      <c r="AS11" s="28"/>
      <c r="AT11" s="28"/>
      <c r="AU11" s="28"/>
      <c r="AV11" s="28"/>
      <c r="AW11" s="28"/>
      <c r="AX11" s="28"/>
      <c r="AY11" s="28"/>
      <c r="AZ11" s="28">
        <v>13.56</v>
      </c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>
        <v>10.8</v>
      </c>
      <c r="BL11" s="28"/>
      <c r="BM11" s="28"/>
      <c r="BN11" s="28">
        <v>10.8</v>
      </c>
      <c r="BO11" s="28"/>
      <c r="BP11" s="28"/>
      <c r="BQ11" s="28"/>
      <c r="BR11" s="28"/>
      <c r="BS11" s="28"/>
      <c r="BT11" s="28"/>
      <c r="BU11" s="28"/>
      <c r="BV11" s="28">
        <v>1.44</v>
      </c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9" t="str">
        <f>IFERROR(SUMPRODUCT(G11:CI11,'🏭 원료 마스터'!$C$4:$C$84),"")</f>
        <v/>
      </c>
      <c r="CL11" t="s">
        <v>235</v>
      </c>
    </row>
    <row r="12" spans="1:90" ht="18" customHeight="1">
      <c r="A12" s="11">
        <v>8</v>
      </c>
      <c r="B12" s="25">
        <v>45946</v>
      </c>
      <c r="C12" s="26" t="s">
        <v>220</v>
      </c>
      <c r="D12" s="27">
        <v>40</v>
      </c>
      <c r="E12" s="11"/>
      <c r="F12" s="11"/>
      <c r="G12" s="30"/>
      <c r="H12" s="30">
        <v>0.72</v>
      </c>
      <c r="I12" s="30"/>
      <c r="J12" s="30"/>
      <c r="K12" s="30"/>
      <c r="L12" s="30">
        <v>0.16</v>
      </c>
      <c r="M12" s="30">
        <v>0.72</v>
      </c>
      <c r="N12" s="30"/>
      <c r="O12" s="30"/>
      <c r="P12" s="30"/>
      <c r="Q12" s="30"/>
      <c r="R12" s="30"/>
      <c r="S12" s="30"/>
      <c r="T12" s="30"/>
      <c r="U12" s="30"/>
      <c r="V12" s="30">
        <v>1.2</v>
      </c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>
        <v>1.68</v>
      </c>
      <c r="AU12" s="30"/>
      <c r="AV12" s="30"/>
      <c r="AW12" s="30"/>
      <c r="AX12" s="30"/>
      <c r="AY12" s="30"/>
      <c r="AZ12" s="30">
        <v>3.56</v>
      </c>
      <c r="BA12" s="30"/>
      <c r="BB12" s="30"/>
      <c r="BC12" s="30"/>
      <c r="BD12" s="30"/>
      <c r="BE12" s="30"/>
      <c r="BF12" s="30"/>
      <c r="BG12" s="30"/>
      <c r="BH12" s="30"/>
      <c r="BI12" s="30"/>
      <c r="BJ12" s="30">
        <v>0.72</v>
      </c>
      <c r="BK12" s="30"/>
      <c r="BL12" s="30"/>
      <c r="BM12" s="30"/>
      <c r="BN12" s="30">
        <v>7.16</v>
      </c>
      <c r="BO12" s="30"/>
      <c r="BP12" s="30"/>
      <c r="BQ12" s="30"/>
      <c r="BR12" s="30"/>
      <c r="BS12" s="30"/>
      <c r="BT12" s="30"/>
      <c r="BU12" s="30">
        <v>23.84</v>
      </c>
      <c r="BV12" s="30">
        <v>0.24</v>
      </c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29" t="str">
        <f>IFERROR(SUMPRODUCT(G12:CI12,'🏭 원료 마스터'!$C$4:$C$84),"")</f>
        <v/>
      </c>
      <c r="CL12" t="s">
        <v>235</v>
      </c>
    </row>
    <row r="13" spans="1:90" ht="18" customHeight="1">
      <c r="A13" s="7">
        <v>9</v>
      </c>
      <c r="B13" s="25">
        <v>45946</v>
      </c>
      <c r="C13" s="26" t="s">
        <v>142</v>
      </c>
      <c r="D13" s="27">
        <v>40</v>
      </c>
      <c r="E13" s="7"/>
      <c r="F13" s="7"/>
      <c r="G13" s="28"/>
      <c r="H13" s="28">
        <v>1.4</v>
      </c>
      <c r="I13" s="28"/>
      <c r="J13" s="28"/>
      <c r="K13" s="28"/>
      <c r="L13" s="28">
        <v>0.16</v>
      </c>
      <c r="M13" s="28">
        <v>1.4</v>
      </c>
      <c r="N13" s="28"/>
      <c r="O13" s="28"/>
      <c r="P13" s="28"/>
      <c r="Q13" s="28">
        <v>1.88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>
        <v>1.68</v>
      </c>
      <c r="AU13" s="28"/>
      <c r="AV13" s="28"/>
      <c r="AW13" s="28"/>
      <c r="AX13" s="28"/>
      <c r="AY13" s="28"/>
      <c r="AZ13" s="28">
        <v>2.6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>
        <v>7.08</v>
      </c>
      <c r="BO13" s="28"/>
      <c r="BP13" s="28"/>
      <c r="BQ13" s="28"/>
      <c r="BR13" s="28"/>
      <c r="BS13" s="28"/>
      <c r="BT13" s="28"/>
      <c r="BU13" s="28">
        <v>23.56</v>
      </c>
      <c r="BV13" s="28">
        <v>0.24</v>
      </c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9" t="str">
        <f>IFERROR(SUMPRODUCT(G13:CI13,'🏭 원료 마스터'!$C$4:$C$84),"")</f>
        <v/>
      </c>
      <c r="CL13" t="s">
        <v>235</v>
      </c>
    </row>
    <row r="14" spans="1:90" ht="18" customHeight="1">
      <c r="A14" s="11">
        <v>10</v>
      </c>
      <c r="B14" s="25">
        <v>45946</v>
      </c>
      <c r="C14" s="26" t="s">
        <v>183</v>
      </c>
      <c r="D14" s="27">
        <v>280</v>
      </c>
      <c r="E14" s="11"/>
      <c r="F14" s="1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>
        <v>6.72</v>
      </c>
      <c r="AT14" s="30"/>
      <c r="AU14" s="30"/>
      <c r="AV14" s="30"/>
      <c r="AW14" s="30"/>
      <c r="AX14" s="30"/>
      <c r="AY14" s="30"/>
      <c r="AZ14" s="30">
        <v>6.72</v>
      </c>
      <c r="BA14" s="30"/>
      <c r="BB14" s="30"/>
      <c r="BC14" s="30"/>
      <c r="BD14" s="30"/>
      <c r="BE14" s="30"/>
      <c r="BF14" s="30"/>
      <c r="BG14" s="30"/>
      <c r="BH14" s="30"/>
      <c r="BI14" s="30">
        <v>3.36</v>
      </c>
      <c r="BJ14" s="30"/>
      <c r="BK14" s="30"/>
      <c r="BL14" s="30"/>
      <c r="BM14" s="30"/>
      <c r="BN14" s="30"/>
      <c r="BO14" s="30"/>
      <c r="BP14" s="30"/>
      <c r="BQ14" s="30">
        <v>125.44</v>
      </c>
      <c r="BR14" s="30"/>
      <c r="BS14" s="30">
        <v>0.56000000000000005</v>
      </c>
      <c r="BT14" s="30"/>
      <c r="BU14" s="30">
        <v>133.84</v>
      </c>
      <c r="BV14" s="30">
        <v>2.2400000000000002</v>
      </c>
      <c r="BW14" s="30"/>
      <c r="BX14" s="30"/>
      <c r="BY14" s="30"/>
      <c r="BZ14" s="30"/>
      <c r="CA14" s="30"/>
      <c r="CB14" s="30"/>
      <c r="CC14" s="30"/>
      <c r="CD14" s="30"/>
      <c r="CE14" s="30">
        <v>1.1200000000000001</v>
      </c>
      <c r="CF14" s="30"/>
      <c r="CG14" s="30"/>
      <c r="CH14" s="30"/>
      <c r="CI14" s="30"/>
      <c r="CJ14" s="29" t="str">
        <f>IFERROR(SUMPRODUCT(G14:CI14,'🏭 원료 마스터'!$C$4:$C$84),"")</f>
        <v/>
      </c>
      <c r="CL14" t="s">
        <v>235</v>
      </c>
    </row>
    <row r="15" spans="1:90" ht="18" customHeight="1">
      <c r="A15" s="7">
        <v>11</v>
      </c>
      <c r="B15" s="25">
        <v>45947</v>
      </c>
      <c r="C15" s="26" t="s">
        <v>147</v>
      </c>
      <c r="D15" s="27">
        <v>40</v>
      </c>
      <c r="E15" s="7"/>
      <c r="F15" s="7"/>
      <c r="G15" s="28">
        <v>0.64</v>
      </c>
      <c r="H15" s="28"/>
      <c r="I15" s="28"/>
      <c r="J15" s="28">
        <v>0.68</v>
      </c>
      <c r="K15" s="28"/>
      <c r="L15" s="28">
        <v>0.12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>
        <v>1.1599999999999999</v>
      </c>
      <c r="AH15" s="28">
        <v>0.48</v>
      </c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>
        <v>1.64</v>
      </c>
      <c r="AU15" s="28"/>
      <c r="AV15" s="28"/>
      <c r="AW15" s="28"/>
      <c r="AX15" s="28"/>
      <c r="AY15" s="28"/>
      <c r="AZ15" s="28">
        <v>3.44</v>
      </c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>
        <v>6.92</v>
      </c>
      <c r="BO15" s="28"/>
      <c r="BP15" s="28"/>
      <c r="BQ15" s="28"/>
      <c r="BR15" s="28"/>
      <c r="BS15" s="28"/>
      <c r="BT15" s="28"/>
      <c r="BU15" s="28">
        <v>23.04</v>
      </c>
      <c r="BV15" s="28">
        <v>0.2</v>
      </c>
      <c r="BW15" s="28"/>
      <c r="BX15" s="28"/>
      <c r="BY15" s="28">
        <v>0.24</v>
      </c>
      <c r="BZ15" s="28">
        <v>0.48</v>
      </c>
      <c r="CA15" s="28"/>
      <c r="CB15" s="28"/>
      <c r="CC15" s="28">
        <v>0.48</v>
      </c>
      <c r="CD15" s="28">
        <v>0.48</v>
      </c>
      <c r="CE15" s="28"/>
      <c r="CF15" s="28"/>
      <c r="CG15" s="28"/>
      <c r="CH15" s="28"/>
      <c r="CI15" s="28"/>
      <c r="CJ15" s="29" t="str">
        <f>IFERROR(SUMPRODUCT(G15:CI15,'🏭 원료 마스터'!$C$4:$C$84),"")</f>
        <v/>
      </c>
      <c r="CL15" t="s">
        <v>235</v>
      </c>
    </row>
    <row r="16" spans="1:90" ht="18" customHeight="1">
      <c r="A16" s="11">
        <v>12</v>
      </c>
      <c r="B16" s="25">
        <v>45947</v>
      </c>
      <c r="C16" s="26" t="s">
        <v>146</v>
      </c>
      <c r="D16" s="27">
        <v>40</v>
      </c>
      <c r="E16" s="11"/>
      <c r="F16" s="11"/>
      <c r="G16" s="30"/>
      <c r="H16" s="30"/>
      <c r="I16" s="30"/>
      <c r="J16" s="30">
        <v>0.48</v>
      </c>
      <c r="K16" s="30">
        <v>0.92</v>
      </c>
      <c r="L16" s="30">
        <v>0.12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>
        <v>0.48</v>
      </c>
      <c r="AC16" s="30">
        <v>0.24</v>
      </c>
      <c r="AD16" s="30"/>
      <c r="AE16" s="30"/>
      <c r="AF16" s="30"/>
      <c r="AG16" s="30"/>
      <c r="AH16" s="30">
        <v>0.48</v>
      </c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>
        <v>1.64</v>
      </c>
      <c r="AU16" s="30"/>
      <c r="AV16" s="30"/>
      <c r="AW16" s="30"/>
      <c r="AX16" s="30"/>
      <c r="AY16" s="30"/>
      <c r="AZ16" s="30">
        <v>3.48</v>
      </c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>
        <v>6.96</v>
      </c>
      <c r="BO16" s="30"/>
      <c r="BP16" s="30"/>
      <c r="BQ16" s="30"/>
      <c r="BR16" s="30"/>
      <c r="BS16" s="30"/>
      <c r="BT16" s="30"/>
      <c r="BU16" s="30">
        <v>23.2</v>
      </c>
      <c r="BV16" s="30">
        <v>0.24</v>
      </c>
      <c r="BW16" s="30"/>
      <c r="BX16" s="30"/>
      <c r="BY16" s="30">
        <v>0.32</v>
      </c>
      <c r="BZ16" s="30">
        <v>0.48</v>
      </c>
      <c r="CA16" s="30"/>
      <c r="CB16" s="30"/>
      <c r="CC16" s="30">
        <v>0.48</v>
      </c>
      <c r="CD16" s="30">
        <v>0.48</v>
      </c>
      <c r="CE16" s="30"/>
      <c r="CF16" s="30"/>
      <c r="CG16" s="30"/>
      <c r="CH16" s="30"/>
      <c r="CI16" s="30"/>
      <c r="CJ16" s="29" t="str">
        <f>IFERROR(SUMPRODUCT(G16:CI16,'🏭 원료 마스터'!$C$4:$C$84),"")</f>
        <v/>
      </c>
      <c r="CL16" t="s">
        <v>235</v>
      </c>
    </row>
    <row r="17" spans="1:90" ht="18" customHeight="1">
      <c r="A17" s="7">
        <v>13</v>
      </c>
      <c r="B17" s="25">
        <v>45947</v>
      </c>
      <c r="C17" s="26" t="s">
        <v>155</v>
      </c>
      <c r="D17" s="27">
        <v>70</v>
      </c>
      <c r="E17" s="7"/>
      <c r="F17" s="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>
        <v>3.01</v>
      </c>
      <c r="AQ17" s="28"/>
      <c r="AR17" s="28"/>
      <c r="AS17" s="28">
        <v>1.47</v>
      </c>
      <c r="AT17" s="28">
        <v>0.56000000000000005</v>
      </c>
      <c r="AU17" s="28"/>
      <c r="AV17" s="28"/>
      <c r="AW17" s="28"/>
      <c r="AX17" s="28"/>
      <c r="AY17" s="28"/>
      <c r="AZ17" s="28">
        <v>1.47</v>
      </c>
      <c r="BA17" s="28"/>
      <c r="BB17" s="28"/>
      <c r="BC17" s="28"/>
      <c r="BD17" s="28"/>
      <c r="BE17" s="28"/>
      <c r="BF17" s="28"/>
      <c r="BG17" s="28"/>
      <c r="BH17" s="28"/>
      <c r="BI17" s="28">
        <v>2.2400000000000002</v>
      </c>
      <c r="BJ17" s="28"/>
      <c r="BK17" s="28"/>
      <c r="BL17" s="28"/>
      <c r="BM17" s="28"/>
      <c r="BN17" s="28"/>
      <c r="BO17" s="28"/>
      <c r="BP17" s="28"/>
      <c r="BQ17" s="28">
        <v>28.07</v>
      </c>
      <c r="BR17" s="28"/>
      <c r="BS17" s="28">
        <v>0.14000000000000001</v>
      </c>
      <c r="BT17" s="28"/>
      <c r="BU17" s="28">
        <v>30.1</v>
      </c>
      <c r="BV17" s="28">
        <v>0.49</v>
      </c>
      <c r="BW17" s="28"/>
      <c r="BX17" s="28"/>
      <c r="BY17" s="28"/>
      <c r="BZ17" s="28"/>
      <c r="CA17" s="28"/>
      <c r="CB17" s="28"/>
      <c r="CC17" s="28">
        <v>2.2400000000000002</v>
      </c>
      <c r="CD17" s="28"/>
      <c r="CE17" s="28">
        <v>0.21</v>
      </c>
      <c r="CF17" s="28"/>
      <c r="CG17" s="28"/>
      <c r="CH17" s="28"/>
      <c r="CI17" s="28"/>
      <c r="CJ17" s="29" t="str">
        <f>IFERROR(SUMPRODUCT(G17:CI17,'🏭 원료 마스터'!$C$4:$C$84),"")</f>
        <v/>
      </c>
      <c r="CL17" t="s">
        <v>235</v>
      </c>
    </row>
    <row r="18" spans="1:90" ht="18" customHeight="1">
      <c r="A18" s="11">
        <v>14</v>
      </c>
      <c r="B18" s="25">
        <v>45950</v>
      </c>
      <c r="C18" s="26" t="s">
        <v>155</v>
      </c>
      <c r="D18" s="27">
        <v>140</v>
      </c>
      <c r="E18" s="11"/>
      <c r="F18" s="1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>
        <v>6.02</v>
      </c>
      <c r="AQ18" s="30"/>
      <c r="AR18" s="30"/>
      <c r="AS18" s="30">
        <v>2.94</v>
      </c>
      <c r="AT18" s="30">
        <v>1.1200000000000001</v>
      </c>
      <c r="AU18" s="30"/>
      <c r="AV18" s="30"/>
      <c r="AW18" s="30"/>
      <c r="AX18" s="30"/>
      <c r="AY18" s="30"/>
      <c r="AZ18" s="30">
        <v>2.94</v>
      </c>
      <c r="BA18" s="30"/>
      <c r="BB18" s="30"/>
      <c r="BC18" s="30"/>
      <c r="BD18" s="30"/>
      <c r="BE18" s="30"/>
      <c r="BF18" s="30"/>
      <c r="BG18" s="30"/>
      <c r="BH18" s="30"/>
      <c r="BI18" s="30">
        <v>4.4800000000000004</v>
      </c>
      <c r="BJ18" s="30"/>
      <c r="BK18" s="30"/>
      <c r="BL18" s="30"/>
      <c r="BM18" s="30"/>
      <c r="BN18" s="30"/>
      <c r="BO18" s="30"/>
      <c r="BP18" s="30"/>
      <c r="BQ18" s="30">
        <v>56.14</v>
      </c>
      <c r="BR18" s="30"/>
      <c r="BS18" s="30">
        <v>0.28000000000000003</v>
      </c>
      <c r="BT18" s="30"/>
      <c r="BU18" s="30">
        <v>60.2</v>
      </c>
      <c r="BV18" s="30">
        <v>0.98</v>
      </c>
      <c r="BW18" s="30"/>
      <c r="BX18" s="30"/>
      <c r="BY18" s="30"/>
      <c r="BZ18" s="30"/>
      <c r="CA18" s="30"/>
      <c r="CB18" s="30"/>
      <c r="CC18" s="30">
        <v>4.4800000000000004</v>
      </c>
      <c r="CD18" s="30"/>
      <c r="CE18" s="30">
        <v>0.42</v>
      </c>
      <c r="CF18" s="30"/>
      <c r="CG18" s="30"/>
      <c r="CH18" s="30"/>
      <c r="CI18" s="30"/>
      <c r="CJ18" s="29" t="str">
        <f>IFERROR(SUMPRODUCT(G18:CI18,'🏭 원료 마스터'!$C$4:$C$84),"")</f>
        <v/>
      </c>
      <c r="CL18" t="s">
        <v>235</v>
      </c>
    </row>
    <row r="19" spans="1:90" ht="18" customHeight="1">
      <c r="A19" s="7">
        <v>15</v>
      </c>
      <c r="B19" s="25">
        <v>45950</v>
      </c>
      <c r="C19" s="26" t="s">
        <v>158</v>
      </c>
      <c r="D19" s="27">
        <v>70</v>
      </c>
      <c r="E19" s="7"/>
      <c r="F19" s="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>
        <v>3.43</v>
      </c>
      <c r="AQ19" s="28"/>
      <c r="AR19" s="28"/>
      <c r="AS19" s="28"/>
      <c r="AT19" s="28">
        <v>0.77</v>
      </c>
      <c r="AU19" s="28"/>
      <c r="AV19" s="28"/>
      <c r="AW19" s="28"/>
      <c r="AX19" s="28"/>
      <c r="AY19" s="28"/>
      <c r="AZ19" s="28">
        <v>0.98</v>
      </c>
      <c r="BA19" s="28"/>
      <c r="BB19" s="28"/>
      <c r="BC19" s="28"/>
      <c r="BD19" s="28"/>
      <c r="BE19" s="28">
        <v>0.77</v>
      </c>
      <c r="BF19" s="28"/>
      <c r="BG19" s="28"/>
      <c r="BH19" s="28"/>
      <c r="BI19" s="28">
        <v>0.91</v>
      </c>
      <c r="BJ19" s="28"/>
      <c r="BK19" s="28"/>
      <c r="BL19" s="28"/>
      <c r="BM19" s="28"/>
      <c r="BN19" s="28">
        <v>12.32</v>
      </c>
      <c r="BO19" s="28"/>
      <c r="BP19" s="28"/>
      <c r="BQ19" s="28">
        <v>23.31</v>
      </c>
      <c r="BR19" s="28"/>
      <c r="BS19" s="28"/>
      <c r="BT19" s="28"/>
      <c r="BU19" s="28">
        <v>24.85</v>
      </c>
      <c r="BV19" s="28">
        <v>0.63</v>
      </c>
      <c r="BW19" s="28"/>
      <c r="BX19" s="28"/>
      <c r="BY19" s="28"/>
      <c r="BZ19" s="28"/>
      <c r="CA19" s="28"/>
      <c r="CB19" s="28"/>
      <c r="CC19" s="28">
        <v>1.89</v>
      </c>
      <c r="CD19" s="28"/>
      <c r="CE19" s="28">
        <v>0.14000000000000001</v>
      </c>
      <c r="CF19" s="28"/>
      <c r="CG19" s="28"/>
      <c r="CH19" s="28"/>
      <c r="CI19" s="28"/>
      <c r="CJ19" s="29" t="str">
        <f>IFERROR(SUMPRODUCT(G19:CI19,'🏭 원료 마스터'!$C$4:$C$84),"")</f>
        <v/>
      </c>
      <c r="CL19" t="s">
        <v>235</v>
      </c>
    </row>
    <row r="20" spans="1:90" ht="18" customHeight="1">
      <c r="A20" s="11">
        <v>16</v>
      </c>
      <c r="B20" s="25">
        <v>45950</v>
      </c>
      <c r="C20" s="26" t="s">
        <v>157</v>
      </c>
      <c r="D20" s="27">
        <v>70</v>
      </c>
      <c r="E20" s="11"/>
      <c r="F20" s="11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>
        <v>0.77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>
        <v>3.43</v>
      </c>
      <c r="AQ20" s="30"/>
      <c r="AR20" s="30"/>
      <c r="AS20" s="30"/>
      <c r="AT20" s="30">
        <v>0.77</v>
      </c>
      <c r="AU20" s="30"/>
      <c r="AV20" s="30"/>
      <c r="AW20" s="30"/>
      <c r="AX20" s="30"/>
      <c r="AY20" s="30"/>
      <c r="AZ20" s="30">
        <v>0.98</v>
      </c>
      <c r="BA20" s="30"/>
      <c r="BB20" s="30"/>
      <c r="BC20" s="30"/>
      <c r="BD20" s="30"/>
      <c r="BE20" s="30"/>
      <c r="BF20" s="30"/>
      <c r="BG20" s="30"/>
      <c r="BH20" s="30"/>
      <c r="BI20" s="30">
        <v>0.91</v>
      </c>
      <c r="BJ20" s="30"/>
      <c r="BK20" s="30"/>
      <c r="BL20" s="30"/>
      <c r="BM20" s="30"/>
      <c r="BN20" s="30">
        <v>12.32</v>
      </c>
      <c r="BO20" s="30"/>
      <c r="BP20" s="30"/>
      <c r="BQ20" s="30">
        <v>23.31</v>
      </c>
      <c r="BR20" s="30"/>
      <c r="BS20" s="30"/>
      <c r="BT20" s="30"/>
      <c r="BU20" s="30">
        <v>24.85</v>
      </c>
      <c r="BV20" s="30">
        <v>0.63</v>
      </c>
      <c r="BW20" s="30"/>
      <c r="BX20" s="30"/>
      <c r="BY20" s="30"/>
      <c r="BZ20" s="30"/>
      <c r="CA20" s="30"/>
      <c r="CB20" s="30"/>
      <c r="CC20" s="30">
        <v>1.89</v>
      </c>
      <c r="CD20" s="30"/>
      <c r="CE20" s="30">
        <v>0.14000000000000001</v>
      </c>
      <c r="CF20" s="30"/>
      <c r="CG20" s="30"/>
      <c r="CH20" s="30"/>
      <c r="CI20" s="30"/>
      <c r="CJ20" s="29" t="str">
        <f>IFERROR(SUMPRODUCT(G20:CI20,'🏭 원료 마스터'!$C$4:$C$84),"")</f>
        <v/>
      </c>
      <c r="CL20" t="s">
        <v>235</v>
      </c>
    </row>
    <row r="21" spans="1:90" ht="18" customHeight="1">
      <c r="A21" s="7">
        <v>17</v>
      </c>
      <c r="B21" s="25">
        <v>45950</v>
      </c>
      <c r="C21" s="26" t="s">
        <v>156</v>
      </c>
      <c r="D21" s="27">
        <v>70</v>
      </c>
      <c r="E21" s="7"/>
      <c r="F21" s="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>
        <v>0.77</v>
      </c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>
        <v>3.43</v>
      </c>
      <c r="AQ21" s="28"/>
      <c r="AR21" s="28"/>
      <c r="AS21" s="28"/>
      <c r="AT21" s="28">
        <v>0.77</v>
      </c>
      <c r="AU21" s="28"/>
      <c r="AV21" s="28"/>
      <c r="AW21" s="28"/>
      <c r="AX21" s="28"/>
      <c r="AY21" s="28"/>
      <c r="AZ21" s="28">
        <v>0.98</v>
      </c>
      <c r="BA21" s="28"/>
      <c r="BB21" s="28"/>
      <c r="BC21" s="28"/>
      <c r="BD21" s="28"/>
      <c r="BE21" s="28"/>
      <c r="BF21" s="28"/>
      <c r="BG21" s="28"/>
      <c r="BH21" s="28"/>
      <c r="BI21" s="28">
        <v>0.91</v>
      </c>
      <c r="BJ21" s="28"/>
      <c r="BK21" s="28"/>
      <c r="BL21" s="28"/>
      <c r="BM21" s="28"/>
      <c r="BN21" s="28">
        <v>12.32</v>
      </c>
      <c r="BO21" s="28"/>
      <c r="BP21" s="28"/>
      <c r="BQ21" s="28">
        <v>23.31</v>
      </c>
      <c r="BR21" s="28"/>
      <c r="BS21" s="28"/>
      <c r="BT21" s="28"/>
      <c r="BU21" s="28">
        <v>24.85</v>
      </c>
      <c r="BV21" s="28">
        <v>0.63</v>
      </c>
      <c r="BW21" s="28"/>
      <c r="BX21" s="28"/>
      <c r="BY21" s="28"/>
      <c r="BZ21" s="28"/>
      <c r="CA21" s="28"/>
      <c r="CB21" s="28"/>
      <c r="CC21" s="28">
        <v>1.89</v>
      </c>
      <c r="CD21" s="28"/>
      <c r="CE21" s="28">
        <v>0.14000000000000001</v>
      </c>
      <c r="CF21" s="28"/>
      <c r="CG21" s="28"/>
      <c r="CH21" s="28"/>
      <c r="CI21" s="28"/>
      <c r="CJ21" s="29" t="str">
        <f>IFERROR(SUMPRODUCT(G21:CI21,'🏭 원료 마스터'!$C$4:$C$84),"")</f>
        <v/>
      </c>
      <c r="CL21" t="s">
        <v>235</v>
      </c>
    </row>
    <row r="22" spans="1:90" ht="18" customHeight="1">
      <c r="A22" s="11">
        <v>18</v>
      </c>
      <c r="B22" s="25">
        <v>45950</v>
      </c>
      <c r="C22" s="26" t="s">
        <v>144</v>
      </c>
      <c r="D22" s="27">
        <v>70</v>
      </c>
      <c r="E22" s="11"/>
      <c r="F22" s="1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>
        <v>2.1</v>
      </c>
      <c r="AL22" s="30"/>
      <c r="AM22" s="30"/>
      <c r="AN22" s="30"/>
      <c r="AO22" s="30"/>
      <c r="AP22" s="30"/>
      <c r="AQ22" s="30"/>
      <c r="AR22" s="30"/>
      <c r="AS22" s="30">
        <v>3.29</v>
      </c>
      <c r="AT22" s="30"/>
      <c r="AU22" s="30"/>
      <c r="AV22" s="30"/>
      <c r="AW22" s="30"/>
      <c r="AX22" s="30"/>
      <c r="AY22" s="30"/>
      <c r="AZ22" s="30">
        <v>3.29</v>
      </c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>
        <v>26.53</v>
      </c>
      <c r="BO22" s="30"/>
      <c r="BP22" s="30"/>
      <c r="BQ22" s="30"/>
      <c r="BR22" s="30"/>
      <c r="BS22" s="30">
        <v>0.63</v>
      </c>
      <c r="BT22" s="30"/>
      <c r="BU22" s="30">
        <v>33.25</v>
      </c>
      <c r="BV22" s="30">
        <v>0.63</v>
      </c>
      <c r="BW22" s="30"/>
      <c r="BX22" s="30"/>
      <c r="BY22" s="30"/>
      <c r="BZ22" s="30"/>
      <c r="CA22" s="30"/>
      <c r="CB22" s="30"/>
      <c r="CC22" s="30"/>
      <c r="CD22" s="30"/>
      <c r="CE22" s="30">
        <v>0.28000000000000003</v>
      </c>
      <c r="CF22" s="30"/>
      <c r="CG22" s="30"/>
      <c r="CH22" s="30"/>
      <c r="CI22" s="30"/>
      <c r="CJ22" s="29" t="str">
        <f>IFERROR(SUMPRODUCT(G22:CI22,'🏭 원료 마스터'!$C$4:$C$84),"")</f>
        <v/>
      </c>
      <c r="CL22" t="s">
        <v>235</v>
      </c>
    </row>
    <row r="23" spans="1:90" ht="18" customHeight="1">
      <c r="A23" s="7">
        <v>19</v>
      </c>
      <c r="B23" s="25">
        <v>45951</v>
      </c>
      <c r="C23" s="26" t="s">
        <v>161</v>
      </c>
      <c r="D23" s="27">
        <v>68</v>
      </c>
      <c r="E23" s="7"/>
      <c r="F23" s="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>
        <v>32.911999999999999</v>
      </c>
      <c r="AR23" s="28">
        <v>8.2279999999999998</v>
      </c>
      <c r="AS23" s="28">
        <v>1.36</v>
      </c>
      <c r="AT23" s="28"/>
      <c r="AU23" s="28">
        <v>0.82279999999999998</v>
      </c>
      <c r="AV23" s="28"/>
      <c r="AW23" s="28"/>
      <c r="AX23" s="28"/>
      <c r="AY23" s="28"/>
      <c r="AZ23" s="28"/>
      <c r="BA23" s="28"/>
      <c r="BB23" s="28"/>
      <c r="BC23" s="28"/>
      <c r="BD23" s="28"/>
      <c r="BE23" s="28">
        <v>0.61880000000000002</v>
      </c>
      <c r="BF23" s="28"/>
      <c r="BG23" s="28"/>
      <c r="BH23" s="28"/>
      <c r="BI23" s="28"/>
      <c r="BJ23" s="28"/>
      <c r="BK23" s="28"/>
      <c r="BL23" s="28"/>
      <c r="BM23" s="28"/>
      <c r="BN23" s="28">
        <v>22.657599999999999</v>
      </c>
      <c r="BO23" s="28"/>
      <c r="BP23" s="28"/>
      <c r="BQ23" s="28"/>
      <c r="BR23" s="28"/>
      <c r="BS23" s="28"/>
      <c r="BT23" s="28"/>
      <c r="BU23" s="28"/>
      <c r="BV23" s="28">
        <v>0.57799999999999996</v>
      </c>
      <c r="BW23" s="28"/>
      <c r="BX23" s="28"/>
      <c r="BY23" s="28">
        <v>0.82279999999999998</v>
      </c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9" t="str">
        <f>IFERROR(SUMPRODUCT(G23:CI23,'🏭 원료 마스터'!$C$4:$C$84),"")</f>
        <v/>
      </c>
      <c r="CL23" t="s">
        <v>235</v>
      </c>
    </row>
    <row r="24" spans="1:90" ht="18" customHeight="1">
      <c r="A24" s="11">
        <v>20</v>
      </c>
      <c r="B24" s="25">
        <v>45951</v>
      </c>
      <c r="C24" s="26" t="s">
        <v>183</v>
      </c>
      <c r="D24" s="27">
        <v>280</v>
      </c>
      <c r="E24" s="11"/>
      <c r="F24" s="1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>
        <v>6.72</v>
      </c>
      <c r="AT24" s="30"/>
      <c r="AU24" s="30"/>
      <c r="AV24" s="30"/>
      <c r="AW24" s="30"/>
      <c r="AX24" s="30"/>
      <c r="AY24" s="30"/>
      <c r="AZ24" s="30">
        <v>6.72</v>
      </c>
      <c r="BA24" s="30"/>
      <c r="BB24" s="30"/>
      <c r="BC24" s="30"/>
      <c r="BD24" s="30"/>
      <c r="BE24" s="30"/>
      <c r="BF24" s="30"/>
      <c r="BG24" s="30"/>
      <c r="BH24" s="30"/>
      <c r="BI24" s="30">
        <v>3.36</v>
      </c>
      <c r="BJ24" s="30"/>
      <c r="BK24" s="30"/>
      <c r="BL24" s="30"/>
      <c r="BM24" s="30"/>
      <c r="BN24" s="30"/>
      <c r="BO24" s="30"/>
      <c r="BP24" s="30"/>
      <c r="BQ24" s="30">
        <v>125.44</v>
      </c>
      <c r="BR24" s="30"/>
      <c r="BS24" s="30">
        <v>0.56000000000000005</v>
      </c>
      <c r="BT24" s="30"/>
      <c r="BU24" s="30">
        <v>133.84</v>
      </c>
      <c r="BV24" s="30">
        <v>2.2400000000000002</v>
      </c>
      <c r="BW24" s="30"/>
      <c r="BX24" s="30"/>
      <c r="BY24" s="30"/>
      <c r="BZ24" s="30"/>
      <c r="CA24" s="30"/>
      <c r="CB24" s="30"/>
      <c r="CC24" s="30"/>
      <c r="CD24" s="30"/>
      <c r="CE24" s="30">
        <v>1.1200000000000001</v>
      </c>
      <c r="CF24" s="30"/>
      <c r="CG24" s="30"/>
      <c r="CH24" s="30"/>
      <c r="CI24" s="30"/>
      <c r="CJ24" s="29" t="str">
        <f>IFERROR(SUMPRODUCT(G24:CI24,'🏭 원료 마스터'!$C$4:$C$84),"")</f>
        <v/>
      </c>
      <c r="CL24" t="s">
        <v>235</v>
      </c>
    </row>
    <row r="25" spans="1:90" ht="18" customHeight="1">
      <c r="A25" s="7">
        <v>21</v>
      </c>
      <c r="B25" s="25">
        <v>45951</v>
      </c>
      <c r="C25" s="26" t="s">
        <v>143</v>
      </c>
      <c r="D25" s="27">
        <v>132.5</v>
      </c>
      <c r="E25" s="7"/>
      <c r="F25" s="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>
        <v>11.13</v>
      </c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>
        <v>89.172499999999999</v>
      </c>
      <c r="AR25" s="28"/>
      <c r="AS25" s="28"/>
      <c r="AT25" s="28"/>
      <c r="AU25" s="28"/>
      <c r="AV25" s="28"/>
      <c r="AW25" s="28">
        <v>2.915</v>
      </c>
      <c r="AX25" s="28"/>
      <c r="AY25" s="28"/>
      <c r="AZ25" s="28">
        <v>11.13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>
        <v>16.695</v>
      </c>
      <c r="BO25" s="28"/>
      <c r="BP25" s="28"/>
      <c r="BQ25" s="28"/>
      <c r="BR25" s="28"/>
      <c r="BS25" s="28"/>
      <c r="BT25" s="28"/>
      <c r="BU25" s="28"/>
      <c r="BV25" s="28">
        <v>1.4575</v>
      </c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9" t="str">
        <f>IFERROR(SUMPRODUCT(G25:CI25,'🏭 원료 마스터'!$C$4:$C$84),"")</f>
        <v/>
      </c>
      <c r="CL25" t="s">
        <v>235</v>
      </c>
    </row>
    <row r="26" spans="1:90" ht="18" customHeight="1">
      <c r="A26" s="11">
        <v>22</v>
      </c>
      <c r="B26" s="25">
        <v>45952</v>
      </c>
      <c r="C26" s="26" t="s">
        <v>161</v>
      </c>
      <c r="D26" s="27">
        <v>68</v>
      </c>
      <c r="E26" s="11"/>
      <c r="F26" s="11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>
        <v>32.911999999999999</v>
      </c>
      <c r="AR26" s="30">
        <v>8.2279999999999998</v>
      </c>
      <c r="AS26" s="30">
        <v>1.36</v>
      </c>
      <c r="AT26" s="30"/>
      <c r="AU26" s="30">
        <v>0.82279999999999998</v>
      </c>
      <c r="AV26" s="30"/>
      <c r="AW26" s="30"/>
      <c r="AX26" s="30"/>
      <c r="AY26" s="30"/>
      <c r="AZ26" s="30"/>
      <c r="BA26" s="30"/>
      <c r="BB26" s="30"/>
      <c r="BC26" s="30"/>
      <c r="BD26" s="30"/>
      <c r="BE26" s="30">
        <v>0.61880000000000002</v>
      </c>
      <c r="BF26" s="30"/>
      <c r="BG26" s="30"/>
      <c r="BH26" s="30"/>
      <c r="BI26" s="30"/>
      <c r="BJ26" s="30"/>
      <c r="BK26" s="30"/>
      <c r="BL26" s="30"/>
      <c r="BM26" s="30"/>
      <c r="BN26" s="30">
        <v>22.657599999999999</v>
      </c>
      <c r="BO26" s="30"/>
      <c r="BP26" s="30"/>
      <c r="BQ26" s="30"/>
      <c r="BR26" s="30"/>
      <c r="BS26" s="30"/>
      <c r="BT26" s="30"/>
      <c r="BU26" s="30"/>
      <c r="BV26" s="30">
        <v>0.57799999999999996</v>
      </c>
      <c r="BW26" s="30"/>
      <c r="BX26" s="30"/>
      <c r="BY26" s="30">
        <v>0.82279999999999998</v>
      </c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29" t="str">
        <f>IFERROR(SUMPRODUCT(G26:CI26,'🏭 원료 마스터'!$C$4:$C$84),"")</f>
        <v/>
      </c>
      <c r="CL26" t="s">
        <v>235</v>
      </c>
    </row>
    <row r="27" spans="1:90" ht="18" customHeight="1">
      <c r="A27" s="7">
        <v>23</v>
      </c>
      <c r="B27" s="25">
        <v>45952</v>
      </c>
      <c r="C27" s="26" t="s">
        <v>163</v>
      </c>
      <c r="D27" s="27">
        <v>210</v>
      </c>
      <c r="E27" s="7"/>
      <c r="F27" s="7"/>
      <c r="G27" s="28"/>
      <c r="H27" s="28"/>
      <c r="I27" s="28"/>
      <c r="J27" s="28"/>
      <c r="K27" s="28">
        <v>0.84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>
        <v>2.73</v>
      </c>
      <c r="Y27" s="28"/>
      <c r="Z27" s="28"/>
      <c r="AA27" s="28"/>
      <c r="AB27" s="28">
        <v>1.47</v>
      </c>
      <c r="AC27" s="28">
        <v>8.4000000000000005E-2</v>
      </c>
      <c r="AD27" s="28"/>
      <c r="AE27" s="28"/>
      <c r="AF27" s="28"/>
      <c r="AG27" s="28"/>
      <c r="AH27" s="28"/>
      <c r="AI27" s="28"/>
      <c r="AJ27" s="28"/>
      <c r="AK27" s="28">
        <v>10.71</v>
      </c>
      <c r="AL27" s="28"/>
      <c r="AM27" s="28"/>
      <c r="AN27" s="28"/>
      <c r="AO27" s="28"/>
      <c r="AP27" s="28"/>
      <c r="AQ27" s="28"/>
      <c r="AR27" s="28"/>
      <c r="AS27" s="28">
        <v>10.71</v>
      </c>
      <c r="AT27" s="28"/>
      <c r="AU27" s="28"/>
      <c r="AV27" s="28">
        <v>5.25</v>
      </c>
      <c r="AW27" s="28"/>
      <c r="AX27" s="28"/>
      <c r="AY27" s="28"/>
      <c r="AZ27" s="28">
        <v>5.25</v>
      </c>
      <c r="BA27" s="28"/>
      <c r="BB27" s="28"/>
      <c r="BC27" s="28"/>
      <c r="BD27" s="28"/>
      <c r="BE27" s="28">
        <v>0.84</v>
      </c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>
        <v>2.31</v>
      </c>
      <c r="BT27" s="28"/>
      <c r="BU27" s="28">
        <v>148.88999999999999</v>
      </c>
      <c r="BV27" s="28">
        <v>1.89</v>
      </c>
      <c r="BW27" s="28"/>
      <c r="BX27" s="28"/>
      <c r="BY27" s="28"/>
      <c r="BZ27" s="28">
        <v>3.99</v>
      </c>
      <c r="CA27" s="28"/>
      <c r="CB27" s="28"/>
      <c r="CC27" s="28">
        <v>1.26</v>
      </c>
      <c r="CD27" s="28">
        <v>3.99</v>
      </c>
      <c r="CE27" s="28">
        <v>0.84</v>
      </c>
      <c r="CF27" s="28"/>
      <c r="CG27" s="28"/>
      <c r="CH27" s="28">
        <v>8.9459999999999997</v>
      </c>
      <c r="CI27" s="28"/>
      <c r="CJ27" s="29" t="str">
        <f>IFERROR(SUMPRODUCT(G27:CI27,'🏭 원료 마스터'!$C$4:$C$84),"")</f>
        <v/>
      </c>
      <c r="CL27" t="s">
        <v>235</v>
      </c>
    </row>
    <row r="28" spans="1:90" ht="18" customHeight="1">
      <c r="A28" s="11">
        <v>24</v>
      </c>
      <c r="B28" s="25">
        <v>45952</v>
      </c>
      <c r="C28" s="26" t="s">
        <v>155</v>
      </c>
      <c r="D28" s="27">
        <v>70</v>
      </c>
      <c r="E28" s="11"/>
      <c r="F28" s="1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>
        <v>3.01</v>
      </c>
      <c r="AQ28" s="30"/>
      <c r="AR28" s="30"/>
      <c r="AS28" s="30">
        <v>1.47</v>
      </c>
      <c r="AT28" s="30">
        <v>0.56000000000000005</v>
      </c>
      <c r="AU28" s="30"/>
      <c r="AV28" s="30"/>
      <c r="AW28" s="30"/>
      <c r="AX28" s="30"/>
      <c r="AY28" s="30"/>
      <c r="AZ28" s="30">
        <v>1.47</v>
      </c>
      <c r="BA28" s="30"/>
      <c r="BB28" s="30"/>
      <c r="BC28" s="30"/>
      <c r="BD28" s="30"/>
      <c r="BE28" s="30"/>
      <c r="BF28" s="30"/>
      <c r="BG28" s="30"/>
      <c r="BH28" s="30"/>
      <c r="BI28" s="30">
        <v>2.2400000000000002</v>
      </c>
      <c r="BJ28" s="30"/>
      <c r="BK28" s="30"/>
      <c r="BL28" s="30"/>
      <c r="BM28" s="30"/>
      <c r="BN28" s="30"/>
      <c r="BO28" s="30"/>
      <c r="BP28" s="30"/>
      <c r="BQ28" s="30">
        <v>28.07</v>
      </c>
      <c r="BR28" s="30"/>
      <c r="BS28" s="30">
        <v>0.14000000000000001</v>
      </c>
      <c r="BT28" s="30"/>
      <c r="BU28" s="30">
        <v>30.1</v>
      </c>
      <c r="BV28" s="30">
        <v>0.49</v>
      </c>
      <c r="BW28" s="30"/>
      <c r="BX28" s="30"/>
      <c r="BY28" s="30"/>
      <c r="BZ28" s="30"/>
      <c r="CA28" s="30"/>
      <c r="CB28" s="30"/>
      <c r="CC28" s="30">
        <v>2.2400000000000002</v>
      </c>
      <c r="CD28" s="30"/>
      <c r="CE28" s="30">
        <v>0.21</v>
      </c>
      <c r="CF28" s="30"/>
      <c r="CG28" s="30"/>
      <c r="CH28" s="30"/>
      <c r="CI28" s="30"/>
      <c r="CJ28" s="29" t="str">
        <f>IFERROR(SUMPRODUCT(G28:CI28,'🏭 원료 마스터'!$C$4:$C$84),"")</f>
        <v/>
      </c>
      <c r="CL28" t="s">
        <v>235</v>
      </c>
    </row>
    <row r="29" spans="1:90" ht="18" customHeight="1">
      <c r="A29" s="7">
        <v>25</v>
      </c>
      <c r="B29" s="25">
        <v>45953</v>
      </c>
      <c r="C29" s="26" t="s">
        <v>144</v>
      </c>
      <c r="D29" s="27">
        <v>70</v>
      </c>
      <c r="E29" s="7"/>
      <c r="F29" s="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>
        <v>2.1</v>
      </c>
      <c r="AL29" s="28"/>
      <c r="AM29" s="28"/>
      <c r="AN29" s="28"/>
      <c r="AO29" s="28"/>
      <c r="AP29" s="28"/>
      <c r="AQ29" s="28"/>
      <c r="AR29" s="28"/>
      <c r="AS29" s="28">
        <v>3.29</v>
      </c>
      <c r="AT29" s="28"/>
      <c r="AU29" s="28"/>
      <c r="AV29" s="28"/>
      <c r="AW29" s="28"/>
      <c r="AX29" s="28"/>
      <c r="AY29" s="28"/>
      <c r="AZ29" s="28">
        <v>3.29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>
        <v>26.53</v>
      </c>
      <c r="BO29" s="28"/>
      <c r="BP29" s="28"/>
      <c r="BQ29" s="28"/>
      <c r="BR29" s="28"/>
      <c r="BS29" s="28">
        <v>0.63</v>
      </c>
      <c r="BT29" s="28"/>
      <c r="BU29" s="28">
        <v>33.25</v>
      </c>
      <c r="BV29" s="28">
        <v>0.63</v>
      </c>
      <c r="BW29" s="28"/>
      <c r="BX29" s="28"/>
      <c r="BY29" s="28"/>
      <c r="BZ29" s="28"/>
      <c r="CA29" s="28"/>
      <c r="CB29" s="28"/>
      <c r="CC29" s="28"/>
      <c r="CD29" s="28"/>
      <c r="CE29" s="28">
        <v>0.28000000000000003</v>
      </c>
      <c r="CF29" s="28"/>
      <c r="CG29" s="28"/>
      <c r="CH29" s="28"/>
      <c r="CI29" s="28"/>
      <c r="CJ29" s="29" t="str">
        <f>IFERROR(SUMPRODUCT(G29:CI29,'🏭 원료 마스터'!$C$4:$C$84),"")</f>
        <v/>
      </c>
      <c r="CL29" t="s">
        <v>235</v>
      </c>
    </row>
    <row r="30" spans="1:90" ht="18" customHeight="1">
      <c r="A30" s="11">
        <v>26</v>
      </c>
      <c r="B30" s="25">
        <v>45957</v>
      </c>
      <c r="C30" s="26" t="s">
        <v>183</v>
      </c>
      <c r="D30" s="27">
        <v>420</v>
      </c>
      <c r="E30" s="11"/>
      <c r="F30" s="1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>
        <v>10.08</v>
      </c>
      <c r="AT30" s="30"/>
      <c r="AU30" s="30"/>
      <c r="AV30" s="30"/>
      <c r="AW30" s="30"/>
      <c r="AX30" s="30"/>
      <c r="AY30" s="30"/>
      <c r="AZ30" s="30">
        <v>10.08</v>
      </c>
      <c r="BA30" s="30"/>
      <c r="BB30" s="30"/>
      <c r="BC30" s="30"/>
      <c r="BD30" s="30"/>
      <c r="BE30" s="30"/>
      <c r="BF30" s="30"/>
      <c r="BG30" s="30"/>
      <c r="BH30" s="30"/>
      <c r="BI30" s="30">
        <v>5.04</v>
      </c>
      <c r="BJ30" s="30"/>
      <c r="BK30" s="30"/>
      <c r="BL30" s="30"/>
      <c r="BM30" s="30"/>
      <c r="BN30" s="30"/>
      <c r="BO30" s="30"/>
      <c r="BP30" s="30"/>
      <c r="BQ30" s="30">
        <v>188.16</v>
      </c>
      <c r="BR30" s="30"/>
      <c r="BS30" s="30">
        <v>0.84</v>
      </c>
      <c r="BT30" s="30"/>
      <c r="BU30" s="30">
        <v>200.76</v>
      </c>
      <c r="BV30" s="30">
        <v>3.36</v>
      </c>
      <c r="BW30" s="30"/>
      <c r="BX30" s="30"/>
      <c r="BY30" s="30"/>
      <c r="BZ30" s="30"/>
      <c r="CA30" s="30"/>
      <c r="CB30" s="30"/>
      <c r="CC30" s="30"/>
      <c r="CD30" s="30"/>
      <c r="CE30" s="30">
        <v>1.68</v>
      </c>
      <c r="CF30" s="30"/>
      <c r="CG30" s="30"/>
      <c r="CH30" s="30"/>
      <c r="CI30" s="30"/>
      <c r="CJ30" s="29" t="str">
        <f>IFERROR(SUMPRODUCT(G30:CI30,'🏭 원료 마스터'!$C$4:$C$84),"")</f>
        <v/>
      </c>
      <c r="CL30" t="s">
        <v>235</v>
      </c>
    </row>
    <row r="31" spans="1:90" ht="18" customHeight="1">
      <c r="A31" s="7">
        <v>27</v>
      </c>
      <c r="B31" s="25">
        <v>45958</v>
      </c>
      <c r="C31" s="26" t="s">
        <v>183</v>
      </c>
      <c r="D31" s="27">
        <v>210</v>
      </c>
      <c r="E31" s="7"/>
      <c r="F31" s="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>
        <v>5.04</v>
      </c>
      <c r="AT31" s="28"/>
      <c r="AU31" s="28"/>
      <c r="AV31" s="28"/>
      <c r="AW31" s="28"/>
      <c r="AX31" s="28"/>
      <c r="AY31" s="28"/>
      <c r="AZ31" s="28">
        <v>5.04</v>
      </c>
      <c r="BA31" s="28"/>
      <c r="BB31" s="28"/>
      <c r="BC31" s="28"/>
      <c r="BD31" s="28"/>
      <c r="BE31" s="28"/>
      <c r="BF31" s="28"/>
      <c r="BG31" s="28"/>
      <c r="BH31" s="28"/>
      <c r="BI31" s="28">
        <v>2.52</v>
      </c>
      <c r="BJ31" s="28"/>
      <c r="BK31" s="28"/>
      <c r="BL31" s="28"/>
      <c r="BM31" s="28"/>
      <c r="BN31" s="28"/>
      <c r="BO31" s="28"/>
      <c r="BP31" s="28"/>
      <c r="BQ31" s="28">
        <v>94.08</v>
      </c>
      <c r="BR31" s="28"/>
      <c r="BS31" s="28">
        <v>0.42</v>
      </c>
      <c r="BT31" s="28"/>
      <c r="BU31" s="28">
        <v>100.38</v>
      </c>
      <c r="BV31" s="28">
        <v>1.68</v>
      </c>
      <c r="BW31" s="28"/>
      <c r="BX31" s="28"/>
      <c r="BY31" s="28"/>
      <c r="BZ31" s="28"/>
      <c r="CA31" s="28"/>
      <c r="CB31" s="28"/>
      <c r="CC31" s="28"/>
      <c r="CD31" s="28"/>
      <c r="CE31" s="28">
        <v>0.84</v>
      </c>
      <c r="CF31" s="28"/>
      <c r="CG31" s="28"/>
      <c r="CH31" s="28"/>
      <c r="CI31" s="28"/>
      <c r="CJ31" s="29" t="str">
        <f>IFERROR(SUMPRODUCT(G31:CI31,'🏭 원료 마스터'!$C$4:$C$84),"")</f>
        <v/>
      </c>
      <c r="CL31" t="s">
        <v>235</v>
      </c>
    </row>
    <row r="32" spans="1:90" ht="18" customHeight="1">
      <c r="A32" s="11">
        <v>28</v>
      </c>
      <c r="B32" s="25">
        <v>45958</v>
      </c>
      <c r="C32" s="26" t="s">
        <v>211</v>
      </c>
      <c r="D32" s="27">
        <v>70</v>
      </c>
      <c r="E32" s="11"/>
      <c r="F32" s="1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>
        <v>1.19</v>
      </c>
      <c r="AC32" s="30">
        <v>7.0000000000000007E-2</v>
      </c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>
        <v>1.4</v>
      </c>
      <c r="AT32" s="30"/>
      <c r="AU32" s="30"/>
      <c r="AV32" s="30"/>
      <c r="AW32" s="30"/>
      <c r="AX32" s="30"/>
      <c r="AY32" s="30"/>
      <c r="AZ32" s="30">
        <v>1.4</v>
      </c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>
        <v>8.9600000000000009</v>
      </c>
      <c r="BO32" s="30"/>
      <c r="BP32" s="30"/>
      <c r="BQ32" s="30">
        <v>25.76</v>
      </c>
      <c r="BR32" s="30"/>
      <c r="BS32" s="30">
        <v>0.49</v>
      </c>
      <c r="BT32" s="30"/>
      <c r="BU32" s="30">
        <v>27.44</v>
      </c>
      <c r="BV32" s="30">
        <v>0.49</v>
      </c>
      <c r="BW32" s="30"/>
      <c r="BX32" s="30"/>
      <c r="BY32" s="30"/>
      <c r="BZ32" s="30"/>
      <c r="CA32" s="30"/>
      <c r="CB32" s="30"/>
      <c r="CC32" s="30">
        <v>2.59</v>
      </c>
      <c r="CD32" s="30"/>
      <c r="CE32" s="30">
        <v>0.21</v>
      </c>
      <c r="CF32" s="30"/>
      <c r="CG32" s="30"/>
      <c r="CH32" s="30"/>
      <c r="CI32" s="30"/>
      <c r="CJ32" s="29" t="str">
        <f>IFERROR(SUMPRODUCT(G32:CI32,'🏭 원료 마스터'!$C$4:$C$84),"")</f>
        <v/>
      </c>
      <c r="CL32" t="s">
        <v>235</v>
      </c>
    </row>
    <row r="33" spans="1:90" ht="18" customHeight="1">
      <c r="A33" s="7">
        <v>29</v>
      </c>
      <c r="B33" s="25">
        <v>45958</v>
      </c>
      <c r="C33" s="26" t="s">
        <v>209</v>
      </c>
      <c r="D33" s="27">
        <v>70</v>
      </c>
      <c r="E33" s="7"/>
      <c r="F33" s="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>
        <v>1.89</v>
      </c>
      <c r="AT33" s="28"/>
      <c r="AU33" s="28"/>
      <c r="AV33" s="28"/>
      <c r="AW33" s="28"/>
      <c r="AX33" s="28"/>
      <c r="AY33" s="28"/>
      <c r="AZ33" s="28">
        <v>1.89</v>
      </c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>
        <v>23.562000000000001</v>
      </c>
      <c r="BR33" s="28"/>
      <c r="BS33" s="28">
        <v>0.84</v>
      </c>
      <c r="BT33" s="28"/>
      <c r="BU33" s="28">
        <v>38.15</v>
      </c>
      <c r="BV33" s="28">
        <v>0.7</v>
      </c>
      <c r="BW33" s="28"/>
      <c r="BX33" s="28"/>
      <c r="BY33" s="28"/>
      <c r="BZ33" s="28"/>
      <c r="CA33" s="28"/>
      <c r="CB33" s="28"/>
      <c r="CC33" s="28">
        <v>2.6179999999999999</v>
      </c>
      <c r="CD33" s="28"/>
      <c r="CE33" s="28">
        <v>0.35</v>
      </c>
      <c r="CF33" s="28"/>
      <c r="CG33" s="28"/>
      <c r="CH33" s="28"/>
      <c r="CI33" s="28"/>
      <c r="CJ33" s="29" t="str">
        <f>IFERROR(SUMPRODUCT(G33:CI33,'🏭 원료 마스터'!$C$4:$C$84),"")</f>
        <v/>
      </c>
      <c r="CL33" t="s">
        <v>235</v>
      </c>
    </row>
    <row r="34" spans="1:90" ht="18" customHeight="1">
      <c r="A34" s="11">
        <v>30</v>
      </c>
      <c r="B34" s="25">
        <v>45959</v>
      </c>
      <c r="C34" s="26" t="s">
        <v>143</v>
      </c>
      <c r="D34" s="27">
        <v>107.5</v>
      </c>
      <c r="E34" s="11"/>
      <c r="F34" s="1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>
        <v>9.0299999999999994</v>
      </c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>
        <v>72.347499999999997</v>
      </c>
      <c r="AR34" s="30"/>
      <c r="AS34" s="30"/>
      <c r="AT34" s="30"/>
      <c r="AU34" s="30"/>
      <c r="AV34" s="30"/>
      <c r="AW34" s="30">
        <v>2.3650000000000002</v>
      </c>
      <c r="AX34" s="30"/>
      <c r="AY34" s="30"/>
      <c r="AZ34" s="30">
        <v>9.0299999999999994</v>
      </c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>
        <v>13.545</v>
      </c>
      <c r="BO34" s="30"/>
      <c r="BP34" s="30"/>
      <c r="BQ34" s="30"/>
      <c r="BR34" s="30"/>
      <c r="BS34" s="30"/>
      <c r="BT34" s="30"/>
      <c r="BU34" s="30"/>
      <c r="BV34" s="30">
        <v>1.1825000000000001</v>
      </c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29" t="str">
        <f>IFERROR(SUMPRODUCT(G34:CI34,'🏭 원료 마스터'!$C$4:$C$84),"")</f>
        <v/>
      </c>
      <c r="CL34" t="s">
        <v>235</v>
      </c>
    </row>
    <row r="35" spans="1:90" ht="18" customHeight="1">
      <c r="A35" s="7">
        <v>31</v>
      </c>
      <c r="B35" s="25">
        <v>45959</v>
      </c>
      <c r="C35" s="26" t="s">
        <v>184</v>
      </c>
      <c r="D35" s="27">
        <v>72.5</v>
      </c>
      <c r="E35" s="7"/>
      <c r="F35" s="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>
        <v>50.387500000000003</v>
      </c>
      <c r="AR35" s="28"/>
      <c r="AS35" s="28"/>
      <c r="AT35" s="28"/>
      <c r="AU35" s="28"/>
      <c r="AV35" s="28"/>
      <c r="AW35" s="28"/>
      <c r="AX35" s="28"/>
      <c r="AY35" s="28"/>
      <c r="AZ35" s="28">
        <v>8.1925000000000008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>
        <v>6.5250000000000004</v>
      </c>
      <c r="BL35" s="28"/>
      <c r="BM35" s="28"/>
      <c r="BN35" s="28">
        <v>6.5250000000000004</v>
      </c>
      <c r="BO35" s="28"/>
      <c r="BP35" s="28"/>
      <c r="BQ35" s="28"/>
      <c r="BR35" s="28"/>
      <c r="BS35" s="28"/>
      <c r="BT35" s="28"/>
      <c r="BU35" s="28"/>
      <c r="BV35" s="28">
        <v>0.87</v>
      </c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9" t="str">
        <f>IFERROR(SUMPRODUCT(G35:CI35,'🏭 원료 마스터'!$C$4:$C$84),"")</f>
        <v/>
      </c>
      <c r="CL35" t="s">
        <v>235</v>
      </c>
    </row>
    <row r="36" spans="1:90" ht="18" customHeight="1">
      <c r="A36" s="11">
        <v>32</v>
      </c>
      <c r="B36" s="25">
        <v>45959</v>
      </c>
      <c r="C36" s="26" t="s">
        <v>204</v>
      </c>
      <c r="D36" s="27">
        <v>140</v>
      </c>
      <c r="E36" s="11"/>
      <c r="F36" s="1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>
        <v>4.62</v>
      </c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>
        <v>4.2</v>
      </c>
      <c r="AL36" s="30"/>
      <c r="AM36" s="30"/>
      <c r="AN36" s="30"/>
      <c r="AO36" s="30"/>
      <c r="AP36" s="30"/>
      <c r="AQ36" s="30"/>
      <c r="AR36" s="30"/>
      <c r="AS36" s="30">
        <v>3.08</v>
      </c>
      <c r="AT36" s="30"/>
      <c r="AU36" s="30"/>
      <c r="AV36" s="30"/>
      <c r="AW36" s="30"/>
      <c r="AX36" s="30"/>
      <c r="AY36" s="30"/>
      <c r="AZ36" s="30">
        <v>3.08</v>
      </c>
      <c r="BA36" s="30"/>
      <c r="BB36" s="30"/>
      <c r="BC36" s="30"/>
      <c r="BD36" s="30"/>
      <c r="BE36" s="30">
        <v>1.54</v>
      </c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>
        <v>58.24</v>
      </c>
      <c r="BR36" s="30"/>
      <c r="BS36" s="30">
        <v>1.4</v>
      </c>
      <c r="BT36" s="30"/>
      <c r="BU36" s="30">
        <v>62.16</v>
      </c>
      <c r="BV36" s="30">
        <v>1.1200000000000001</v>
      </c>
      <c r="BW36" s="30"/>
      <c r="BX36" s="30"/>
      <c r="BY36" s="30"/>
      <c r="BZ36" s="30"/>
      <c r="CA36" s="30"/>
      <c r="CB36" s="30"/>
      <c r="CC36" s="30"/>
      <c r="CD36" s="30"/>
      <c r="CE36" s="30">
        <v>0.56000000000000005</v>
      </c>
      <c r="CF36" s="30"/>
      <c r="CG36" s="30"/>
      <c r="CH36" s="30"/>
      <c r="CI36" s="30"/>
      <c r="CJ36" s="29" t="str">
        <f>IFERROR(SUMPRODUCT(G36:CI36,'🏭 원료 마스터'!$C$4:$C$84),"")</f>
        <v/>
      </c>
      <c r="CL36" t="s">
        <v>235</v>
      </c>
    </row>
    <row r="37" spans="1:90" ht="18" customHeight="1">
      <c r="A37" s="7">
        <v>33</v>
      </c>
      <c r="B37" s="25">
        <v>45959</v>
      </c>
      <c r="C37" s="26" t="s">
        <v>155</v>
      </c>
      <c r="D37" s="27">
        <v>210</v>
      </c>
      <c r="E37" s="7"/>
      <c r="F37" s="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>
        <v>9.0299999999999994</v>
      </c>
      <c r="AQ37" s="28"/>
      <c r="AR37" s="28"/>
      <c r="AS37" s="28">
        <v>4.41</v>
      </c>
      <c r="AT37" s="28">
        <v>1.68</v>
      </c>
      <c r="AU37" s="28"/>
      <c r="AV37" s="28"/>
      <c r="AW37" s="28"/>
      <c r="AX37" s="28"/>
      <c r="AY37" s="28"/>
      <c r="AZ37" s="28">
        <v>4.41</v>
      </c>
      <c r="BA37" s="28"/>
      <c r="BB37" s="28"/>
      <c r="BC37" s="28"/>
      <c r="BD37" s="28"/>
      <c r="BE37" s="28"/>
      <c r="BF37" s="28"/>
      <c r="BG37" s="28"/>
      <c r="BH37" s="28"/>
      <c r="BI37" s="28">
        <v>6.72</v>
      </c>
      <c r="BJ37" s="28"/>
      <c r="BK37" s="28"/>
      <c r="BL37" s="28"/>
      <c r="BM37" s="28"/>
      <c r="BN37" s="28"/>
      <c r="BO37" s="28"/>
      <c r="BP37" s="28"/>
      <c r="BQ37" s="28">
        <v>84.21</v>
      </c>
      <c r="BR37" s="28"/>
      <c r="BS37" s="28">
        <v>0.42</v>
      </c>
      <c r="BT37" s="28"/>
      <c r="BU37" s="28">
        <v>90.3</v>
      </c>
      <c r="BV37" s="28">
        <v>1.47</v>
      </c>
      <c r="BW37" s="28"/>
      <c r="BX37" s="28"/>
      <c r="BY37" s="28"/>
      <c r="BZ37" s="28"/>
      <c r="CA37" s="28"/>
      <c r="CB37" s="28"/>
      <c r="CC37" s="28">
        <v>6.72</v>
      </c>
      <c r="CD37" s="28"/>
      <c r="CE37" s="28">
        <v>0.63</v>
      </c>
      <c r="CF37" s="28"/>
      <c r="CG37" s="28"/>
      <c r="CH37" s="28"/>
      <c r="CI37" s="28"/>
      <c r="CJ37" s="29" t="str">
        <f>IFERROR(SUMPRODUCT(G37:CI37,'🏭 원료 마스터'!$C$4:$C$84),"")</f>
        <v/>
      </c>
      <c r="CL37" t="s">
        <v>235</v>
      </c>
    </row>
    <row r="38" spans="1:90" ht="18" customHeight="1">
      <c r="A38" s="11">
        <v>34</v>
      </c>
      <c r="B38" s="25">
        <v>45960</v>
      </c>
      <c r="C38" s="26" t="s">
        <v>143</v>
      </c>
      <c r="D38" s="27">
        <v>315</v>
      </c>
      <c r="E38" s="11"/>
      <c r="F38" s="1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>
        <v>26.46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>
        <v>211.995</v>
      </c>
      <c r="AR38" s="30"/>
      <c r="AS38" s="30"/>
      <c r="AT38" s="30"/>
      <c r="AU38" s="30"/>
      <c r="AV38" s="30"/>
      <c r="AW38" s="30">
        <v>6.93</v>
      </c>
      <c r="AX38" s="30"/>
      <c r="AY38" s="30"/>
      <c r="AZ38" s="30">
        <v>26.46</v>
      </c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>
        <v>39.69</v>
      </c>
      <c r="BO38" s="30"/>
      <c r="BP38" s="30"/>
      <c r="BQ38" s="30"/>
      <c r="BR38" s="30"/>
      <c r="BS38" s="30"/>
      <c r="BT38" s="30"/>
      <c r="BU38" s="30"/>
      <c r="BV38" s="30">
        <v>3.4649999999999999</v>
      </c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29" t="str">
        <f>IFERROR(SUMPRODUCT(G38:CI38,'🏭 원료 마스터'!$C$4:$C$84),"")</f>
        <v/>
      </c>
      <c r="CL38" t="s">
        <v>235</v>
      </c>
    </row>
    <row r="39" spans="1:90" ht="18" customHeight="1">
      <c r="A39" s="7">
        <v>35</v>
      </c>
      <c r="B39" s="25">
        <v>45960</v>
      </c>
      <c r="C39" s="26" t="s">
        <v>184</v>
      </c>
      <c r="D39" s="27">
        <v>172.5</v>
      </c>
      <c r="E39" s="7"/>
      <c r="F39" s="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>
        <v>119.8875</v>
      </c>
      <c r="AR39" s="28"/>
      <c r="AS39" s="28"/>
      <c r="AT39" s="28"/>
      <c r="AU39" s="28"/>
      <c r="AV39" s="28"/>
      <c r="AW39" s="28"/>
      <c r="AX39" s="28"/>
      <c r="AY39" s="28"/>
      <c r="AZ39" s="28">
        <v>19.4925</v>
      </c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>
        <v>15.525</v>
      </c>
      <c r="BL39" s="28"/>
      <c r="BM39" s="28"/>
      <c r="BN39" s="28">
        <v>15.525</v>
      </c>
      <c r="BO39" s="28"/>
      <c r="BP39" s="28"/>
      <c r="BQ39" s="28"/>
      <c r="BR39" s="28"/>
      <c r="BS39" s="28"/>
      <c r="BT39" s="28"/>
      <c r="BU39" s="28"/>
      <c r="BV39" s="28">
        <v>2.0699999999999998</v>
      </c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9" t="str">
        <f>IFERROR(SUMPRODUCT(G39:CI39,'🏭 원료 마스터'!$C$4:$C$84),"")</f>
        <v/>
      </c>
      <c r="CL39" t="s">
        <v>235</v>
      </c>
    </row>
    <row r="40" spans="1:90" ht="18" customHeight="1">
      <c r="A40" s="11">
        <v>36</v>
      </c>
      <c r="B40" s="25">
        <v>45961</v>
      </c>
      <c r="C40" s="26" t="s">
        <v>212</v>
      </c>
      <c r="D40" s="27">
        <v>100</v>
      </c>
      <c r="E40" s="11"/>
      <c r="F40" s="1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>
        <v>7.6</v>
      </c>
      <c r="X40" s="30"/>
      <c r="Y40" s="30"/>
      <c r="Z40" s="30"/>
      <c r="AA40" s="30"/>
      <c r="AB40" s="30">
        <v>1.5</v>
      </c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>
        <v>60.7</v>
      </c>
      <c r="AR40" s="30"/>
      <c r="AS40" s="30"/>
      <c r="AT40" s="30"/>
      <c r="AU40" s="30"/>
      <c r="AV40" s="30"/>
      <c r="AW40" s="30">
        <v>1.9</v>
      </c>
      <c r="AX40" s="30"/>
      <c r="AY40" s="30">
        <v>7.6</v>
      </c>
      <c r="AZ40" s="30">
        <v>7.6</v>
      </c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>
        <v>12.1</v>
      </c>
      <c r="BO40" s="30"/>
      <c r="BP40" s="30"/>
      <c r="BQ40" s="30"/>
      <c r="BR40" s="30"/>
      <c r="BS40" s="30"/>
      <c r="BT40" s="30"/>
      <c r="BU40" s="30"/>
      <c r="BV40" s="30">
        <v>1</v>
      </c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29" t="str">
        <f>IFERROR(SUMPRODUCT(G40:CI40,'🏭 원료 마스터'!$C$4:$C$84),"")</f>
        <v/>
      </c>
      <c r="CL40" t="s">
        <v>235</v>
      </c>
    </row>
    <row r="41" spans="1:90" ht="18" customHeight="1">
      <c r="A41" s="7">
        <v>37</v>
      </c>
      <c r="B41" s="25">
        <v>45961</v>
      </c>
      <c r="C41" s="26" t="s">
        <v>143</v>
      </c>
      <c r="D41" s="27">
        <v>322.5</v>
      </c>
      <c r="E41" s="7"/>
      <c r="F41" s="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>
        <v>27.09</v>
      </c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>
        <v>217.04249999999999</v>
      </c>
      <c r="AR41" s="28"/>
      <c r="AS41" s="28"/>
      <c r="AT41" s="28"/>
      <c r="AU41" s="28"/>
      <c r="AV41" s="28"/>
      <c r="AW41" s="28">
        <v>7.0949999999999998</v>
      </c>
      <c r="AX41" s="28"/>
      <c r="AY41" s="28"/>
      <c r="AZ41" s="28">
        <v>27.09</v>
      </c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>
        <v>40.634999999999998</v>
      </c>
      <c r="BO41" s="28"/>
      <c r="BP41" s="28"/>
      <c r="BQ41" s="28"/>
      <c r="BR41" s="28"/>
      <c r="BS41" s="28"/>
      <c r="BT41" s="28"/>
      <c r="BU41" s="28"/>
      <c r="BV41" s="28">
        <v>3.5474999999999999</v>
      </c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9" t="str">
        <f>IFERROR(SUMPRODUCT(G41:CI41,'🏭 원료 마스터'!$C$4:$C$84),"")</f>
        <v/>
      </c>
      <c r="CL41" t="s">
        <v>235</v>
      </c>
    </row>
    <row r="42" spans="1:90" ht="18" customHeight="1">
      <c r="A42" s="11">
        <v>38</v>
      </c>
      <c r="B42" s="25">
        <v>45961</v>
      </c>
      <c r="C42" s="26" t="s">
        <v>184</v>
      </c>
      <c r="D42" s="27">
        <v>75</v>
      </c>
      <c r="E42" s="11"/>
      <c r="F42" s="1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>
        <v>52.125</v>
      </c>
      <c r="AR42" s="30"/>
      <c r="AS42" s="30"/>
      <c r="AT42" s="30"/>
      <c r="AU42" s="30"/>
      <c r="AV42" s="30"/>
      <c r="AW42" s="30"/>
      <c r="AX42" s="30"/>
      <c r="AY42" s="30"/>
      <c r="AZ42" s="30">
        <v>8.4749999999999996</v>
      </c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>
        <v>6.75</v>
      </c>
      <c r="BL42" s="30"/>
      <c r="BM42" s="30"/>
      <c r="BN42" s="30">
        <v>6.75</v>
      </c>
      <c r="BO42" s="30"/>
      <c r="BP42" s="30"/>
      <c r="BQ42" s="30"/>
      <c r="BR42" s="30"/>
      <c r="BS42" s="30"/>
      <c r="BT42" s="30"/>
      <c r="BU42" s="30"/>
      <c r="BV42" s="30">
        <v>0.9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29" t="str">
        <f>IFERROR(SUMPRODUCT(G42:CI42,'🏭 원료 마스터'!$C$4:$C$84),"")</f>
        <v/>
      </c>
      <c r="CL42" t="s">
        <v>235</v>
      </c>
    </row>
    <row r="43" spans="1:90" ht="18" customHeight="1">
      <c r="A43" s="7">
        <v>39</v>
      </c>
      <c r="B43" s="25">
        <v>45964</v>
      </c>
      <c r="C43" s="26" t="s">
        <v>143</v>
      </c>
      <c r="D43" s="27">
        <v>287.5</v>
      </c>
      <c r="E43" s="7"/>
      <c r="F43" s="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>
        <v>24.15</v>
      </c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>
        <v>193.48750000000001</v>
      </c>
      <c r="AR43" s="28"/>
      <c r="AS43" s="28"/>
      <c r="AT43" s="28"/>
      <c r="AU43" s="28"/>
      <c r="AV43" s="28"/>
      <c r="AW43" s="28">
        <v>6.3250000000000002</v>
      </c>
      <c r="AX43" s="28"/>
      <c r="AY43" s="28"/>
      <c r="AZ43" s="28">
        <v>24.15</v>
      </c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>
        <v>36.225000000000001</v>
      </c>
      <c r="BO43" s="28"/>
      <c r="BP43" s="28"/>
      <c r="BQ43" s="28"/>
      <c r="BR43" s="28"/>
      <c r="BS43" s="28"/>
      <c r="BT43" s="28"/>
      <c r="BU43" s="28"/>
      <c r="BV43" s="28">
        <v>3.1625000000000001</v>
      </c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9" t="str">
        <f>IFERROR(SUMPRODUCT(G43:CI43,'🏭 원료 마스터'!$C$4:$C$84),"")</f>
        <v/>
      </c>
      <c r="CL43" t="s">
        <v>236</v>
      </c>
    </row>
    <row r="44" spans="1:90" ht="18" customHeight="1">
      <c r="A44" s="11">
        <v>40</v>
      </c>
      <c r="B44" s="25">
        <v>45964</v>
      </c>
      <c r="C44" s="26" t="s">
        <v>184</v>
      </c>
      <c r="D44" s="27">
        <v>197.5</v>
      </c>
      <c r="E44" s="11"/>
      <c r="F44" s="11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>
        <v>137.26249999999999</v>
      </c>
      <c r="AR44" s="30"/>
      <c r="AS44" s="30"/>
      <c r="AT44" s="30"/>
      <c r="AU44" s="30"/>
      <c r="AV44" s="30"/>
      <c r="AW44" s="30"/>
      <c r="AX44" s="30"/>
      <c r="AY44" s="30"/>
      <c r="AZ44" s="30">
        <v>22.317499999999999</v>
      </c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>
        <v>17.774999999999999</v>
      </c>
      <c r="BL44" s="30"/>
      <c r="BM44" s="30"/>
      <c r="BN44" s="30">
        <v>17.774999999999999</v>
      </c>
      <c r="BO44" s="30"/>
      <c r="BP44" s="30"/>
      <c r="BQ44" s="30"/>
      <c r="BR44" s="30"/>
      <c r="BS44" s="30"/>
      <c r="BT44" s="30"/>
      <c r="BU44" s="30"/>
      <c r="BV44" s="30">
        <v>2.37</v>
      </c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29" t="str">
        <f>IFERROR(SUMPRODUCT(G44:CI44,'🏭 원료 마스터'!$C$4:$C$84),"")</f>
        <v/>
      </c>
      <c r="CL44" t="s">
        <v>236</v>
      </c>
    </row>
    <row r="45" spans="1:90" ht="18" customHeight="1">
      <c r="A45" s="7">
        <v>41</v>
      </c>
      <c r="B45" s="25">
        <v>45964</v>
      </c>
      <c r="C45" s="26" t="s">
        <v>144</v>
      </c>
      <c r="D45" s="27">
        <v>70</v>
      </c>
      <c r="E45" s="7"/>
      <c r="F45" s="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>
        <v>2.1</v>
      </c>
      <c r="AL45" s="28"/>
      <c r="AM45" s="28"/>
      <c r="AN45" s="28"/>
      <c r="AO45" s="28"/>
      <c r="AP45" s="28"/>
      <c r="AQ45" s="28"/>
      <c r="AR45" s="28"/>
      <c r="AS45" s="28">
        <v>3.29</v>
      </c>
      <c r="AT45" s="28"/>
      <c r="AU45" s="28"/>
      <c r="AV45" s="28"/>
      <c r="AW45" s="28"/>
      <c r="AX45" s="28"/>
      <c r="AY45" s="28"/>
      <c r="AZ45" s="28">
        <v>3.29</v>
      </c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>
        <v>26.53</v>
      </c>
      <c r="BO45" s="28"/>
      <c r="BP45" s="28"/>
      <c r="BQ45" s="28"/>
      <c r="BR45" s="28"/>
      <c r="BS45" s="28">
        <v>0.63</v>
      </c>
      <c r="BT45" s="28"/>
      <c r="BU45" s="28">
        <v>33.25</v>
      </c>
      <c r="BV45" s="28">
        <v>0.63</v>
      </c>
      <c r="BW45" s="28"/>
      <c r="BX45" s="28"/>
      <c r="BY45" s="28"/>
      <c r="BZ45" s="28"/>
      <c r="CA45" s="28"/>
      <c r="CB45" s="28"/>
      <c r="CC45" s="28"/>
      <c r="CD45" s="28"/>
      <c r="CE45" s="28">
        <v>0.28000000000000003</v>
      </c>
      <c r="CF45" s="28"/>
      <c r="CG45" s="28"/>
      <c r="CH45" s="28"/>
      <c r="CI45" s="28"/>
      <c r="CJ45" s="29" t="str">
        <f>IFERROR(SUMPRODUCT(G45:CI45,'🏭 원료 마스터'!$C$4:$C$84),"")</f>
        <v/>
      </c>
      <c r="CL45" t="s">
        <v>236</v>
      </c>
    </row>
    <row r="46" spans="1:90" ht="18" customHeight="1">
      <c r="A46" s="11">
        <v>42</v>
      </c>
      <c r="B46" s="25">
        <v>45965</v>
      </c>
      <c r="C46" s="26" t="s">
        <v>169</v>
      </c>
      <c r="D46" s="27">
        <v>53</v>
      </c>
      <c r="E46" s="11"/>
      <c r="F46" s="11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>
        <v>52.47</v>
      </c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>
        <v>0.53</v>
      </c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29" t="str">
        <f>IFERROR(SUMPRODUCT(G46:CI46,'🏭 원료 마스터'!$C$4:$C$84),"")</f>
        <v/>
      </c>
      <c r="CL46" t="s">
        <v>236</v>
      </c>
    </row>
    <row r="47" spans="1:90" ht="18" customHeight="1">
      <c r="A47" s="7">
        <v>43</v>
      </c>
      <c r="B47" s="25">
        <v>45965</v>
      </c>
      <c r="C47" s="26" t="s">
        <v>143</v>
      </c>
      <c r="D47" s="27">
        <v>105</v>
      </c>
      <c r="E47" s="7"/>
      <c r="F47" s="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>
        <v>8.82</v>
      </c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>
        <v>70.665000000000006</v>
      </c>
      <c r="AR47" s="28"/>
      <c r="AS47" s="28"/>
      <c r="AT47" s="28"/>
      <c r="AU47" s="28"/>
      <c r="AV47" s="28"/>
      <c r="AW47" s="28">
        <v>2.31</v>
      </c>
      <c r="AX47" s="28"/>
      <c r="AY47" s="28"/>
      <c r="AZ47" s="28">
        <v>8.82</v>
      </c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>
        <v>13.23</v>
      </c>
      <c r="BO47" s="28"/>
      <c r="BP47" s="28"/>
      <c r="BQ47" s="28"/>
      <c r="BR47" s="28"/>
      <c r="BS47" s="28"/>
      <c r="BT47" s="28"/>
      <c r="BU47" s="28"/>
      <c r="BV47" s="28">
        <v>1.155</v>
      </c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9" t="str">
        <f>IFERROR(SUMPRODUCT(G47:CI47,'🏭 원료 마스터'!$C$4:$C$84),"")</f>
        <v/>
      </c>
      <c r="CL47" t="s">
        <v>236</v>
      </c>
    </row>
    <row r="48" spans="1:90" ht="18" customHeight="1">
      <c r="A48" s="11">
        <v>44</v>
      </c>
      <c r="B48" s="25">
        <v>45965</v>
      </c>
      <c r="C48" s="26" t="s">
        <v>184</v>
      </c>
      <c r="D48" s="27">
        <v>75</v>
      </c>
      <c r="E48" s="11"/>
      <c r="F48" s="1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>
        <v>52.125</v>
      </c>
      <c r="AR48" s="30"/>
      <c r="AS48" s="30"/>
      <c r="AT48" s="30"/>
      <c r="AU48" s="30"/>
      <c r="AV48" s="30"/>
      <c r="AW48" s="30"/>
      <c r="AX48" s="30"/>
      <c r="AY48" s="30"/>
      <c r="AZ48" s="30">
        <v>8.4749999999999996</v>
      </c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>
        <v>6.75</v>
      </c>
      <c r="BL48" s="30"/>
      <c r="BM48" s="30"/>
      <c r="BN48" s="30">
        <v>6.75</v>
      </c>
      <c r="BO48" s="30"/>
      <c r="BP48" s="30"/>
      <c r="BQ48" s="30"/>
      <c r="BR48" s="30"/>
      <c r="BS48" s="30"/>
      <c r="BT48" s="30"/>
      <c r="BU48" s="30"/>
      <c r="BV48" s="30">
        <v>0.9</v>
      </c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29" t="str">
        <f>IFERROR(SUMPRODUCT(G48:CI48,'🏭 원료 마스터'!$C$4:$C$84),"")</f>
        <v/>
      </c>
      <c r="CL48" t="s">
        <v>236</v>
      </c>
    </row>
    <row r="49" spans="1:90" ht="18" customHeight="1">
      <c r="A49" s="7">
        <v>45</v>
      </c>
      <c r="B49" s="25">
        <v>45965</v>
      </c>
      <c r="C49" s="26" t="s">
        <v>204</v>
      </c>
      <c r="D49" s="27">
        <v>210</v>
      </c>
      <c r="E49" s="7"/>
      <c r="F49" s="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>
        <v>6.93</v>
      </c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>
        <v>6.3</v>
      </c>
      <c r="AL49" s="28"/>
      <c r="AM49" s="28"/>
      <c r="AN49" s="28"/>
      <c r="AO49" s="28"/>
      <c r="AP49" s="28"/>
      <c r="AQ49" s="28"/>
      <c r="AR49" s="28"/>
      <c r="AS49" s="28">
        <v>4.62</v>
      </c>
      <c r="AT49" s="28"/>
      <c r="AU49" s="28"/>
      <c r="AV49" s="28"/>
      <c r="AW49" s="28"/>
      <c r="AX49" s="28"/>
      <c r="AY49" s="28"/>
      <c r="AZ49" s="28">
        <v>4.62</v>
      </c>
      <c r="BA49" s="28"/>
      <c r="BB49" s="28"/>
      <c r="BC49" s="28"/>
      <c r="BD49" s="28"/>
      <c r="BE49" s="28">
        <v>2.31</v>
      </c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>
        <v>87.36</v>
      </c>
      <c r="BR49" s="28"/>
      <c r="BS49" s="28">
        <v>2.1</v>
      </c>
      <c r="BT49" s="28"/>
      <c r="BU49" s="28">
        <v>93.24</v>
      </c>
      <c r="BV49" s="28">
        <v>1.68</v>
      </c>
      <c r="BW49" s="28"/>
      <c r="BX49" s="28"/>
      <c r="BY49" s="28"/>
      <c r="BZ49" s="28"/>
      <c r="CA49" s="28"/>
      <c r="CB49" s="28"/>
      <c r="CC49" s="28"/>
      <c r="CD49" s="28"/>
      <c r="CE49" s="28">
        <v>0.84</v>
      </c>
      <c r="CF49" s="28"/>
      <c r="CG49" s="28"/>
      <c r="CH49" s="28"/>
      <c r="CI49" s="28"/>
      <c r="CJ49" s="29" t="str">
        <f>IFERROR(SUMPRODUCT(G49:CI49,'🏭 원료 마스터'!$C$4:$C$84),"")</f>
        <v/>
      </c>
      <c r="CL49" t="s">
        <v>236</v>
      </c>
    </row>
    <row r="50" spans="1:90" ht="18" customHeight="1">
      <c r="A50" s="11">
        <v>46</v>
      </c>
      <c r="B50" s="25">
        <v>45965</v>
      </c>
      <c r="C50" s="26" t="s">
        <v>205</v>
      </c>
      <c r="D50" s="27">
        <v>140</v>
      </c>
      <c r="E50" s="11"/>
      <c r="F50" s="1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>
        <v>2.8</v>
      </c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>
        <v>17.36</v>
      </c>
      <c r="AJ50" s="30"/>
      <c r="AK50" s="30">
        <v>3.78</v>
      </c>
      <c r="AL50" s="30"/>
      <c r="AM50" s="30"/>
      <c r="AN50" s="30"/>
      <c r="AO50" s="30"/>
      <c r="AP50" s="30"/>
      <c r="AQ50" s="30"/>
      <c r="AR50" s="30"/>
      <c r="AS50" s="30">
        <v>2.8</v>
      </c>
      <c r="AT50" s="30"/>
      <c r="AU50" s="30"/>
      <c r="AV50" s="30"/>
      <c r="AW50" s="30"/>
      <c r="AX50" s="30"/>
      <c r="AY50" s="30"/>
      <c r="AZ50" s="30">
        <v>2.8</v>
      </c>
      <c r="BA50" s="30"/>
      <c r="BB50" s="30"/>
      <c r="BC50" s="30"/>
      <c r="BD50" s="30"/>
      <c r="BE50" s="30">
        <v>1.4</v>
      </c>
      <c r="BF50" s="30"/>
      <c r="BG50" s="30"/>
      <c r="BH50" s="30"/>
      <c r="BI50" s="30"/>
      <c r="BJ50" s="30"/>
      <c r="BK50" s="30"/>
      <c r="BL50" s="30"/>
      <c r="BM50" s="30"/>
      <c r="BN50" s="30">
        <v>16.239999999999998</v>
      </c>
      <c r="BO50" s="30"/>
      <c r="BP50" s="30">
        <v>34.72</v>
      </c>
      <c r="BQ50" s="30"/>
      <c r="BR50" s="30"/>
      <c r="BS50" s="30">
        <v>1.26</v>
      </c>
      <c r="BT50" s="30"/>
      <c r="BU50" s="30">
        <v>55.44</v>
      </c>
      <c r="BV50" s="30">
        <v>0.98</v>
      </c>
      <c r="BW50" s="30"/>
      <c r="BX50" s="30"/>
      <c r="BY50" s="30"/>
      <c r="BZ50" s="30"/>
      <c r="CA50" s="30"/>
      <c r="CB50" s="30"/>
      <c r="CC50" s="30"/>
      <c r="CD50" s="30"/>
      <c r="CE50" s="30">
        <v>0.42</v>
      </c>
      <c r="CF50" s="30"/>
      <c r="CG50" s="30"/>
      <c r="CH50" s="30"/>
      <c r="CI50" s="30"/>
      <c r="CJ50" s="29" t="str">
        <f>IFERROR(SUMPRODUCT(G50:CI50,'🏭 원료 마스터'!$C$4:$C$84),"")</f>
        <v/>
      </c>
      <c r="CL50" t="s">
        <v>236</v>
      </c>
    </row>
    <row r="51" spans="1:90" ht="18" customHeight="1">
      <c r="A51" s="7">
        <v>47</v>
      </c>
      <c r="B51" s="25">
        <v>45966</v>
      </c>
      <c r="C51" s="26" t="s">
        <v>147</v>
      </c>
      <c r="D51" s="27">
        <v>80</v>
      </c>
      <c r="E51" s="7"/>
      <c r="F51" s="7"/>
      <c r="G51" s="28">
        <v>1.28</v>
      </c>
      <c r="H51" s="28"/>
      <c r="I51" s="28"/>
      <c r="J51" s="28">
        <v>1.36</v>
      </c>
      <c r="K51" s="28"/>
      <c r="L51" s="28">
        <v>0.24</v>
      </c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>
        <v>2.3199999999999998</v>
      </c>
      <c r="AH51" s="28">
        <v>0.96</v>
      </c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>
        <v>3.28</v>
      </c>
      <c r="AU51" s="28"/>
      <c r="AV51" s="28"/>
      <c r="AW51" s="28"/>
      <c r="AX51" s="28"/>
      <c r="AY51" s="28"/>
      <c r="AZ51" s="28">
        <v>6.88</v>
      </c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>
        <v>13.84</v>
      </c>
      <c r="BO51" s="28"/>
      <c r="BP51" s="28"/>
      <c r="BQ51" s="28"/>
      <c r="BR51" s="28"/>
      <c r="BS51" s="28"/>
      <c r="BT51" s="28"/>
      <c r="BU51" s="28">
        <v>46.08</v>
      </c>
      <c r="BV51" s="28">
        <v>0.4</v>
      </c>
      <c r="BW51" s="28"/>
      <c r="BX51" s="28"/>
      <c r="BY51" s="28">
        <v>0.48</v>
      </c>
      <c r="BZ51" s="28">
        <v>0.96</v>
      </c>
      <c r="CA51" s="28"/>
      <c r="CB51" s="28"/>
      <c r="CC51" s="28">
        <v>0.96</v>
      </c>
      <c r="CD51" s="28">
        <v>0.96</v>
      </c>
      <c r="CE51" s="28"/>
      <c r="CF51" s="28"/>
      <c r="CG51" s="28"/>
      <c r="CH51" s="28"/>
      <c r="CI51" s="28"/>
      <c r="CJ51" s="29" t="str">
        <f>IFERROR(SUMPRODUCT(G51:CI51,'🏭 원료 마스터'!$C$4:$C$84),"")</f>
        <v/>
      </c>
      <c r="CL51" t="s">
        <v>236</v>
      </c>
    </row>
    <row r="52" spans="1:90" ht="18" customHeight="1">
      <c r="A52" s="11">
        <v>48</v>
      </c>
      <c r="B52" s="25">
        <v>45966</v>
      </c>
      <c r="C52" s="26" t="s">
        <v>143</v>
      </c>
      <c r="D52" s="27">
        <v>175</v>
      </c>
      <c r="E52" s="11"/>
      <c r="F52" s="1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>
        <v>14.7</v>
      </c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>
        <v>117.77500000000001</v>
      </c>
      <c r="AR52" s="30"/>
      <c r="AS52" s="30"/>
      <c r="AT52" s="30"/>
      <c r="AU52" s="30"/>
      <c r="AV52" s="30"/>
      <c r="AW52" s="30">
        <v>3.85</v>
      </c>
      <c r="AX52" s="30"/>
      <c r="AY52" s="30"/>
      <c r="AZ52" s="30">
        <v>14.7</v>
      </c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>
        <v>22.05</v>
      </c>
      <c r="BO52" s="30"/>
      <c r="BP52" s="30"/>
      <c r="BQ52" s="30"/>
      <c r="BR52" s="30"/>
      <c r="BS52" s="30"/>
      <c r="BT52" s="30"/>
      <c r="BU52" s="30"/>
      <c r="BV52" s="30">
        <v>1.925</v>
      </c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29" t="str">
        <f>IFERROR(SUMPRODUCT(G52:CI52,'🏭 원료 마스터'!$C$4:$C$84),"")</f>
        <v/>
      </c>
      <c r="CL52" t="s">
        <v>236</v>
      </c>
    </row>
    <row r="53" spans="1:90" ht="18" customHeight="1">
      <c r="A53" s="7">
        <v>49</v>
      </c>
      <c r="B53" s="25">
        <v>45966</v>
      </c>
      <c r="C53" s="26" t="s">
        <v>184</v>
      </c>
      <c r="D53" s="27">
        <v>97.5</v>
      </c>
      <c r="E53" s="7"/>
      <c r="F53" s="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>
        <v>67.762500000000003</v>
      </c>
      <c r="AR53" s="28"/>
      <c r="AS53" s="28"/>
      <c r="AT53" s="28"/>
      <c r="AU53" s="28"/>
      <c r="AV53" s="28"/>
      <c r="AW53" s="28"/>
      <c r="AX53" s="28"/>
      <c r="AY53" s="28"/>
      <c r="AZ53" s="28">
        <v>11.0175</v>
      </c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>
        <v>8.7750000000000004</v>
      </c>
      <c r="BL53" s="28"/>
      <c r="BM53" s="28"/>
      <c r="BN53" s="28">
        <v>8.7750000000000004</v>
      </c>
      <c r="BO53" s="28"/>
      <c r="BP53" s="28"/>
      <c r="BQ53" s="28"/>
      <c r="BR53" s="28"/>
      <c r="BS53" s="28"/>
      <c r="BT53" s="28"/>
      <c r="BU53" s="28"/>
      <c r="BV53" s="28">
        <v>1.17</v>
      </c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9" t="str">
        <f>IFERROR(SUMPRODUCT(G53:CI53,'🏭 원료 마스터'!$C$4:$C$84),"")</f>
        <v/>
      </c>
      <c r="CL53" t="s">
        <v>236</v>
      </c>
    </row>
    <row r="54" spans="1:90" ht="18" customHeight="1">
      <c r="A54" s="11">
        <v>50</v>
      </c>
      <c r="B54" s="25">
        <v>45966</v>
      </c>
      <c r="C54" s="26" t="s">
        <v>155</v>
      </c>
      <c r="D54" s="27">
        <v>140</v>
      </c>
      <c r="E54" s="11"/>
      <c r="F54" s="1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>
        <v>6.02</v>
      </c>
      <c r="AQ54" s="30"/>
      <c r="AR54" s="30"/>
      <c r="AS54" s="30">
        <v>2.94</v>
      </c>
      <c r="AT54" s="30">
        <v>1.1200000000000001</v>
      </c>
      <c r="AU54" s="30"/>
      <c r="AV54" s="30"/>
      <c r="AW54" s="30"/>
      <c r="AX54" s="30"/>
      <c r="AY54" s="30"/>
      <c r="AZ54" s="30">
        <v>2.94</v>
      </c>
      <c r="BA54" s="30"/>
      <c r="BB54" s="30"/>
      <c r="BC54" s="30"/>
      <c r="BD54" s="30"/>
      <c r="BE54" s="30"/>
      <c r="BF54" s="30"/>
      <c r="BG54" s="30"/>
      <c r="BH54" s="30"/>
      <c r="BI54" s="30">
        <v>4.4800000000000004</v>
      </c>
      <c r="BJ54" s="30"/>
      <c r="BK54" s="30"/>
      <c r="BL54" s="30"/>
      <c r="BM54" s="30"/>
      <c r="BN54" s="30"/>
      <c r="BO54" s="30"/>
      <c r="BP54" s="30"/>
      <c r="BQ54" s="30">
        <v>56.14</v>
      </c>
      <c r="BR54" s="30"/>
      <c r="BS54" s="30">
        <v>0.28000000000000003</v>
      </c>
      <c r="BT54" s="30"/>
      <c r="BU54" s="30">
        <v>60.2</v>
      </c>
      <c r="BV54" s="30">
        <v>0.98</v>
      </c>
      <c r="BW54" s="30"/>
      <c r="BX54" s="30"/>
      <c r="BY54" s="30"/>
      <c r="BZ54" s="30"/>
      <c r="CA54" s="30"/>
      <c r="CB54" s="30"/>
      <c r="CC54" s="30">
        <v>4.4800000000000004</v>
      </c>
      <c r="CD54" s="30"/>
      <c r="CE54" s="30">
        <v>0.42</v>
      </c>
      <c r="CF54" s="30"/>
      <c r="CG54" s="30"/>
      <c r="CH54" s="30"/>
      <c r="CI54" s="30"/>
      <c r="CJ54" s="29" t="str">
        <f>IFERROR(SUMPRODUCT(G54:CI54,'🏭 원료 마스터'!$C$4:$C$84),"")</f>
        <v/>
      </c>
      <c r="CL54" t="s">
        <v>236</v>
      </c>
    </row>
    <row r="55" spans="1:90" ht="18" customHeight="1">
      <c r="A55" s="7">
        <v>51</v>
      </c>
      <c r="B55" s="25">
        <v>45966</v>
      </c>
      <c r="C55" s="26" t="s">
        <v>144</v>
      </c>
      <c r="D55" s="27">
        <v>70</v>
      </c>
      <c r="E55" s="7"/>
      <c r="F55" s="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>
        <v>2.1</v>
      </c>
      <c r="AL55" s="28"/>
      <c r="AM55" s="28"/>
      <c r="AN55" s="28"/>
      <c r="AO55" s="28"/>
      <c r="AP55" s="28"/>
      <c r="AQ55" s="28"/>
      <c r="AR55" s="28"/>
      <c r="AS55" s="28">
        <v>3.29</v>
      </c>
      <c r="AT55" s="28"/>
      <c r="AU55" s="28"/>
      <c r="AV55" s="28"/>
      <c r="AW55" s="28"/>
      <c r="AX55" s="28"/>
      <c r="AY55" s="28"/>
      <c r="AZ55" s="28">
        <v>3.29</v>
      </c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>
        <v>26.53</v>
      </c>
      <c r="BO55" s="28"/>
      <c r="BP55" s="28"/>
      <c r="BQ55" s="28"/>
      <c r="BR55" s="28"/>
      <c r="BS55" s="28">
        <v>0.63</v>
      </c>
      <c r="BT55" s="28"/>
      <c r="BU55" s="28">
        <v>33.25</v>
      </c>
      <c r="BV55" s="28">
        <v>0.63</v>
      </c>
      <c r="BW55" s="28"/>
      <c r="BX55" s="28"/>
      <c r="BY55" s="28"/>
      <c r="BZ55" s="28"/>
      <c r="CA55" s="28"/>
      <c r="CB55" s="28"/>
      <c r="CC55" s="28"/>
      <c r="CD55" s="28"/>
      <c r="CE55" s="28">
        <v>0.28000000000000003</v>
      </c>
      <c r="CF55" s="28"/>
      <c r="CG55" s="28"/>
      <c r="CH55" s="28"/>
      <c r="CI55" s="28"/>
      <c r="CJ55" s="29" t="str">
        <f>IFERROR(SUMPRODUCT(G55:CI55,'🏭 원료 마스터'!$C$4:$C$84),"")</f>
        <v/>
      </c>
      <c r="CL55" t="s">
        <v>236</v>
      </c>
    </row>
    <row r="56" spans="1:90" ht="18" customHeight="1">
      <c r="A56" s="11">
        <v>52</v>
      </c>
      <c r="B56" s="25">
        <v>45967</v>
      </c>
      <c r="C56" s="26" t="s">
        <v>183</v>
      </c>
      <c r="D56" s="27">
        <v>350</v>
      </c>
      <c r="E56" s="11"/>
      <c r="F56" s="1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>
        <v>8.4</v>
      </c>
      <c r="AT56" s="30"/>
      <c r="AU56" s="30"/>
      <c r="AV56" s="30"/>
      <c r="AW56" s="30"/>
      <c r="AX56" s="30"/>
      <c r="AY56" s="30"/>
      <c r="AZ56" s="30">
        <v>8.4</v>
      </c>
      <c r="BA56" s="30"/>
      <c r="BB56" s="30"/>
      <c r="BC56" s="30"/>
      <c r="BD56" s="30"/>
      <c r="BE56" s="30"/>
      <c r="BF56" s="30"/>
      <c r="BG56" s="30"/>
      <c r="BH56" s="30"/>
      <c r="BI56" s="30">
        <v>4.2</v>
      </c>
      <c r="BJ56" s="30"/>
      <c r="BK56" s="30"/>
      <c r="BL56" s="30"/>
      <c r="BM56" s="30"/>
      <c r="BN56" s="30"/>
      <c r="BO56" s="30"/>
      <c r="BP56" s="30"/>
      <c r="BQ56" s="30">
        <v>156.80000000000001</v>
      </c>
      <c r="BR56" s="30"/>
      <c r="BS56" s="30">
        <v>0.7</v>
      </c>
      <c r="BT56" s="30"/>
      <c r="BU56" s="30">
        <v>167.3</v>
      </c>
      <c r="BV56" s="30">
        <v>2.8</v>
      </c>
      <c r="BW56" s="30"/>
      <c r="BX56" s="30"/>
      <c r="BY56" s="30"/>
      <c r="BZ56" s="30"/>
      <c r="CA56" s="30"/>
      <c r="CB56" s="30"/>
      <c r="CC56" s="30"/>
      <c r="CD56" s="30"/>
      <c r="CE56" s="30">
        <v>1.4</v>
      </c>
      <c r="CF56" s="30"/>
      <c r="CG56" s="30"/>
      <c r="CH56" s="30"/>
      <c r="CI56" s="30"/>
      <c r="CJ56" s="29" t="str">
        <f>IFERROR(SUMPRODUCT(G56:CI56,'🏭 원료 마스터'!$C$4:$C$84),"")</f>
        <v/>
      </c>
      <c r="CL56" t="s">
        <v>236</v>
      </c>
    </row>
    <row r="57" spans="1:90" ht="18" customHeight="1">
      <c r="A57" s="7">
        <v>53</v>
      </c>
      <c r="B57" s="25">
        <v>45968</v>
      </c>
      <c r="C57" s="26" t="s">
        <v>215</v>
      </c>
      <c r="D57" s="27">
        <v>50</v>
      </c>
      <c r="E57" s="7"/>
      <c r="F57" s="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>
        <v>0.85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>
        <v>33.549999999999997</v>
      </c>
      <c r="AR57" s="28"/>
      <c r="AS57" s="28"/>
      <c r="AT57" s="28"/>
      <c r="AU57" s="28"/>
      <c r="AV57" s="28"/>
      <c r="AW57" s="28"/>
      <c r="AX57" s="28"/>
      <c r="AY57" s="28">
        <v>4.2</v>
      </c>
      <c r="AZ57" s="28">
        <v>4.2</v>
      </c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>
        <v>6.7</v>
      </c>
      <c r="BO57" s="28"/>
      <c r="BP57" s="28"/>
      <c r="BQ57" s="28"/>
      <c r="BR57" s="28"/>
      <c r="BS57" s="28"/>
      <c r="BT57" s="28"/>
      <c r="BU57" s="28"/>
      <c r="BV57" s="28">
        <v>0.5</v>
      </c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9" t="str">
        <f>IFERROR(SUMPRODUCT(G57:CI57,'🏭 원료 마스터'!$C$4:$C$84),"")</f>
        <v/>
      </c>
      <c r="CL57" t="s">
        <v>236</v>
      </c>
    </row>
    <row r="58" spans="1:90" ht="18" customHeight="1">
      <c r="A58" s="11">
        <v>54</v>
      </c>
      <c r="B58" s="25">
        <v>45968</v>
      </c>
      <c r="C58" s="26" t="s">
        <v>143</v>
      </c>
      <c r="D58" s="27">
        <v>255</v>
      </c>
      <c r="E58" s="11"/>
      <c r="F58" s="1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>
        <v>21.42</v>
      </c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>
        <v>171.61500000000001</v>
      </c>
      <c r="AR58" s="30"/>
      <c r="AS58" s="30"/>
      <c r="AT58" s="30"/>
      <c r="AU58" s="30"/>
      <c r="AV58" s="30"/>
      <c r="AW58" s="30">
        <v>5.61</v>
      </c>
      <c r="AX58" s="30"/>
      <c r="AY58" s="30"/>
      <c r="AZ58" s="30">
        <v>21.42</v>
      </c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>
        <v>32.130000000000003</v>
      </c>
      <c r="BO58" s="30"/>
      <c r="BP58" s="30"/>
      <c r="BQ58" s="30"/>
      <c r="BR58" s="30"/>
      <c r="BS58" s="30"/>
      <c r="BT58" s="30"/>
      <c r="BU58" s="30"/>
      <c r="BV58" s="30">
        <v>2.8050000000000002</v>
      </c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29" t="str">
        <f>IFERROR(SUMPRODUCT(G58:CI58,'🏭 원료 마스터'!$C$4:$C$84),"")</f>
        <v/>
      </c>
      <c r="CL58" t="s">
        <v>236</v>
      </c>
    </row>
    <row r="59" spans="1:90" ht="18" customHeight="1">
      <c r="A59" s="7">
        <v>55</v>
      </c>
      <c r="B59" s="25">
        <v>45968</v>
      </c>
      <c r="C59" s="26" t="s">
        <v>184</v>
      </c>
      <c r="D59" s="27">
        <v>172.5</v>
      </c>
      <c r="E59" s="7"/>
      <c r="F59" s="7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>
        <v>119.8875</v>
      </c>
      <c r="AR59" s="28"/>
      <c r="AS59" s="28"/>
      <c r="AT59" s="28"/>
      <c r="AU59" s="28"/>
      <c r="AV59" s="28"/>
      <c r="AW59" s="28"/>
      <c r="AX59" s="28"/>
      <c r="AY59" s="28"/>
      <c r="AZ59" s="28">
        <v>19.4925</v>
      </c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>
        <v>15.525</v>
      </c>
      <c r="BL59" s="28"/>
      <c r="BM59" s="28"/>
      <c r="BN59" s="28">
        <v>15.525</v>
      </c>
      <c r="BO59" s="28"/>
      <c r="BP59" s="28"/>
      <c r="BQ59" s="28"/>
      <c r="BR59" s="28"/>
      <c r="BS59" s="28"/>
      <c r="BT59" s="28"/>
      <c r="BU59" s="28"/>
      <c r="BV59" s="28">
        <v>2.0699999999999998</v>
      </c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9" t="str">
        <f>IFERROR(SUMPRODUCT(G59:CI59,'🏭 원료 마스터'!$C$4:$C$84),"")</f>
        <v/>
      </c>
      <c r="CL59" t="s">
        <v>236</v>
      </c>
    </row>
    <row r="60" spans="1:90" ht="18" customHeight="1">
      <c r="A60" s="11">
        <v>56</v>
      </c>
      <c r="B60" s="25">
        <v>45971</v>
      </c>
      <c r="C60" s="26" t="s">
        <v>143</v>
      </c>
      <c r="D60" s="27">
        <v>100</v>
      </c>
      <c r="E60" s="11"/>
      <c r="F60" s="1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>
        <v>8.4</v>
      </c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>
        <v>67.3</v>
      </c>
      <c r="AR60" s="30"/>
      <c r="AS60" s="30"/>
      <c r="AT60" s="30"/>
      <c r="AU60" s="30"/>
      <c r="AV60" s="30"/>
      <c r="AW60" s="30">
        <v>2.2000000000000002</v>
      </c>
      <c r="AX60" s="30"/>
      <c r="AY60" s="30"/>
      <c r="AZ60" s="30">
        <v>8.4</v>
      </c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>
        <v>12.6</v>
      </c>
      <c r="BO60" s="30"/>
      <c r="BP60" s="30"/>
      <c r="BQ60" s="30"/>
      <c r="BR60" s="30"/>
      <c r="BS60" s="30"/>
      <c r="BT60" s="30"/>
      <c r="BU60" s="30"/>
      <c r="BV60" s="30">
        <v>1.1000000000000001</v>
      </c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29" t="str">
        <f>IFERROR(SUMPRODUCT(G60:CI60,'🏭 원료 마스터'!$C$4:$C$84),"")</f>
        <v/>
      </c>
      <c r="CL60" t="s">
        <v>236</v>
      </c>
    </row>
    <row r="61" spans="1:90" ht="18" customHeight="1">
      <c r="A61" s="7">
        <v>57</v>
      </c>
      <c r="B61" s="25">
        <v>45971</v>
      </c>
      <c r="C61" s="26" t="s">
        <v>184</v>
      </c>
      <c r="D61" s="27">
        <v>50</v>
      </c>
      <c r="E61" s="7"/>
      <c r="F61" s="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>
        <v>34.75</v>
      </c>
      <c r="AR61" s="28"/>
      <c r="AS61" s="28"/>
      <c r="AT61" s="28"/>
      <c r="AU61" s="28"/>
      <c r="AV61" s="28"/>
      <c r="AW61" s="28"/>
      <c r="AX61" s="28"/>
      <c r="AY61" s="28"/>
      <c r="AZ61" s="28">
        <v>5.65</v>
      </c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>
        <v>4.5</v>
      </c>
      <c r="BL61" s="28"/>
      <c r="BM61" s="28"/>
      <c r="BN61" s="28">
        <v>4.5</v>
      </c>
      <c r="BO61" s="28"/>
      <c r="BP61" s="28"/>
      <c r="BQ61" s="28"/>
      <c r="BR61" s="28"/>
      <c r="BS61" s="28"/>
      <c r="BT61" s="28"/>
      <c r="BU61" s="28"/>
      <c r="BV61" s="28">
        <v>0.6</v>
      </c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9" t="str">
        <f>IFERROR(SUMPRODUCT(G61:CI61,'🏭 원료 마스터'!$C$4:$C$84),"")</f>
        <v/>
      </c>
      <c r="CL61" t="s">
        <v>236</v>
      </c>
    </row>
    <row r="62" spans="1:90" ht="18" customHeight="1">
      <c r="A62" s="11">
        <v>58</v>
      </c>
      <c r="B62" s="25">
        <v>45971</v>
      </c>
      <c r="C62" s="26" t="s">
        <v>157</v>
      </c>
      <c r="D62" s="27">
        <v>70</v>
      </c>
      <c r="E62" s="11"/>
      <c r="F62" s="1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>
        <v>0.77</v>
      </c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>
        <v>3.43</v>
      </c>
      <c r="AQ62" s="30"/>
      <c r="AR62" s="30"/>
      <c r="AS62" s="30"/>
      <c r="AT62" s="30">
        <v>0.77</v>
      </c>
      <c r="AU62" s="30"/>
      <c r="AV62" s="30"/>
      <c r="AW62" s="30"/>
      <c r="AX62" s="30"/>
      <c r="AY62" s="30"/>
      <c r="AZ62" s="30">
        <v>0.98</v>
      </c>
      <c r="BA62" s="30"/>
      <c r="BB62" s="30"/>
      <c r="BC62" s="30"/>
      <c r="BD62" s="30"/>
      <c r="BE62" s="30"/>
      <c r="BF62" s="30"/>
      <c r="BG62" s="30"/>
      <c r="BH62" s="30"/>
      <c r="BI62" s="30">
        <v>0.91</v>
      </c>
      <c r="BJ62" s="30"/>
      <c r="BK62" s="30"/>
      <c r="BL62" s="30"/>
      <c r="BM62" s="30"/>
      <c r="BN62" s="30">
        <v>12.32</v>
      </c>
      <c r="BO62" s="30"/>
      <c r="BP62" s="30"/>
      <c r="BQ62" s="30">
        <v>23.31</v>
      </c>
      <c r="BR62" s="30"/>
      <c r="BS62" s="30"/>
      <c r="BT62" s="30"/>
      <c r="BU62" s="30">
        <v>24.85</v>
      </c>
      <c r="BV62" s="30">
        <v>0.63</v>
      </c>
      <c r="BW62" s="30"/>
      <c r="BX62" s="30"/>
      <c r="BY62" s="30"/>
      <c r="BZ62" s="30"/>
      <c r="CA62" s="30"/>
      <c r="CB62" s="30"/>
      <c r="CC62" s="30">
        <v>1.89</v>
      </c>
      <c r="CD62" s="30"/>
      <c r="CE62" s="30">
        <v>0.14000000000000001</v>
      </c>
      <c r="CF62" s="30"/>
      <c r="CG62" s="30"/>
      <c r="CH62" s="30"/>
      <c r="CI62" s="30"/>
      <c r="CJ62" s="29" t="str">
        <f>IFERROR(SUMPRODUCT(G62:CI62,'🏭 원료 마스터'!$C$4:$C$84),"")</f>
        <v/>
      </c>
      <c r="CL62" t="s">
        <v>236</v>
      </c>
    </row>
    <row r="63" spans="1:90" ht="18" customHeight="1">
      <c r="A63" s="7">
        <v>59</v>
      </c>
      <c r="B63" s="25">
        <v>45971</v>
      </c>
      <c r="C63" s="26" t="s">
        <v>158</v>
      </c>
      <c r="D63" s="27">
        <v>70</v>
      </c>
      <c r="E63" s="7"/>
      <c r="F63" s="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>
        <v>3.43</v>
      </c>
      <c r="AQ63" s="28"/>
      <c r="AR63" s="28"/>
      <c r="AS63" s="28"/>
      <c r="AT63" s="28">
        <v>0.77</v>
      </c>
      <c r="AU63" s="28"/>
      <c r="AV63" s="28"/>
      <c r="AW63" s="28"/>
      <c r="AX63" s="28"/>
      <c r="AY63" s="28"/>
      <c r="AZ63" s="28">
        <v>0.98</v>
      </c>
      <c r="BA63" s="28"/>
      <c r="BB63" s="28"/>
      <c r="BC63" s="28"/>
      <c r="BD63" s="28"/>
      <c r="BE63" s="28">
        <v>0.77</v>
      </c>
      <c r="BF63" s="28"/>
      <c r="BG63" s="28"/>
      <c r="BH63" s="28"/>
      <c r="BI63" s="28">
        <v>0.91</v>
      </c>
      <c r="BJ63" s="28"/>
      <c r="BK63" s="28"/>
      <c r="BL63" s="28"/>
      <c r="BM63" s="28"/>
      <c r="BN63" s="28">
        <v>12.32</v>
      </c>
      <c r="BO63" s="28"/>
      <c r="BP63" s="28"/>
      <c r="BQ63" s="28">
        <v>23.31</v>
      </c>
      <c r="BR63" s="28"/>
      <c r="BS63" s="28"/>
      <c r="BT63" s="28"/>
      <c r="BU63" s="28">
        <v>24.85</v>
      </c>
      <c r="BV63" s="28">
        <v>0.63</v>
      </c>
      <c r="BW63" s="28"/>
      <c r="BX63" s="28"/>
      <c r="BY63" s="28"/>
      <c r="BZ63" s="28"/>
      <c r="CA63" s="28"/>
      <c r="CB63" s="28"/>
      <c r="CC63" s="28">
        <v>1.89</v>
      </c>
      <c r="CD63" s="28"/>
      <c r="CE63" s="28">
        <v>0.14000000000000001</v>
      </c>
      <c r="CF63" s="28"/>
      <c r="CG63" s="28"/>
      <c r="CH63" s="28"/>
      <c r="CI63" s="28"/>
      <c r="CJ63" s="29" t="str">
        <f>IFERROR(SUMPRODUCT(G63:CI63,'🏭 원료 마스터'!$C$4:$C$84),"")</f>
        <v/>
      </c>
      <c r="CL63" t="s">
        <v>236</v>
      </c>
    </row>
    <row r="64" spans="1:90" ht="18" customHeight="1">
      <c r="A64" s="11">
        <v>60</v>
      </c>
      <c r="B64" s="25">
        <v>45971</v>
      </c>
      <c r="C64" s="26" t="s">
        <v>156</v>
      </c>
      <c r="D64" s="27">
        <v>70</v>
      </c>
      <c r="E64" s="11"/>
      <c r="F64" s="1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>
        <v>0.77</v>
      </c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>
        <v>3.43</v>
      </c>
      <c r="AQ64" s="30"/>
      <c r="AR64" s="30"/>
      <c r="AS64" s="30"/>
      <c r="AT64" s="30">
        <v>0.77</v>
      </c>
      <c r="AU64" s="30"/>
      <c r="AV64" s="30"/>
      <c r="AW64" s="30"/>
      <c r="AX64" s="30"/>
      <c r="AY64" s="30"/>
      <c r="AZ64" s="30">
        <v>0.98</v>
      </c>
      <c r="BA64" s="30"/>
      <c r="BB64" s="30"/>
      <c r="BC64" s="30"/>
      <c r="BD64" s="30"/>
      <c r="BE64" s="30"/>
      <c r="BF64" s="30"/>
      <c r="BG64" s="30"/>
      <c r="BH64" s="30"/>
      <c r="BI64" s="30">
        <v>0.91</v>
      </c>
      <c r="BJ64" s="30"/>
      <c r="BK64" s="30"/>
      <c r="BL64" s="30"/>
      <c r="BM64" s="30"/>
      <c r="BN64" s="30">
        <v>12.32</v>
      </c>
      <c r="BO64" s="30"/>
      <c r="BP64" s="30"/>
      <c r="BQ64" s="30">
        <v>23.31</v>
      </c>
      <c r="BR64" s="30"/>
      <c r="BS64" s="30"/>
      <c r="BT64" s="30"/>
      <c r="BU64" s="30">
        <v>24.85</v>
      </c>
      <c r="BV64" s="30">
        <v>0.63</v>
      </c>
      <c r="BW64" s="30"/>
      <c r="BX64" s="30"/>
      <c r="BY64" s="30"/>
      <c r="BZ64" s="30"/>
      <c r="CA64" s="30"/>
      <c r="CB64" s="30"/>
      <c r="CC64" s="30">
        <v>1.89</v>
      </c>
      <c r="CD64" s="30"/>
      <c r="CE64" s="30">
        <v>0.14000000000000001</v>
      </c>
      <c r="CF64" s="30"/>
      <c r="CG64" s="30"/>
      <c r="CH64" s="30"/>
      <c r="CI64" s="30"/>
      <c r="CJ64" s="29" t="str">
        <f>IFERROR(SUMPRODUCT(G64:CI64,'🏭 원료 마스터'!$C$4:$C$84),"")</f>
        <v/>
      </c>
      <c r="CL64" t="s">
        <v>236</v>
      </c>
    </row>
    <row r="65" spans="1:90" ht="18" customHeight="1">
      <c r="A65" s="7">
        <v>61</v>
      </c>
      <c r="B65" s="25">
        <v>45972</v>
      </c>
      <c r="C65" s="26" t="s">
        <v>144</v>
      </c>
      <c r="D65" s="27">
        <v>70</v>
      </c>
      <c r="E65" s="7"/>
      <c r="F65" s="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>
        <v>2.1</v>
      </c>
      <c r="AL65" s="28"/>
      <c r="AM65" s="28"/>
      <c r="AN65" s="28"/>
      <c r="AO65" s="28"/>
      <c r="AP65" s="28"/>
      <c r="AQ65" s="28"/>
      <c r="AR65" s="28"/>
      <c r="AS65" s="28">
        <v>3.29</v>
      </c>
      <c r="AT65" s="28"/>
      <c r="AU65" s="28"/>
      <c r="AV65" s="28"/>
      <c r="AW65" s="28"/>
      <c r="AX65" s="28"/>
      <c r="AY65" s="28"/>
      <c r="AZ65" s="28">
        <v>3.29</v>
      </c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>
        <v>26.53</v>
      </c>
      <c r="BO65" s="28"/>
      <c r="BP65" s="28"/>
      <c r="BQ65" s="28"/>
      <c r="BR65" s="28"/>
      <c r="BS65" s="28">
        <v>0.63</v>
      </c>
      <c r="BT65" s="28"/>
      <c r="BU65" s="28">
        <v>33.25</v>
      </c>
      <c r="BV65" s="28">
        <v>0.63</v>
      </c>
      <c r="BW65" s="28"/>
      <c r="BX65" s="28"/>
      <c r="BY65" s="28"/>
      <c r="BZ65" s="28"/>
      <c r="CA65" s="28"/>
      <c r="CB65" s="28"/>
      <c r="CC65" s="28"/>
      <c r="CD65" s="28"/>
      <c r="CE65" s="28">
        <v>0.28000000000000003</v>
      </c>
      <c r="CF65" s="28"/>
      <c r="CG65" s="28"/>
      <c r="CH65" s="28"/>
      <c r="CI65" s="28"/>
      <c r="CJ65" s="29" t="str">
        <f>IFERROR(SUMPRODUCT(G65:CI65,'🏭 원료 마스터'!$C$4:$C$84),"")</f>
        <v/>
      </c>
      <c r="CL65" t="s">
        <v>236</v>
      </c>
    </row>
    <row r="66" spans="1:90" ht="18" customHeight="1">
      <c r="A66" s="11">
        <v>62</v>
      </c>
      <c r="B66" s="25">
        <v>45972</v>
      </c>
      <c r="C66" s="26" t="s">
        <v>161</v>
      </c>
      <c r="D66" s="27">
        <v>51</v>
      </c>
      <c r="E66" s="11"/>
      <c r="F66" s="1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>
        <v>24.684000000000001</v>
      </c>
      <c r="AR66" s="30">
        <v>6.1710000000000003</v>
      </c>
      <c r="AS66" s="30">
        <v>1.02</v>
      </c>
      <c r="AT66" s="30"/>
      <c r="AU66" s="30">
        <v>0.61709999999999998</v>
      </c>
      <c r="AV66" s="30"/>
      <c r="AW66" s="30"/>
      <c r="AX66" s="30"/>
      <c r="AY66" s="30"/>
      <c r="AZ66" s="30"/>
      <c r="BA66" s="30"/>
      <c r="BB66" s="30"/>
      <c r="BC66" s="30"/>
      <c r="BD66" s="30"/>
      <c r="BE66" s="30">
        <v>0.46410000000000001</v>
      </c>
      <c r="BF66" s="30"/>
      <c r="BG66" s="30"/>
      <c r="BH66" s="30"/>
      <c r="BI66" s="30"/>
      <c r="BJ66" s="30"/>
      <c r="BK66" s="30"/>
      <c r="BL66" s="30"/>
      <c r="BM66" s="30"/>
      <c r="BN66" s="30">
        <v>16.993200000000002</v>
      </c>
      <c r="BO66" s="30"/>
      <c r="BP66" s="30"/>
      <c r="BQ66" s="30"/>
      <c r="BR66" s="30"/>
      <c r="BS66" s="30"/>
      <c r="BT66" s="30"/>
      <c r="BU66" s="30"/>
      <c r="BV66" s="30">
        <v>0.4335</v>
      </c>
      <c r="BW66" s="30"/>
      <c r="BX66" s="30"/>
      <c r="BY66" s="30">
        <v>0.61709999999999998</v>
      </c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29" t="str">
        <f>IFERROR(SUMPRODUCT(G66:CI66,'🏭 원료 마스터'!$C$4:$C$84),"")</f>
        <v/>
      </c>
      <c r="CL66" t="s">
        <v>236</v>
      </c>
    </row>
    <row r="67" spans="1:90" ht="18" customHeight="1">
      <c r="A67" s="7">
        <v>63</v>
      </c>
      <c r="B67" s="25">
        <v>45972</v>
      </c>
      <c r="C67" s="26" t="s">
        <v>174</v>
      </c>
      <c r="D67" s="27">
        <v>85</v>
      </c>
      <c r="E67" s="7"/>
      <c r="F67" s="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>
        <v>10.285</v>
      </c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>
        <v>41.14</v>
      </c>
      <c r="AR67" s="28"/>
      <c r="AS67" s="28">
        <v>1.7</v>
      </c>
      <c r="AT67" s="28"/>
      <c r="AU67" s="28">
        <v>1.0285</v>
      </c>
      <c r="AV67" s="28"/>
      <c r="AW67" s="28"/>
      <c r="AX67" s="28"/>
      <c r="AY67" s="28"/>
      <c r="AZ67" s="28"/>
      <c r="BA67" s="28"/>
      <c r="BB67" s="28"/>
      <c r="BC67" s="28"/>
      <c r="BD67" s="28"/>
      <c r="BE67" s="28">
        <v>0.77349999999999997</v>
      </c>
      <c r="BF67" s="28"/>
      <c r="BG67" s="28"/>
      <c r="BH67" s="28"/>
      <c r="BI67" s="28"/>
      <c r="BJ67" s="28"/>
      <c r="BK67" s="28"/>
      <c r="BL67" s="28"/>
      <c r="BM67" s="28"/>
      <c r="BN67" s="28">
        <v>28.321999999999999</v>
      </c>
      <c r="BO67" s="28"/>
      <c r="BP67" s="28"/>
      <c r="BQ67" s="28"/>
      <c r="BR67" s="28"/>
      <c r="BS67" s="28"/>
      <c r="BT67" s="28"/>
      <c r="BU67" s="28"/>
      <c r="BV67" s="28">
        <v>0.72250000000000003</v>
      </c>
      <c r="BW67" s="28"/>
      <c r="BX67" s="28"/>
      <c r="BY67" s="28">
        <v>1.0285</v>
      </c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9" t="str">
        <f>IFERROR(SUMPRODUCT(G67:CI67,'🏭 원료 마스터'!$C$4:$C$84),"")</f>
        <v/>
      </c>
      <c r="CL67" t="s">
        <v>236</v>
      </c>
    </row>
    <row r="68" spans="1:90" ht="18" customHeight="1">
      <c r="A68" s="11">
        <v>64</v>
      </c>
      <c r="B68" s="25">
        <v>45973</v>
      </c>
      <c r="C68" s="26" t="s">
        <v>143</v>
      </c>
      <c r="D68" s="27">
        <v>350</v>
      </c>
      <c r="E68" s="11"/>
      <c r="F68" s="1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>
        <v>29.4</v>
      </c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>
        <v>235.55</v>
      </c>
      <c r="AR68" s="30"/>
      <c r="AS68" s="30"/>
      <c r="AT68" s="30"/>
      <c r="AU68" s="30"/>
      <c r="AV68" s="30"/>
      <c r="AW68" s="30">
        <v>7.7</v>
      </c>
      <c r="AX68" s="30"/>
      <c r="AY68" s="30"/>
      <c r="AZ68" s="30">
        <v>29.4</v>
      </c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>
        <v>44.1</v>
      </c>
      <c r="BO68" s="30"/>
      <c r="BP68" s="30"/>
      <c r="BQ68" s="30"/>
      <c r="BR68" s="30"/>
      <c r="BS68" s="30"/>
      <c r="BT68" s="30"/>
      <c r="BU68" s="30"/>
      <c r="BV68" s="30">
        <v>3.85</v>
      </c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29" t="str">
        <f>IFERROR(SUMPRODUCT(G68:CI68,'🏭 원료 마스터'!$C$4:$C$84),"")</f>
        <v/>
      </c>
      <c r="CL68" t="s">
        <v>236</v>
      </c>
    </row>
    <row r="69" spans="1:90" ht="18" customHeight="1">
      <c r="A69" s="7">
        <v>65</v>
      </c>
      <c r="B69" s="25">
        <v>45973</v>
      </c>
      <c r="C69" s="26" t="s">
        <v>184</v>
      </c>
      <c r="D69" s="27">
        <v>150</v>
      </c>
      <c r="E69" s="7"/>
      <c r="F69" s="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>
        <v>104.25</v>
      </c>
      <c r="AR69" s="28"/>
      <c r="AS69" s="28"/>
      <c r="AT69" s="28"/>
      <c r="AU69" s="28"/>
      <c r="AV69" s="28"/>
      <c r="AW69" s="28"/>
      <c r="AX69" s="28"/>
      <c r="AY69" s="28"/>
      <c r="AZ69" s="28">
        <v>16.95</v>
      </c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>
        <v>13.5</v>
      </c>
      <c r="BL69" s="28"/>
      <c r="BM69" s="28"/>
      <c r="BN69" s="28">
        <v>13.5</v>
      </c>
      <c r="BO69" s="28"/>
      <c r="BP69" s="28"/>
      <c r="BQ69" s="28"/>
      <c r="BR69" s="28"/>
      <c r="BS69" s="28"/>
      <c r="BT69" s="28"/>
      <c r="BU69" s="28"/>
      <c r="BV69" s="28">
        <v>1.8</v>
      </c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9" t="str">
        <f>IFERROR(SUMPRODUCT(G69:CI69,'🏭 원료 마스터'!$C$4:$C$84),"")</f>
        <v/>
      </c>
      <c r="CL69" t="s">
        <v>236</v>
      </c>
    </row>
    <row r="70" spans="1:90" ht="18" customHeight="1">
      <c r="A70" s="11">
        <v>66</v>
      </c>
      <c r="B70" s="25">
        <v>45974</v>
      </c>
      <c r="C70" s="26" t="s">
        <v>143</v>
      </c>
      <c r="D70" s="27">
        <v>150</v>
      </c>
      <c r="E70" s="11"/>
      <c r="F70" s="1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>
        <v>12.6</v>
      </c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>
        <v>100.95</v>
      </c>
      <c r="AR70" s="30"/>
      <c r="AS70" s="30"/>
      <c r="AT70" s="30"/>
      <c r="AU70" s="30"/>
      <c r="AV70" s="30"/>
      <c r="AW70" s="30">
        <v>3.3</v>
      </c>
      <c r="AX70" s="30"/>
      <c r="AY70" s="30"/>
      <c r="AZ70" s="30">
        <v>12.6</v>
      </c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>
        <v>18.899999999999999</v>
      </c>
      <c r="BO70" s="30"/>
      <c r="BP70" s="30"/>
      <c r="BQ70" s="30"/>
      <c r="BR70" s="30"/>
      <c r="BS70" s="30"/>
      <c r="BT70" s="30"/>
      <c r="BU70" s="30"/>
      <c r="BV70" s="30">
        <v>1.65</v>
      </c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29" t="str">
        <f>IFERROR(SUMPRODUCT(G70:CI70,'🏭 원료 마스터'!$C$4:$C$84),"")</f>
        <v/>
      </c>
      <c r="CL70" t="s">
        <v>236</v>
      </c>
    </row>
    <row r="71" spans="1:90" ht="18" customHeight="1">
      <c r="A71" s="7">
        <v>67</v>
      </c>
      <c r="B71" s="25">
        <v>45974</v>
      </c>
      <c r="C71" s="26" t="s">
        <v>144</v>
      </c>
      <c r="D71" s="27">
        <v>140</v>
      </c>
      <c r="E71" s="7"/>
      <c r="F71" s="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>
        <v>4.2</v>
      </c>
      <c r="AL71" s="28"/>
      <c r="AM71" s="28"/>
      <c r="AN71" s="28"/>
      <c r="AO71" s="28"/>
      <c r="AP71" s="28"/>
      <c r="AQ71" s="28"/>
      <c r="AR71" s="28"/>
      <c r="AS71" s="28">
        <v>6.58</v>
      </c>
      <c r="AT71" s="28"/>
      <c r="AU71" s="28"/>
      <c r="AV71" s="28"/>
      <c r="AW71" s="28"/>
      <c r="AX71" s="28"/>
      <c r="AY71" s="28"/>
      <c r="AZ71" s="28">
        <v>6.58</v>
      </c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>
        <v>53.06</v>
      </c>
      <c r="BO71" s="28"/>
      <c r="BP71" s="28"/>
      <c r="BQ71" s="28"/>
      <c r="BR71" s="28"/>
      <c r="BS71" s="28">
        <v>1.26</v>
      </c>
      <c r="BT71" s="28"/>
      <c r="BU71" s="28">
        <v>66.5</v>
      </c>
      <c r="BV71" s="28">
        <v>1.26</v>
      </c>
      <c r="BW71" s="28"/>
      <c r="BX71" s="28"/>
      <c r="BY71" s="28"/>
      <c r="BZ71" s="28"/>
      <c r="CA71" s="28"/>
      <c r="CB71" s="28"/>
      <c r="CC71" s="28"/>
      <c r="CD71" s="28"/>
      <c r="CE71" s="28">
        <v>0.56000000000000005</v>
      </c>
      <c r="CF71" s="28"/>
      <c r="CG71" s="28"/>
      <c r="CH71" s="28"/>
      <c r="CI71" s="28"/>
      <c r="CJ71" s="29" t="str">
        <f>IFERROR(SUMPRODUCT(G71:CI71,'🏭 원료 마스터'!$C$4:$C$84),"")</f>
        <v/>
      </c>
      <c r="CL71" t="s">
        <v>236</v>
      </c>
    </row>
    <row r="72" spans="1:90" ht="18" customHeight="1">
      <c r="A72" s="11">
        <v>68</v>
      </c>
      <c r="B72" s="25">
        <v>45975</v>
      </c>
      <c r="C72" s="26" t="s">
        <v>215</v>
      </c>
      <c r="D72" s="27">
        <v>75</v>
      </c>
      <c r="E72" s="11"/>
      <c r="F72" s="1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>
        <v>1.2749999999999999</v>
      </c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>
        <v>50.325000000000003</v>
      </c>
      <c r="AR72" s="30"/>
      <c r="AS72" s="30"/>
      <c r="AT72" s="30"/>
      <c r="AU72" s="30"/>
      <c r="AV72" s="30"/>
      <c r="AW72" s="30"/>
      <c r="AX72" s="30"/>
      <c r="AY72" s="30">
        <v>6.3</v>
      </c>
      <c r="AZ72" s="30">
        <v>6.3</v>
      </c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>
        <v>10.050000000000001</v>
      </c>
      <c r="BO72" s="30"/>
      <c r="BP72" s="30"/>
      <c r="BQ72" s="30"/>
      <c r="BR72" s="30"/>
      <c r="BS72" s="30"/>
      <c r="BT72" s="30"/>
      <c r="BU72" s="30"/>
      <c r="BV72" s="30">
        <v>0.75</v>
      </c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29" t="str">
        <f>IFERROR(SUMPRODUCT(G72:CI72,'🏭 원료 마스터'!$C$4:$C$84),"")</f>
        <v/>
      </c>
      <c r="CL72" t="s">
        <v>236</v>
      </c>
    </row>
    <row r="73" spans="1:90" ht="18" customHeight="1">
      <c r="A73" s="7">
        <v>69</v>
      </c>
      <c r="B73" s="25">
        <v>45975</v>
      </c>
      <c r="C73" s="26" t="s">
        <v>143</v>
      </c>
      <c r="D73" s="27">
        <v>205</v>
      </c>
      <c r="E73" s="7"/>
      <c r="F73" s="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>
        <v>17.22</v>
      </c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>
        <v>137.965</v>
      </c>
      <c r="AR73" s="28"/>
      <c r="AS73" s="28"/>
      <c r="AT73" s="28"/>
      <c r="AU73" s="28"/>
      <c r="AV73" s="28"/>
      <c r="AW73" s="28">
        <v>4.51</v>
      </c>
      <c r="AX73" s="28"/>
      <c r="AY73" s="28"/>
      <c r="AZ73" s="28">
        <v>17.22</v>
      </c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>
        <v>25.83</v>
      </c>
      <c r="BO73" s="28"/>
      <c r="BP73" s="28"/>
      <c r="BQ73" s="28"/>
      <c r="BR73" s="28"/>
      <c r="BS73" s="28"/>
      <c r="BT73" s="28"/>
      <c r="BU73" s="28"/>
      <c r="BV73" s="28">
        <v>2.2549999999999999</v>
      </c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9" t="str">
        <f>IFERROR(SUMPRODUCT(G73:CI73,'🏭 원료 마스터'!$C$4:$C$84),"")</f>
        <v/>
      </c>
      <c r="CL73" t="s">
        <v>236</v>
      </c>
    </row>
    <row r="74" spans="1:90" ht="18" customHeight="1">
      <c r="A74" s="11">
        <v>70</v>
      </c>
      <c r="B74" s="25">
        <v>45975</v>
      </c>
      <c r="C74" s="26" t="s">
        <v>184</v>
      </c>
      <c r="D74" s="27">
        <v>70</v>
      </c>
      <c r="E74" s="11"/>
      <c r="F74" s="1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>
        <v>48.65</v>
      </c>
      <c r="AR74" s="30"/>
      <c r="AS74" s="30"/>
      <c r="AT74" s="30"/>
      <c r="AU74" s="30"/>
      <c r="AV74" s="30"/>
      <c r="AW74" s="30"/>
      <c r="AX74" s="30"/>
      <c r="AY74" s="30"/>
      <c r="AZ74" s="30">
        <v>7.91</v>
      </c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>
        <v>6.3</v>
      </c>
      <c r="BL74" s="30"/>
      <c r="BM74" s="30"/>
      <c r="BN74" s="30">
        <v>6.3</v>
      </c>
      <c r="BO74" s="30"/>
      <c r="BP74" s="30"/>
      <c r="BQ74" s="30"/>
      <c r="BR74" s="30"/>
      <c r="BS74" s="30"/>
      <c r="BT74" s="30"/>
      <c r="BU74" s="30"/>
      <c r="BV74" s="30">
        <v>0.84</v>
      </c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29" t="str">
        <f>IFERROR(SUMPRODUCT(G74:CI74,'🏭 원료 마스터'!$C$4:$C$84),"")</f>
        <v/>
      </c>
      <c r="CL74" t="s">
        <v>236</v>
      </c>
    </row>
    <row r="75" spans="1:90" ht="18" customHeight="1">
      <c r="A75" s="7">
        <v>71</v>
      </c>
      <c r="B75" s="25">
        <v>45978</v>
      </c>
      <c r="C75" s="26" t="s">
        <v>205</v>
      </c>
      <c r="D75" s="27">
        <v>70</v>
      </c>
      <c r="E75" s="7"/>
      <c r="F75" s="7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>
        <v>1.4</v>
      </c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>
        <v>8.68</v>
      </c>
      <c r="AJ75" s="28"/>
      <c r="AK75" s="28">
        <v>1.89</v>
      </c>
      <c r="AL75" s="28"/>
      <c r="AM75" s="28"/>
      <c r="AN75" s="28"/>
      <c r="AO75" s="28"/>
      <c r="AP75" s="28"/>
      <c r="AQ75" s="28"/>
      <c r="AR75" s="28"/>
      <c r="AS75" s="28">
        <v>1.4</v>
      </c>
      <c r="AT75" s="28"/>
      <c r="AU75" s="28"/>
      <c r="AV75" s="28"/>
      <c r="AW75" s="28"/>
      <c r="AX75" s="28"/>
      <c r="AY75" s="28"/>
      <c r="AZ75" s="28">
        <v>1.4</v>
      </c>
      <c r="BA75" s="28"/>
      <c r="BB75" s="28"/>
      <c r="BC75" s="28"/>
      <c r="BD75" s="28"/>
      <c r="BE75" s="28">
        <v>0.7</v>
      </c>
      <c r="BF75" s="28"/>
      <c r="BG75" s="28"/>
      <c r="BH75" s="28"/>
      <c r="BI75" s="28"/>
      <c r="BJ75" s="28"/>
      <c r="BK75" s="28"/>
      <c r="BL75" s="28"/>
      <c r="BM75" s="28"/>
      <c r="BN75" s="28">
        <v>8.1199999999999992</v>
      </c>
      <c r="BO75" s="28"/>
      <c r="BP75" s="28">
        <v>17.36</v>
      </c>
      <c r="BQ75" s="28"/>
      <c r="BR75" s="28"/>
      <c r="BS75" s="28">
        <v>0.63</v>
      </c>
      <c r="BT75" s="28"/>
      <c r="BU75" s="28">
        <v>27.72</v>
      </c>
      <c r="BV75" s="28">
        <v>0.49</v>
      </c>
      <c r="BW75" s="28"/>
      <c r="BX75" s="28"/>
      <c r="BY75" s="28"/>
      <c r="BZ75" s="28"/>
      <c r="CA75" s="28"/>
      <c r="CB75" s="28"/>
      <c r="CC75" s="28"/>
      <c r="CD75" s="28"/>
      <c r="CE75" s="28">
        <v>0.21</v>
      </c>
      <c r="CF75" s="28"/>
      <c r="CG75" s="28"/>
      <c r="CH75" s="28"/>
      <c r="CI75" s="28"/>
      <c r="CJ75" s="29" t="str">
        <f>IFERROR(SUMPRODUCT(G75:CI75,'🏭 원료 마스터'!$C$4:$C$84),"")</f>
        <v/>
      </c>
      <c r="CL75" t="s">
        <v>236</v>
      </c>
    </row>
    <row r="76" spans="1:90" ht="18" customHeight="1">
      <c r="A76" s="11">
        <v>72</v>
      </c>
      <c r="B76" s="25">
        <v>45978</v>
      </c>
      <c r="C76" s="26" t="s">
        <v>184</v>
      </c>
      <c r="D76" s="27">
        <v>50</v>
      </c>
      <c r="E76" s="11"/>
      <c r="F76" s="1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>
        <v>34.75</v>
      </c>
      <c r="AR76" s="30"/>
      <c r="AS76" s="30"/>
      <c r="AT76" s="30"/>
      <c r="AU76" s="30"/>
      <c r="AV76" s="30"/>
      <c r="AW76" s="30"/>
      <c r="AX76" s="30"/>
      <c r="AY76" s="30"/>
      <c r="AZ76" s="30">
        <v>5.65</v>
      </c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>
        <v>4.5</v>
      </c>
      <c r="BL76" s="30"/>
      <c r="BM76" s="30"/>
      <c r="BN76" s="30">
        <v>4.5</v>
      </c>
      <c r="BO76" s="30"/>
      <c r="BP76" s="30"/>
      <c r="BQ76" s="30"/>
      <c r="BR76" s="30"/>
      <c r="BS76" s="30"/>
      <c r="BT76" s="30"/>
      <c r="BU76" s="30"/>
      <c r="BV76" s="30">
        <v>0.6</v>
      </c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29" t="str">
        <f>IFERROR(SUMPRODUCT(G76:CI76,'🏭 원료 마스터'!$C$4:$C$84),"")</f>
        <v/>
      </c>
      <c r="CL76" t="s">
        <v>236</v>
      </c>
    </row>
    <row r="77" spans="1:90" ht="18" customHeight="1">
      <c r="A77" s="7">
        <v>73</v>
      </c>
      <c r="B77" s="25">
        <v>45978</v>
      </c>
      <c r="C77" s="26" t="s">
        <v>143</v>
      </c>
      <c r="D77" s="27">
        <v>70</v>
      </c>
      <c r="E77" s="7"/>
      <c r="F77" s="7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>
        <v>5.88</v>
      </c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>
        <v>47.11</v>
      </c>
      <c r="AR77" s="28"/>
      <c r="AS77" s="28"/>
      <c r="AT77" s="28"/>
      <c r="AU77" s="28"/>
      <c r="AV77" s="28"/>
      <c r="AW77" s="28">
        <v>1.54</v>
      </c>
      <c r="AX77" s="28"/>
      <c r="AY77" s="28"/>
      <c r="AZ77" s="28">
        <v>5.88</v>
      </c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>
        <v>8.82</v>
      </c>
      <c r="BO77" s="28"/>
      <c r="BP77" s="28"/>
      <c r="BQ77" s="28"/>
      <c r="BR77" s="28"/>
      <c r="BS77" s="28"/>
      <c r="BT77" s="28"/>
      <c r="BU77" s="28"/>
      <c r="BV77" s="28">
        <v>0.77</v>
      </c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9" t="str">
        <f>IFERROR(SUMPRODUCT(G77:CI77,'🏭 원료 마스터'!$C$4:$C$84),"")</f>
        <v/>
      </c>
      <c r="CL77" t="s">
        <v>236</v>
      </c>
    </row>
    <row r="78" spans="1:90" ht="18" customHeight="1">
      <c r="A78" s="11">
        <v>74</v>
      </c>
      <c r="B78" s="25">
        <v>45979</v>
      </c>
      <c r="C78" s="26" t="s">
        <v>204</v>
      </c>
      <c r="D78" s="27">
        <v>70</v>
      </c>
      <c r="E78" s="11"/>
      <c r="F78" s="1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>
        <v>2.31</v>
      </c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>
        <v>2.1</v>
      </c>
      <c r="AL78" s="30"/>
      <c r="AM78" s="30"/>
      <c r="AN78" s="30"/>
      <c r="AO78" s="30"/>
      <c r="AP78" s="30"/>
      <c r="AQ78" s="30"/>
      <c r="AR78" s="30"/>
      <c r="AS78" s="30">
        <v>1.54</v>
      </c>
      <c r="AT78" s="30"/>
      <c r="AU78" s="30"/>
      <c r="AV78" s="30"/>
      <c r="AW78" s="30"/>
      <c r="AX78" s="30"/>
      <c r="AY78" s="30"/>
      <c r="AZ78" s="30">
        <v>1.54</v>
      </c>
      <c r="BA78" s="30"/>
      <c r="BB78" s="30"/>
      <c r="BC78" s="30"/>
      <c r="BD78" s="30"/>
      <c r="BE78" s="30">
        <v>0.77</v>
      </c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>
        <v>29.12</v>
      </c>
      <c r="BR78" s="30"/>
      <c r="BS78" s="30">
        <v>0.7</v>
      </c>
      <c r="BT78" s="30"/>
      <c r="BU78" s="30">
        <v>31.08</v>
      </c>
      <c r="BV78" s="30">
        <v>0.56000000000000005</v>
      </c>
      <c r="BW78" s="30"/>
      <c r="BX78" s="30"/>
      <c r="BY78" s="30"/>
      <c r="BZ78" s="30"/>
      <c r="CA78" s="30"/>
      <c r="CB78" s="30"/>
      <c r="CC78" s="30"/>
      <c r="CD78" s="30"/>
      <c r="CE78" s="30">
        <v>0.28000000000000003</v>
      </c>
      <c r="CF78" s="30"/>
      <c r="CG78" s="30"/>
      <c r="CH78" s="30"/>
      <c r="CI78" s="30"/>
      <c r="CJ78" s="29" t="str">
        <f>IFERROR(SUMPRODUCT(G78:CI78,'🏭 원료 마스터'!$C$4:$C$84),"")</f>
        <v/>
      </c>
      <c r="CL78" t="s">
        <v>236</v>
      </c>
    </row>
    <row r="79" spans="1:90" ht="18" customHeight="1">
      <c r="A79" s="7">
        <v>75</v>
      </c>
      <c r="B79" s="25">
        <v>45979</v>
      </c>
      <c r="C79" s="26" t="s">
        <v>205</v>
      </c>
      <c r="D79" s="27">
        <v>70</v>
      </c>
      <c r="E79" s="7"/>
      <c r="F79" s="7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>
        <v>1.4</v>
      </c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>
        <v>8.68</v>
      </c>
      <c r="AJ79" s="28"/>
      <c r="AK79" s="28">
        <v>1.89</v>
      </c>
      <c r="AL79" s="28"/>
      <c r="AM79" s="28"/>
      <c r="AN79" s="28"/>
      <c r="AO79" s="28"/>
      <c r="AP79" s="28"/>
      <c r="AQ79" s="28"/>
      <c r="AR79" s="28"/>
      <c r="AS79" s="28">
        <v>1.4</v>
      </c>
      <c r="AT79" s="28"/>
      <c r="AU79" s="28"/>
      <c r="AV79" s="28"/>
      <c r="AW79" s="28"/>
      <c r="AX79" s="28"/>
      <c r="AY79" s="28"/>
      <c r="AZ79" s="28">
        <v>1.4</v>
      </c>
      <c r="BA79" s="28"/>
      <c r="BB79" s="28"/>
      <c r="BC79" s="28"/>
      <c r="BD79" s="28"/>
      <c r="BE79" s="28">
        <v>0.7</v>
      </c>
      <c r="BF79" s="28"/>
      <c r="BG79" s="28"/>
      <c r="BH79" s="28"/>
      <c r="BI79" s="28"/>
      <c r="BJ79" s="28"/>
      <c r="BK79" s="28"/>
      <c r="BL79" s="28"/>
      <c r="BM79" s="28"/>
      <c r="BN79" s="28">
        <v>8.1199999999999992</v>
      </c>
      <c r="BO79" s="28"/>
      <c r="BP79" s="28">
        <v>17.36</v>
      </c>
      <c r="BQ79" s="28"/>
      <c r="BR79" s="28"/>
      <c r="BS79" s="28">
        <v>0.63</v>
      </c>
      <c r="BT79" s="28"/>
      <c r="BU79" s="28">
        <v>27.72</v>
      </c>
      <c r="BV79" s="28">
        <v>0.49</v>
      </c>
      <c r="BW79" s="28"/>
      <c r="BX79" s="28"/>
      <c r="BY79" s="28"/>
      <c r="BZ79" s="28"/>
      <c r="CA79" s="28"/>
      <c r="CB79" s="28"/>
      <c r="CC79" s="28"/>
      <c r="CD79" s="28"/>
      <c r="CE79" s="28">
        <v>0.21</v>
      </c>
      <c r="CF79" s="28"/>
      <c r="CG79" s="28"/>
      <c r="CH79" s="28"/>
      <c r="CI79" s="28"/>
      <c r="CJ79" s="29" t="str">
        <f>IFERROR(SUMPRODUCT(G79:CI79,'🏭 원료 마스터'!$C$4:$C$84),"")</f>
        <v/>
      </c>
      <c r="CL79" t="s">
        <v>236</v>
      </c>
    </row>
    <row r="80" spans="1:90" ht="18" customHeight="1">
      <c r="A80" s="11">
        <v>76</v>
      </c>
      <c r="B80" s="25">
        <v>45979</v>
      </c>
      <c r="C80" s="26" t="s">
        <v>184</v>
      </c>
      <c r="D80" s="27">
        <v>122.5</v>
      </c>
      <c r="E80" s="11"/>
      <c r="F80" s="1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>
        <v>85.137500000000003</v>
      </c>
      <c r="AR80" s="30"/>
      <c r="AS80" s="30"/>
      <c r="AT80" s="30"/>
      <c r="AU80" s="30"/>
      <c r="AV80" s="30"/>
      <c r="AW80" s="30"/>
      <c r="AX80" s="30"/>
      <c r="AY80" s="30"/>
      <c r="AZ80" s="30">
        <v>13.842499999999999</v>
      </c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>
        <v>11.025</v>
      </c>
      <c r="BL80" s="30"/>
      <c r="BM80" s="30"/>
      <c r="BN80" s="30">
        <v>11.025</v>
      </c>
      <c r="BO80" s="30"/>
      <c r="BP80" s="30"/>
      <c r="BQ80" s="30"/>
      <c r="BR80" s="30"/>
      <c r="BS80" s="30"/>
      <c r="BT80" s="30"/>
      <c r="BU80" s="30"/>
      <c r="BV80" s="30">
        <v>1.47</v>
      </c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29" t="str">
        <f>IFERROR(SUMPRODUCT(G80:CI80,'🏭 원료 마스터'!$C$4:$C$84),"")</f>
        <v/>
      </c>
      <c r="CL80" t="s">
        <v>236</v>
      </c>
    </row>
    <row r="81" spans="1:90" ht="18" customHeight="1">
      <c r="A81" s="7">
        <v>77</v>
      </c>
      <c r="B81" s="25">
        <v>45979</v>
      </c>
      <c r="C81" s="26" t="s">
        <v>143</v>
      </c>
      <c r="D81" s="27">
        <v>32.5</v>
      </c>
      <c r="E81" s="7"/>
      <c r="F81" s="7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>
        <v>2.73</v>
      </c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>
        <v>21.872499999999999</v>
      </c>
      <c r="AR81" s="28"/>
      <c r="AS81" s="28"/>
      <c r="AT81" s="28"/>
      <c r="AU81" s="28"/>
      <c r="AV81" s="28"/>
      <c r="AW81" s="28">
        <v>0.71499999999999997</v>
      </c>
      <c r="AX81" s="28"/>
      <c r="AY81" s="28"/>
      <c r="AZ81" s="28">
        <v>2.73</v>
      </c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>
        <v>4.0949999999999998</v>
      </c>
      <c r="BO81" s="28"/>
      <c r="BP81" s="28"/>
      <c r="BQ81" s="28"/>
      <c r="BR81" s="28"/>
      <c r="BS81" s="28"/>
      <c r="BT81" s="28"/>
      <c r="BU81" s="28"/>
      <c r="BV81" s="28">
        <v>0.35749999999999998</v>
      </c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9" t="str">
        <f>IFERROR(SUMPRODUCT(G81:CI81,'🏭 원료 마스터'!$C$4:$C$84),"")</f>
        <v/>
      </c>
      <c r="CL81" t="s">
        <v>236</v>
      </c>
    </row>
    <row r="82" spans="1:90" ht="18" customHeight="1">
      <c r="A82" s="11">
        <v>78</v>
      </c>
      <c r="B82" s="25">
        <v>45980</v>
      </c>
      <c r="C82" s="26" t="s">
        <v>174</v>
      </c>
      <c r="D82" s="27">
        <v>187</v>
      </c>
      <c r="E82" s="11"/>
      <c r="F82" s="1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>
        <v>22.626999999999999</v>
      </c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>
        <v>90.507999999999996</v>
      </c>
      <c r="AR82" s="30"/>
      <c r="AS82" s="30">
        <v>3.74</v>
      </c>
      <c r="AT82" s="30"/>
      <c r="AU82" s="30">
        <v>2.2627000000000002</v>
      </c>
      <c r="AV82" s="30"/>
      <c r="AW82" s="30"/>
      <c r="AX82" s="30"/>
      <c r="AY82" s="30"/>
      <c r="AZ82" s="30"/>
      <c r="BA82" s="30"/>
      <c r="BB82" s="30"/>
      <c r="BC82" s="30"/>
      <c r="BD82" s="30"/>
      <c r="BE82" s="30">
        <v>1.7017</v>
      </c>
      <c r="BF82" s="30"/>
      <c r="BG82" s="30"/>
      <c r="BH82" s="30"/>
      <c r="BI82" s="30"/>
      <c r="BJ82" s="30"/>
      <c r="BK82" s="30"/>
      <c r="BL82" s="30"/>
      <c r="BM82" s="30"/>
      <c r="BN82" s="30">
        <v>62.308399999999999</v>
      </c>
      <c r="BO82" s="30"/>
      <c r="BP82" s="30"/>
      <c r="BQ82" s="30"/>
      <c r="BR82" s="30"/>
      <c r="BS82" s="30"/>
      <c r="BT82" s="30"/>
      <c r="BU82" s="30"/>
      <c r="BV82" s="30">
        <v>1.5894999999999999</v>
      </c>
      <c r="BW82" s="30"/>
      <c r="BX82" s="30"/>
      <c r="BY82" s="30">
        <v>2.2627000000000002</v>
      </c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29" t="str">
        <f>IFERROR(SUMPRODUCT(G82:CI82,'🏭 원료 마스터'!$C$4:$C$84),"")</f>
        <v/>
      </c>
      <c r="CL82" t="s">
        <v>236</v>
      </c>
    </row>
    <row r="83" spans="1:90" ht="18" customHeight="1">
      <c r="A83" s="7">
        <v>79</v>
      </c>
      <c r="B83" s="25">
        <v>45980</v>
      </c>
      <c r="C83" s="26" t="s">
        <v>161</v>
      </c>
      <c r="D83" s="27">
        <v>102</v>
      </c>
      <c r="E83" s="7"/>
      <c r="F83" s="7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>
        <v>49.368000000000002</v>
      </c>
      <c r="AR83" s="28">
        <v>12.342000000000001</v>
      </c>
      <c r="AS83" s="28">
        <v>2.04</v>
      </c>
      <c r="AT83" s="28"/>
      <c r="AU83" s="28">
        <v>1.2342</v>
      </c>
      <c r="AV83" s="28"/>
      <c r="AW83" s="28"/>
      <c r="AX83" s="28"/>
      <c r="AY83" s="28"/>
      <c r="AZ83" s="28"/>
      <c r="BA83" s="28"/>
      <c r="BB83" s="28"/>
      <c r="BC83" s="28"/>
      <c r="BD83" s="28"/>
      <c r="BE83" s="28">
        <v>0.92820000000000003</v>
      </c>
      <c r="BF83" s="28"/>
      <c r="BG83" s="28"/>
      <c r="BH83" s="28"/>
      <c r="BI83" s="28"/>
      <c r="BJ83" s="28"/>
      <c r="BK83" s="28"/>
      <c r="BL83" s="28"/>
      <c r="BM83" s="28"/>
      <c r="BN83" s="28">
        <v>33.986400000000003</v>
      </c>
      <c r="BO83" s="28"/>
      <c r="BP83" s="28"/>
      <c r="BQ83" s="28"/>
      <c r="BR83" s="28"/>
      <c r="BS83" s="28"/>
      <c r="BT83" s="28"/>
      <c r="BU83" s="28"/>
      <c r="BV83" s="28">
        <v>0.86699999999999999</v>
      </c>
      <c r="BW83" s="28"/>
      <c r="BX83" s="28"/>
      <c r="BY83" s="28">
        <v>1.2342</v>
      </c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9" t="str">
        <f>IFERROR(SUMPRODUCT(G83:CI83,'🏭 원료 마스터'!$C$4:$C$84),"")</f>
        <v/>
      </c>
      <c r="CL83" t="s">
        <v>236</v>
      </c>
    </row>
    <row r="84" spans="1:90" ht="18" customHeight="1">
      <c r="A84" s="11">
        <v>80</v>
      </c>
      <c r="B84" s="25">
        <v>45985</v>
      </c>
      <c r="C84" s="26" t="s">
        <v>143</v>
      </c>
      <c r="D84" s="27">
        <v>237.5</v>
      </c>
      <c r="E84" s="11"/>
      <c r="F84" s="1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>
        <v>19.95</v>
      </c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>
        <v>159.83750000000001</v>
      </c>
      <c r="AR84" s="30"/>
      <c r="AS84" s="30"/>
      <c r="AT84" s="30"/>
      <c r="AU84" s="30"/>
      <c r="AV84" s="30"/>
      <c r="AW84" s="30">
        <v>5.2249999999999996</v>
      </c>
      <c r="AX84" s="30"/>
      <c r="AY84" s="30"/>
      <c r="AZ84" s="30">
        <v>19.95</v>
      </c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>
        <v>29.925000000000001</v>
      </c>
      <c r="BO84" s="30"/>
      <c r="BP84" s="30"/>
      <c r="BQ84" s="30"/>
      <c r="BR84" s="30"/>
      <c r="BS84" s="30"/>
      <c r="BT84" s="30"/>
      <c r="BU84" s="30"/>
      <c r="BV84" s="30">
        <v>2.6124999999999998</v>
      </c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29" t="str">
        <f>IFERROR(SUMPRODUCT(G84:CI84,'🏭 원료 마스터'!$C$4:$C$84),"")</f>
        <v/>
      </c>
      <c r="CL84" t="s">
        <v>236</v>
      </c>
    </row>
    <row r="85" spans="1:90" ht="18" customHeight="1">
      <c r="A85" s="7">
        <v>81</v>
      </c>
      <c r="B85" s="25">
        <v>45986</v>
      </c>
      <c r="C85" s="26" t="s">
        <v>143</v>
      </c>
      <c r="D85" s="27">
        <v>100</v>
      </c>
      <c r="E85" s="7"/>
      <c r="F85" s="7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>
        <v>8.4</v>
      </c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>
        <v>67.3</v>
      </c>
      <c r="AR85" s="28"/>
      <c r="AS85" s="28"/>
      <c r="AT85" s="28"/>
      <c r="AU85" s="28"/>
      <c r="AV85" s="28"/>
      <c r="AW85" s="28">
        <v>2.2000000000000002</v>
      </c>
      <c r="AX85" s="28"/>
      <c r="AY85" s="28"/>
      <c r="AZ85" s="28">
        <v>8.4</v>
      </c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>
        <v>12.6</v>
      </c>
      <c r="BO85" s="28"/>
      <c r="BP85" s="28"/>
      <c r="BQ85" s="28"/>
      <c r="BR85" s="28"/>
      <c r="BS85" s="28"/>
      <c r="BT85" s="28"/>
      <c r="BU85" s="28"/>
      <c r="BV85" s="28">
        <v>1.1000000000000001</v>
      </c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9" t="str">
        <f>IFERROR(SUMPRODUCT(G85:CI85,'🏭 원료 마스터'!$C$4:$C$84),"")</f>
        <v/>
      </c>
      <c r="CL85" t="s">
        <v>236</v>
      </c>
    </row>
    <row r="86" spans="1:90" ht="18" customHeight="1">
      <c r="A86" s="11">
        <v>82</v>
      </c>
      <c r="B86" s="25">
        <v>45986</v>
      </c>
      <c r="C86" s="26" t="s">
        <v>184</v>
      </c>
      <c r="D86" s="27">
        <v>50</v>
      </c>
      <c r="E86" s="11"/>
      <c r="F86" s="1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>
        <v>34.75</v>
      </c>
      <c r="AR86" s="30"/>
      <c r="AS86" s="30"/>
      <c r="AT86" s="30"/>
      <c r="AU86" s="30"/>
      <c r="AV86" s="30"/>
      <c r="AW86" s="30"/>
      <c r="AX86" s="30"/>
      <c r="AY86" s="30"/>
      <c r="AZ86" s="30">
        <v>5.65</v>
      </c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>
        <v>4.5</v>
      </c>
      <c r="BL86" s="30"/>
      <c r="BM86" s="30"/>
      <c r="BN86" s="30">
        <v>4.5</v>
      </c>
      <c r="BO86" s="30"/>
      <c r="BP86" s="30"/>
      <c r="BQ86" s="30"/>
      <c r="BR86" s="30"/>
      <c r="BS86" s="30"/>
      <c r="BT86" s="30"/>
      <c r="BU86" s="30"/>
      <c r="BV86" s="30">
        <v>0.6</v>
      </c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29" t="str">
        <f>IFERROR(SUMPRODUCT(G86:CI86,'🏭 원료 마스터'!$C$4:$C$84),"")</f>
        <v/>
      </c>
      <c r="CL86" t="s">
        <v>236</v>
      </c>
    </row>
    <row r="87" spans="1:90" ht="18" customHeight="1">
      <c r="A87" s="7">
        <v>83</v>
      </c>
      <c r="B87" s="25">
        <v>45986</v>
      </c>
      <c r="C87" s="26" t="s">
        <v>204</v>
      </c>
      <c r="D87" s="27">
        <v>140</v>
      </c>
      <c r="E87" s="7"/>
      <c r="F87" s="7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>
        <v>4.62</v>
      </c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>
        <v>4.2</v>
      </c>
      <c r="AL87" s="28"/>
      <c r="AM87" s="28"/>
      <c r="AN87" s="28"/>
      <c r="AO87" s="28"/>
      <c r="AP87" s="28"/>
      <c r="AQ87" s="28"/>
      <c r="AR87" s="28"/>
      <c r="AS87" s="28">
        <v>3.08</v>
      </c>
      <c r="AT87" s="28"/>
      <c r="AU87" s="28"/>
      <c r="AV87" s="28"/>
      <c r="AW87" s="28"/>
      <c r="AX87" s="28"/>
      <c r="AY87" s="28"/>
      <c r="AZ87" s="28">
        <v>3.08</v>
      </c>
      <c r="BA87" s="28"/>
      <c r="BB87" s="28"/>
      <c r="BC87" s="28"/>
      <c r="BD87" s="28"/>
      <c r="BE87" s="28">
        <v>1.54</v>
      </c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>
        <v>58.24</v>
      </c>
      <c r="BR87" s="28"/>
      <c r="BS87" s="28">
        <v>1.4</v>
      </c>
      <c r="BT87" s="28"/>
      <c r="BU87" s="28">
        <v>62.16</v>
      </c>
      <c r="BV87" s="28">
        <v>1.1200000000000001</v>
      </c>
      <c r="BW87" s="28"/>
      <c r="BX87" s="28"/>
      <c r="BY87" s="28"/>
      <c r="BZ87" s="28"/>
      <c r="CA87" s="28"/>
      <c r="CB87" s="28"/>
      <c r="CC87" s="28"/>
      <c r="CD87" s="28"/>
      <c r="CE87" s="28">
        <v>0.56000000000000005</v>
      </c>
      <c r="CF87" s="28"/>
      <c r="CG87" s="28"/>
      <c r="CH87" s="28"/>
      <c r="CI87" s="28"/>
      <c r="CJ87" s="29" t="str">
        <f>IFERROR(SUMPRODUCT(G87:CI87,'🏭 원료 마스터'!$C$4:$C$84),"")</f>
        <v/>
      </c>
      <c r="CL87" t="s">
        <v>236</v>
      </c>
    </row>
    <row r="88" spans="1:90" ht="18" customHeight="1">
      <c r="A88" s="11">
        <v>84</v>
      </c>
      <c r="B88" s="25">
        <v>45986</v>
      </c>
      <c r="C88" s="26" t="s">
        <v>144</v>
      </c>
      <c r="D88" s="27">
        <v>35</v>
      </c>
      <c r="E88" s="11"/>
      <c r="F88" s="1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>
        <v>1.05</v>
      </c>
      <c r="AL88" s="30"/>
      <c r="AM88" s="30"/>
      <c r="AN88" s="30"/>
      <c r="AO88" s="30"/>
      <c r="AP88" s="30"/>
      <c r="AQ88" s="30"/>
      <c r="AR88" s="30"/>
      <c r="AS88" s="30">
        <v>1.645</v>
      </c>
      <c r="AT88" s="30"/>
      <c r="AU88" s="30"/>
      <c r="AV88" s="30"/>
      <c r="AW88" s="30"/>
      <c r="AX88" s="30"/>
      <c r="AY88" s="30"/>
      <c r="AZ88" s="30">
        <v>1.645</v>
      </c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>
        <v>13.265000000000001</v>
      </c>
      <c r="BO88" s="30"/>
      <c r="BP88" s="30"/>
      <c r="BQ88" s="30"/>
      <c r="BR88" s="30"/>
      <c r="BS88" s="30">
        <v>0.315</v>
      </c>
      <c r="BT88" s="30"/>
      <c r="BU88" s="30">
        <v>16.625</v>
      </c>
      <c r="BV88" s="30">
        <v>0.315</v>
      </c>
      <c r="BW88" s="30"/>
      <c r="BX88" s="30"/>
      <c r="BY88" s="30"/>
      <c r="BZ88" s="30"/>
      <c r="CA88" s="30"/>
      <c r="CB88" s="30"/>
      <c r="CC88" s="30"/>
      <c r="CD88" s="30"/>
      <c r="CE88" s="30">
        <v>0.14000000000000001</v>
      </c>
      <c r="CF88" s="30"/>
      <c r="CG88" s="30"/>
      <c r="CH88" s="30"/>
      <c r="CI88" s="30"/>
      <c r="CJ88" s="29" t="str">
        <f>IFERROR(SUMPRODUCT(G88:CI88,'🏭 원료 마스터'!$C$4:$C$84),"")</f>
        <v/>
      </c>
      <c r="CL88" t="s">
        <v>236</v>
      </c>
    </row>
    <row r="89" spans="1:90" ht="18" customHeight="1">
      <c r="A89" s="7">
        <v>85</v>
      </c>
      <c r="B89" s="25">
        <v>45987</v>
      </c>
      <c r="C89" s="26" t="s">
        <v>143</v>
      </c>
      <c r="D89" s="27">
        <v>80</v>
      </c>
      <c r="E89" s="7"/>
      <c r="F89" s="7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>
        <v>6.72</v>
      </c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>
        <v>53.84</v>
      </c>
      <c r="AR89" s="28"/>
      <c r="AS89" s="28"/>
      <c r="AT89" s="28"/>
      <c r="AU89" s="28"/>
      <c r="AV89" s="28"/>
      <c r="AW89" s="28">
        <v>1.76</v>
      </c>
      <c r="AX89" s="28"/>
      <c r="AY89" s="28"/>
      <c r="AZ89" s="28">
        <v>6.72</v>
      </c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>
        <v>10.08</v>
      </c>
      <c r="BO89" s="28"/>
      <c r="BP89" s="28"/>
      <c r="BQ89" s="28"/>
      <c r="BR89" s="28"/>
      <c r="BS89" s="28"/>
      <c r="BT89" s="28"/>
      <c r="BU89" s="28"/>
      <c r="BV89" s="28">
        <v>0.88</v>
      </c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9" t="str">
        <f>IFERROR(SUMPRODUCT(G89:CI89,'🏭 원료 마스터'!$C$4:$C$84),"")</f>
        <v/>
      </c>
      <c r="CL89" t="s">
        <v>236</v>
      </c>
    </row>
    <row r="90" spans="1:90" ht="18" customHeight="1">
      <c r="A90" s="11">
        <v>86</v>
      </c>
      <c r="B90" s="25">
        <v>45987</v>
      </c>
      <c r="C90" s="26" t="s">
        <v>184</v>
      </c>
      <c r="D90" s="27">
        <v>75</v>
      </c>
      <c r="E90" s="11"/>
      <c r="F90" s="1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>
        <v>52.125</v>
      </c>
      <c r="AR90" s="30"/>
      <c r="AS90" s="30"/>
      <c r="AT90" s="30"/>
      <c r="AU90" s="30"/>
      <c r="AV90" s="30"/>
      <c r="AW90" s="30"/>
      <c r="AX90" s="30"/>
      <c r="AY90" s="30"/>
      <c r="AZ90" s="30">
        <v>8.4749999999999996</v>
      </c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>
        <v>6.75</v>
      </c>
      <c r="BL90" s="30"/>
      <c r="BM90" s="30"/>
      <c r="BN90" s="30">
        <v>6.75</v>
      </c>
      <c r="BO90" s="30"/>
      <c r="BP90" s="30"/>
      <c r="BQ90" s="30"/>
      <c r="BR90" s="30"/>
      <c r="BS90" s="30"/>
      <c r="BT90" s="30"/>
      <c r="BU90" s="30"/>
      <c r="BV90" s="30">
        <v>0.9</v>
      </c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29" t="str">
        <f>IFERROR(SUMPRODUCT(G90:CI90,'🏭 원료 마스터'!$C$4:$C$84),"")</f>
        <v/>
      </c>
      <c r="CL90" t="s">
        <v>236</v>
      </c>
    </row>
    <row r="91" spans="1:90" ht="18" customHeight="1">
      <c r="A91" s="7">
        <v>87</v>
      </c>
      <c r="B91" s="25">
        <v>45987</v>
      </c>
      <c r="C91" s="26" t="s">
        <v>183</v>
      </c>
      <c r="D91" s="27">
        <v>140</v>
      </c>
      <c r="E91" s="7"/>
      <c r="F91" s="7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>
        <v>3.36</v>
      </c>
      <c r="AT91" s="28"/>
      <c r="AU91" s="28"/>
      <c r="AV91" s="28"/>
      <c r="AW91" s="28"/>
      <c r="AX91" s="28"/>
      <c r="AY91" s="28"/>
      <c r="AZ91" s="28">
        <v>3.36</v>
      </c>
      <c r="BA91" s="28"/>
      <c r="BB91" s="28"/>
      <c r="BC91" s="28"/>
      <c r="BD91" s="28"/>
      <c r="BE91" s="28"/>
      <c r="BF91" s="28"/>
      <c r="BG91" s="28"/>
      <c r="BH91" s="28"/>
      <c r="BI91" s="28">
        <v>1.68</v>
      </c>
      <c r="BJ91" s="28"/>
      <c r="BK91" s="28"/>
      <c r="BL91" s="28"/>
      <c r="BM91" s="28"/>
      <c r="BN91" s="28"/>
      <c r="BO91" s="28"/>
      <c r="BP91" s="28"/>
      <c r="BQ91" s="28">
        <v>62.72</v>
      </c>
      <c r="BR91" s="28"/>
      <c r="BS91" s="28">
        <v>0.28000000000000003</v>
      </c>
      <c r="BT91" s="28"/>
      <c r="BU91" s="28">
        <v>66.92</v>
      </c>
      <c r="BV91" s="28">
        <v>1.1200000000000001</v>
      </c>
      <c r="BW91" s="28"/>
      <c r="BX91" s="28"/>
      <c r="BY91" s="28"/>
      <c r="BZ91" s="28"/>
      <c r="CA91" s="28"/>
      <c r="CB91" s="28"/>
      <c r="CC91" s="28"/>
      <c r="CD91" s="28"/>
      <c r="CE91" s="28">
        <v>0.56000000000000005</v>
      </c>
      <c r="CF91" s="28"/>
      <c r="CG91" s="28"/>
      <c r="CH91" s="28"/>
      <c r="CI91" s="28"/>
      <c r="CJ91" s="29" t="str">
        <f>IFERROR(SUMPRODUCT(G91:CI91,'🏭 원료 마스터'!$C$4:$C$84),"")</f>
        <v/>
      </c>
      <c r="CL91" t="s">
        <v>236</v>
      </c>
    </row>
    <row r="92" spans="1:90" ht="18" customHeight="1">
      <c r="A92" s="11">
        <v>88</v>
      </c>
      <c r="B92" s="25">
        <v>45988</v>
      </c>
      <c r="C92" s="26" t="s">
        <v>143</v>
      </c>
      <c r="D92" s="27">
        <v>145</v>
      </c>
      <c r="E92" s="11"/>
      <c r="F92" s="1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>
        <v>12.18</v>
      </c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>
        <v>97.584999999999994</v>
      </c>
      <c r="AR92" s="30"/>
      <c r="AS92" s="30"/>
      <c r="AT92" s="30"/>
      <c r="AU92" s="30"/>
      <c r="AV92" s="30"/>
      <c r="AW92" s="30">
        <v>3.19</v>
      </c>
      <c r="AX92" s="30"/>
      <c r="AY92" s="30"/>
      <c r="AZ92" s="30">
        <v>12.18</v>
      </c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>
        <v>18.27</v>
      </c>
      <c r="BO92" s="30"/>
      <c r="BP92" s="30"/>
      <c r="BQ92" s="30"/>
      <c r="BR92" s="30"/>
      <c r="BS92" s="30"/>
      <c r="BT92" s="30"/>
      <c r="BU92" s="30"/>
      <c r="BV92" s="30">
        <v>1.595</v>
      </c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29" t="str">
        <f>IFERROR(SUMPRODUCT(G92:CI92,'🏭 원료 마스터'!$C$4:$C$84),"")</f>
        <v/>
      </c>
      <c r="CL92" t="s">
        <v>236</v>
      </c>
    </row>
    <row r="93" spans="1:90" ht="18" customHeight="1">
      <c r="A93" s="7">
        <v>89</v>
      </c>
      <c r="B93" s="25">
        <v>45988</v>
      </c>
      <c r="C93" s="26" t="s">
        <v>184</v>
      </c>
      <c r="D93" s="27">
        <v>100</v>
      </c>
      <c r="E93" s="7"/>
      <c r="F93" s="7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>
        <v>69.5</v>
      </c>
      <c r="AR93" s="28"/>
      <c r="AS93" s="28"/>
      <c r="AT93" s="28"/>
      <c r="AU93" s="28"/>
      <c r="AV93" s="28"/>
      <c r="AW93" s="28"/>
      <c r="AX93" s="28"/>
      <c r="AY93" s="28"/>
      <c r="AZ93" s="28">
        <v>11.3</v>
      </c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>
        <v>9</v>
      </c>
      <c r="BL93" s="28"/>
      <c r="BM93" s="28"/>
      <c r="BN93" s="28">
        <v>9</v>
      </c>
      <c r="BO93" s="28"/>
      <c r="BP93" s="28"/>
      <c r="BQ93" s="28"/>
      <c r="BR93" s="28"/>
      <c r="BS93" s="28"/>
      <c r="BT93" s="28"/>
      <c r="BU93" s="28"/>
      <c r="BV93" s="28">
        <v>1.2</v>
      </c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9" t="str">
        <f>IFERROR(SUMPRODUCT(G93:CI93,'🏭 원료 마스터'!$C$4:$C$84),"")</f>
        <v/>
      </c>
      <c r="CL93" t="s">
        <v>236</v>
      </c>
    </row>
    <row r="94" spans="1:90" ht="18" customHeight="1">
      <c r="A94" s="11">
        <v>90</v>
      </c>
      <c r="B94" s="25">
        <v>45989</v>
      </c>
      <c r="C94" s="26" t="s">
        <v>204</v>
      </c>
      <c r="D94" s="27">
        <v>280</v>
      </c>
      <c r="E94" s="11"/>
      <c r="F94" s="1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>
        <v>9.24</v>
      </c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>
        <v>8.4</v>
      </c>
      <c r="AL94" s="30"/>
      <c r="AM94" s="30"/>
      <c r="AN94" s="30"/>
      <c r="AO94" s="30"/>
      <c r="AP94" s="30"/>
      <c r="AQ94" s="30"/>
      <c r="AR94" s="30"/>
      <c r="AS94" s="30">
        <v>6.16</v>
      </c>
      <c r="AT94" s="30"/>
      <c r="AU94" s="30"/>
      <c r="AV94" s="30"/>
      <c r="AW94" s="30"/>
      <c r="AX94" s="30"/>
      <c r="AY94" s="30"/>
      <c r="AZ94" s="30">
        <v>6.16</v>
      </c>
      <c r="BA94" s="30"/>
      <c r="BB94" s="30"/>
      <c r="BC94" s="30"/>
      <c r="BD94" s="30"/>
      <c r="BE94" s="30">
        <v>3.08</v>
      </c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>
        <v>116.48</v>
      </c>
      <c r="BR94" s="30"/>
      <c r="BS94" s="30">
        <v>2.8</v>
      </c>
      <c r="BT94" s="30"/>
      <c r="BU94" s="30">
        <v>124.32</v>
      </c>
      <c r="BV94" s="30">
        <v>2.2400000000000002</v>
      </c>
      <c r="BW94" s="30"/>
      <c r="BX94" s="30"/>
      <c r="BY94" s="30"/>
      <c r="BZ94" s="30"/>
      <c r="CA94" s="30"/>
      <c r="CB94" s="30"/>
      <c r="CC94" s="30"/>
      <c r="CD94" s="30"/>
      <c r="CE94" s="30">
        <v>1.1200000000000001</v>
      </c>
      <c r="CF94" s="30"/>
      <c r="CG94" s="30"/>
      <c r="CH94" s="30"/>
      <c r="CI94" s="30"/>
      <c r="CJ94" s="29" t="str">
        <f>IFERROR(SUMPRODUCT(G94:CI94,'🏭 원료 마스터'!$C$4:$C$84),"")</f>
        <v/>
      </c>
      <c r="CL94" t="s">
        <v>236</v>
      </c>
    </row>
    <row r="95" spans="1:90" ht="18" customHeight="1">
      <c r="A95" s="7">
        <v>91</v>
      </c>
      <c r="B95" s="25">
        <v>45989</v>
      </c>
      <c r="C95" s="26" t="s">
        <v>144</v>
      </c>
      <c r="D95" s="27">
        <v>70</v>
      </c>
      <c r="E95" s="7"/>
      <c r="F95" s="7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>
        <v>2.1</v>
      </c>
      <c r="AL95" s="28"/>
      <c r="AM95" s="28"/>
      <c r="AN95" s="28"/>
      <c r="AO95" s="28"/>
      <c r="AP95" s="28"/>
      <c r="AQ95" s="28"/>
      <c r="AR95" s="28"/>
      <c r="AS95" s="28">
        <v>3.29</v>
      </c>
      <c r="AT95" s="28"/>
      <c r="AU95" s="28"/>
      <c r="AV95" s="28"/>
      <c r="AW95" s="28"/>
      <c r="AX95" s="28"/>
      <c r="AY95" s="28"/>
      <c r="AZ95" s="28">
        <v>3.29</v>
      </c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>
        <v>26.53</v>
      </c>
      <c r="BO95" s="28"/>
      <c r="BP95" s="28"/>
      <c r="BQ95" s="28"/>
      <c r="BR95" s="28"/>
      <c r="BS95" s="28">
        <v>0.63</v>
      </c>
      <c r="BT95" s="28"/>
      <c r="BU95" s="28">
        <v>33.25</v>
      </c>
      <c r="BV95" s="28">
        <v>0.63</v>
      </c>
      <c r="BW95" s="28"/>
      <c r="BX95" s="28"/>
      <c r="BY95" s="28"/>
      <c r="BZ95" s="28"/>
      <c r="CA95" s="28"/>
      <c r="CB95" s="28"/>
      <c r="CC95" s="28"/>
      <c r="CD95" s="28"/>
      <c r="CE95" s="28">
        <v>0.28000000000000003</v>
      </c>
      <c r="CF95" s="28"/>
      <c r="CG95" s="28"/>
      <c r="CH95" s="28"/>
      <c r="CI95" s="28"/>
      <c r="CJ95" s="29" t="str">
        <f>IFERROR(SUMPRODUCT(G95:CI95,'🏭 원료 마스터'!$C$4:$C$84),"")</f>
        <v/>
      </c>
      <c r="CL95" t="s">
        <v>236</v>
      </c>
    </row>
    <row r="96" spans="1:90" ht="18" customHeight="1">
      <c r="A96" s="11">
        <v>92</v>
      </c>
      <c r="B96" s="25">
        <v>45992</v>
      </c>
      <c r="C96" s="26" t="s">
        <v>143</v>
      </c>
      <c r="D96" s="27">
        <v>63.5</v>
      </c>
      <c r="E96" s="11"/>
      <c r="F96" s="1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>
        <v>5.3339999999999996</v>
      </c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>
        <v>42.735500000000002</v>
      </c>
      <c r="AR96" s="30"/>
      <c r="AS96" s="30"/>
      <c r="AT96" s="30"/>
      <c r="AU96" s="30"/>
      <c r="AV96" s="30"/>
      <c r="AW96" s="30">
        <v>1.397</v>
      </c>
      <c r="AX96" s="30"/>
      <c r="AY96" s="30"/>
      <c r="AZ96" s="30">
        <v>5.3339999999999996</v>
      </c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>
        <v>8.0009999999999994</v>
      </c>
      <c r="BO96" s="30"/>
      <c r="BP96" s="30"/>
      <c r="BQ96" s="30"/>
      <c r="BR96" s="30"/>
      <c r="BS96" s="30"/>
      <c r="BT96" s="30"/>
      <c r="BU96" s="30"/>
      <c r="BV96" s="30">
        <v>0.69850000000000001</v>
      </c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29" t="str">
        <f>IFERROR(SUMPRODUCT(G96:CI96,'🏭 원료 마스터'!$C$4:$C$84),"")</f>
        <v/>
      </c>
      <c r="CL96" t="s">
        <v>237</v>
      </c>
    </row>
    <row r="97" spans="1:90" ht="18" customHeight="1">
      <c r="A97" s="7">
        <v>93</v>
      </c>
      <c r="B97" s="25">
        <v>45992</v>
      </c>
      <c r="C97" s="26" t="s">
        <v>221</v>
      </c>
      <c r="D97" s="27">
        <v>70</v>
      </c>
      <c r="E97" s="7"/>
      <c r="F97" s="7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>
        <v>4.9000000000000004</v>
      </c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>
        <v>5.6</v>
      </c>
      <c r="AJ97" s="28"/>
      <c r="AK97" s="28"/>
      <c r="AL97" s="28"/>
      <c r="AM97" s="28"/>
      <c r="AN97" s="28"/>
      <c r="AO97" s="28"/>
      <c r="AP97" s="28"/>
      <c r="AQ97" s="28"/>
      <c r="AR97" s="28"/>
      <c r="AS97" s="28">
        <v>2.1</v>
      </c>
      <c r="AT97" s="28"/>
      <c r="AU97" s="28"/>
      <c r="AV97" s="28"/>
      <c r="AW97" s="28"/>
      <c r="AX97" s="28"/>
      <c r="AY97" s="28"/>
      <c r="AZ97" s="28">
        <v>2.1</v>
      </c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>
        <v>10.752000000000001</v>
      </c>
      <c r="BO97" s="28"/>
      <c r="BP97" s="28">
        <v>23.1</v>
      </c>
      <c r="BQ97" s="28"/>
      <c r="BR97" s="28"/>
      <c r="BS97" s="28">
        <v>0.25900000000000001</v>
      </c>
      <c r="BT97" s="28"/>
      <c r="BU97" s="28">
        <v>20.65</v>
      </c>
      <c r="BV97" s="28">
        <v>0.371</v>
      </c>
      <c r="BW97" s="28"/>
      <c r="BX97" s="28"/>
      <c r="BY97" s="28"/>
      <c r="BZ97" s="28"/>
      <c r="CA97" s="28"/>
      <c r="CB97" s="28"/>
      <c r="CC97" s="28"/>
      <c r="CD97" s="28"/>
      <c r="CE97" s="28">
        <v>0.16800000000000001</v>
      </c>
      <c r="CF97" s="28"/>
      <c r="CG97" s="28"/>
      <c r="CH97" s="28"/>
      <c r="CI97" s="28"/>
      <c r="CJ97" s="29" t="str">
        <f>IFERROR(SUMPRODUCT(G97:CI97,'🏭 원료 마스터'!$C$4:$C$84),"")</f>
        <v/>
      </c>
      <c r="CL97" t="s">
        <v>237</v>
      </c>
    </row>
    <row r="98" spans="1:90" ht="18" customHeight="1">
      <c r="A98" s="11">
        <v>94</v>
      </c>
      <c r="B98" s="25">
        <v>45992</v>
      </c>
      <c r="C98" s="26" t="s">
        <v>183</v>
      </c>
      <c r="D98" s="27">
        <v>210</v>
      </c>
      <c r="E98" s="11"/>
      <c r="F98" s="1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>
        <v>5.04</v>
      </c>
      <c r="AT98" s="30"/>
      <c r="AU98" s="30"/>
      <c r="AV98" s="30"/>
      <c r="AW98" s="30"/>
      <c r="AX98" s="30"/>
      <c r="AY98" s="30"/>
      <c r="AZ98" s="30">
        <v>5.04</v>
      </c>
      <c r="BA98" s="30"/>
      <c r="BB98" s="30"/>
      <c r="BC98" s="30"/>
      <c r="BD98" s="30"/>
      <c r="BE98" s="30"/>
      <c r="BF98" s="30"/>
      <c r="BG98" s="30"/>
      <c r="BH98" s="30"/>
      <c r="BI98" s="30">
        <v>2.52</v>
      </c>
      <c r="BJ98" s="30"/>
      <c r="BK98" s="30"/>
      <c r="BL98" s="30"/>
      <c r="BM98" s="30"/>
      <c r="BN98" s="30"/>
      <c r="BO98" s="30"/>
      <c r="BP98" s="30"/>
      <c r="BQ98" s="30">
        <v>94.08</v>
      </c>
      <c r="BR98" s="30"/>
      <c r="BS98" s="30">
        <v>0.42</v>
      </c>
      <c r="BT98" s="30"/>
      <c r="BU98" s="30">
        <v>100.38</v>
      </c>
      <c r="BV98" s="30">
        <v>1.68</v>
      </c>
      <c r="BW98" s="30"/>
      <c r="BX98" s="30"/>
      <c r="BY98" s="30"/>
      <c r="BZ98" s="30"/>
      <c r="CA98" s="30"/>
      <c r="CB98" s="30"/>
      <c r="CC98" s="30"/>
      <c r="CD98" s="30"/>
      <c r="CE98" s="30">
        <v>0.84</v>
      </c>
      <c r="CF98" s="30"/>
      <c r="CG98" s="30"/>
      <c r="CH98" s="30"/>
      <c r="CI98" s="30"/>
      <c r="CJ98" s="29" t="str">
        <f>IFERROR(SUMPRODUCT(G98:CI98,'🏭 원료 마스터'!$C$4:$C$84),"")</f>
        <v/>
      </c>
      <c r="CL98" t="s">
        <v>237</v>
      </c>
    </row>
    <row r="99" spans="1:90" ht="18" customHeight="1">
      <c r="A99" s="7">
        <v>95</v>
      </c>
      <c r="B99" s="25">
        <v>45993</v>
      </c>
      <c r="C99" s="26" t="s">
        <v>143</v>
      </c>
      <c r="D99" s="27">
        <v>142.5</v>
      </c>
      <c r="E99" s="7"/>
      <c r="F99" s="7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>
        <v>11.97</v>
      </c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>
        <v>95.902500000000003</v>
      </c>
      <c r="AR99" s="28"/>
      <c r="AS99" s="28"/>
      <c r="AT99" s="28"/>
      <c r="AU99" s="28"/>
      <c r="AV99" s="28"/>
      <c r="AW99" s="28">
        <v>3.1349999999999998</v>
      </c>
      <c r="AX99" s="28"/>
      <c r="AY99" s="28"/>
      <c r="AZ99" s="28">
        <v>11.97</v>
      </c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>
        <v>17.954999999999998</v>
      </c>
      <c r="BO99" s="28"/>
      <c r="BP99" s="28"/>
      <c r="BQ99" s="28"/>
      <c r="BR99" s="28"/>
      <c r="BS99" s="28"/>
      <c r="BT99" s="28"/>
      <c r="BU99" s="28"/>
      <c r="BV99" s="28">
        <v>1.5674999999999999</v>
      </c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9" t="str">
        <f>IFERROR(SUMPRODUCT(G99:CI99,'🏭 원료 마스터'!$C$4:$C$84),"")</f>
        <v/>
      </c>
      <c r="CL99" t="s">
        <v>237</v>
      </c>
    </row>
    <row r="100" spans="1:90" ht="18" customHeight="1">
      <c r="A100" s="11">
        <v>96</v>
      </c>
      <c r="B100" s="25">
        <v>45993</v>
      </c>
      <c r="C100" s="26" t="s">
        <v>184</v>
      </c>
      <c r="D100" s="27">
        <v>100</v>
      </c>
      <c r="E100" s="11"/>
      <c r="F100" s="1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>
        <v>69.5</v>
      </c>
      <c r="AR100" s="30"/>
      <c r="AS100" s="30"/>
      <c r="AT100" s="30"/>
      <c r="AU100" s="30"/>
      <c r="AV100" s="30"/>
      <c r="AW100" s="30"/>
      <c r="AX100" s="30"/>
      <c r="AY100" s="30"/>
      <c r="AZ100" s="30">
        <v>11.3</v>
      </c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>
        <v>9</v>
      </c>
      <c r="BL100" s="30"/>
      <c r="BM100" s="30"/>
      <c r="BN100" s="30">
        <v>9</v>
      </c>
      <c r="BO100" s="30"/>
      <c r="BP100" s="30"/>
      <c r="BQ100" s="30"/>
      <c r="BR100" s="30"/>
      <c r="BS100" s="30"/>
      <c r="BT100" s="30"/>
      <c r="BU100" s="30"/>
      <c r="BV100" s="30">
        <v>1.2</v>
      </c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29" t="str">
        <f>IFERROR(SUMPRODUCT(G100:CI100,'🏭 원료 마스터'!$C$4:$C$84),"")</f>
        <v/>
      </c>
      <c r="CL100" t="s">
        <v>237</v>
      </c>
    </row>
    <row r="101" spans="1:90" ht="18" customHeight="1">
      <c r="A101" s="7">
        <v>97</v>
      </c>
      <c r="B101" s="25">
        <v>45994</v>
      </c>
      <c r="C101" s="26" t="s">
        <v>143</v>
      </c>
      <c r="D101" s="27">
        <v>77.5</v>
      </c>
      <c r="E101" s="7"/>
      <c r="F101" s="7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>
        <v>6.51</v>
      </c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>
        <v>52.157499999999999</v>
      </c>
      <c r="AR101" s="28"/>
      <c r="AS101" s="28"/>
      <c r="AT101" s="28"/>
      <c r="AU101" s="28"/>
      <c r="AV101" s="28"/>
      <c r="AW101" s="28">
        <v>1.7050000000000001</v>
      </c>
      <c r="AX101" s="28"/>
      <c r="AY101" s="28"/>
      <c r="AZ101" s="28">
        <v>6.51</v>
      </c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>
        <v>9.7650000000000006</v>
      </c>
      <c r="BO101" s="28"/>
      <c r="BP101" s="28"/>
      <c r="BQ101" s="28"/>
      <c r="BR101" s="28"/>
      <c r="BS101" s="28"/>
      <c r="BT101" s="28"/>
      <c r="BU101" s="28"/>
      <c r="BV101" s="28">
        <v>0.85250000000000004</v>
      </c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9" t="str">
        <f>IFERROR(SUMPRODUCT(G101:CI101,'🏭 원료 마스터'!$C$4:$C$84),"")</f>
        <v/>
      </c>
      <c r="CL101" t="s">
        <v>237</v>
      </c>
    </row>
    <row r="102" spans="1:90" ht="18" customHeight="1">
      <c r="A102" s="11">
        <v>98</v>
      </c>
      <c r="B102" s="25">
        <v>45994</v>
      </c>
      <c r="C102" s="26" t="s">
        <v>184</v>
      </c>
      <c r="D102" s="27">
        <v>75</v>
      </c>
      <c r="E102" s="11"/>
      <c r="F102" s="1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>
        <v>52.125</v>
      </c>
      <c r="AR102" s="30"/>
      <c r="AS102" s="30"/>
      <c r="AT102" s="30"/>
      <c r="AU102" s="30"/>
      <c r="AV102" s="30"/>
      <c r="AW102" s="30"/>
      <c r="AX102" s="30"/>
      <c r="AY102" s="30"/>
      <c r="AZ102" s="30">
        <v>8.4749999999999996</v>
      </c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>
        <v>6.75</v>
      </c>
      <c r="BL102" s="30"/>
      <c r="BM102" s="30"/>
      <c r="BN102" s="30">
        <v>6.75</v>
      </c>
      <c r="BO102" s="30"/>
      <c r="BP102" s="30"/>
      <c r="BQ102" s="30"/>
      <c r="BR102" s="30"/>
      <c r="BS102" s="30"/>
      <c r="BT102" s="30"/>
      <c r="BU102" s="30"/>
      <c r="BV102" s="30">
        <v>0.9</v>
      </c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29" t="str">
        <f>IFERROR(SUMPRODUCT(G102:CI102,'🏭 원료 마스터'!$C$4:$C$84),"")</f>
        <v/>
      </c>
      <c r="CL102" t="s">
        <v>237</v>
      </c>
    </row>
    <row r="103" spans="1:90" ht="18" customHeight="1">
      <c r="A103" s="7">
        <v>99</v>
      </c>
      <c r="B103" s="25">
        <v>45994</v>
      </c>
      <c r="C103" s="26" t="s">
        <v>222</v>
      </c>
      <c r="D103" s="27">
        <v>70</v>
      </c>
      <c r="E103" s="7"/>
      <c r="F103" s="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>
        <v>4.9000000000000004</v>
      </c>
      <c r="V103" s="28"/>
      <c r="W103" s="28"/>
      <c r="X103" s="28">
        <v>3.92</v>
      </c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>
        <v>5.25</v>
      </c>
      <c r="AJ103" s="28"/>
      <c r="AK103" s="28"/>
      <c r="AL103" s="28"/>
      <c r="AM103" s="28"/>
      <c r="AN103" s="28"/>
      <c r="AO103" s="28"/>
      <c r="AP103" s="28"/>
      <c r="AQ103" s="28"/>
      <c r="AR103" s="28"/>
      <c r="AS103" s="28">
        <v>1.96</v>
      </c>
      <c r="AT103" s="28"/>
      <c r="AU103" s="28"/>
      <c r="AV103" s="28"/>
      <c r="AW103" s="28"/>
      <c r="AX103" s="28"/>
      <c r="AY103" s="28"/>
      <c r="AZ103" s="28">
        <v>1.96</v>
      </c>
      <c r="BA103" s="28"/>
      <c r="BB103" s="28"/>
      <c r="BC103" s="28"/>
      <c r="BD103" s="28"/>
      <c r="BE103" s="28">
        <v>2.17</v>
      </c>
      <c r="BF103" s="28"/>
      <c r="BG103" s="28"/>
      <c r="BH103" s="28"/>
      <c r="BI103" s="28"/>
      <c r="BJ103" s="28"/>
      <c r="BK103" s="28"/>
      <c r="BL103" s="28"/>
      <c r="BM103" s="28"/>
      <c r="BN103" s="28">
        <v>7.9589999999999996</v>
      </c>
      <c r="BO103" s="28"/>
      <c r="BP103" s="28">
        <v>21.49</v>
      </c>
      <c r="BQ103" s="28"/>
      <c r="BR103" s="28"/>
      <c r="BS103" s="28">
        <v>0.42</v>
      </c>
      <c r="BT103" s="28"/>
      <c r="BU103" s="28">
        <v>19.46</v>
      </c>
      <c r="BV103" s="28">
        <v>0.35</v>
      </c>
      <c r="BW103" s="28"/>
      <c r="BX103" s="28"/>
      <c r="BY103" s="28"/>
      <c r="BZ103" s="28"/>
      <c r="CA103" s="28"/>
      <c r="CB103" s="28"/>
      <c r="CC103" s="28"/>
      <c r="CD103" s="28"/>
      <c r="CE103" s="28">
        <v>0.161</v>
      </c>
      <c r="CF103" s="28"/>
      <c r="CG103" s="28"/>
      <c r="CH103" s="28"/>
      <c r="CI103" s="28"/>
      <c r="CJ103" s="29" t="str">
        <f>IFERROR(SUMPRODUCT(G103:CI103,'🏭 원료 마스터'!$C$4:$C$84),"")</f>
        <v/>
      </c>
      <c r="CL103" t="s">
        <v>237</v>
      </c>
    </row>
    <row r="104" spans="1:90" ht="18" customHeight="1">
      <c r="A104" s="11">
        <v>100</v>
      </c>
      <c r="B104" s="25">
        <v>45994</v>
      </c>
      <c r="C104" s="26" t="s">
        <v>221</v>
      </c>
      <c r="D104" s="27">
        <v>70</v>
      </c>
      <c r="E104" s="11"/>
      <c r="F104" s="1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>
        <v>4.9000000000000004</v>
      </c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>
        <v>5.6</v>
      </c>
      <c r="AJ104" s="30"/>
      <c r="AK104" s="30"/>
      <c r="AL104" s="30"/>
      <c r="AM104" s="30"/>
      <c r="AN104" s="30"/>
      <c r="AO104" s="30"/>
      <c r="AP104" s="30"/>
      <c r="AQ104" s="30"/>
      <c r="AR104" s="30"/>
      <c r="AS104" s="30">
        <v>2.1</v>
      </c>
      <c r="AT104" s="30"/>
      <c r="AU104" s="30"/>
      <c r="AV104" s="30"/>
      <c r="AW104" s="30"/>
      <c r="AX104" s="30"/>
      <c r="AY104" s="30"/>
      <c r="AZ104" s="30">
        <v>2.1</v>
      </c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>
        <v>10.752000000000001</v>
      </c>
      <c r="BO104" s="30"/>
      <c r="BP104" s="30">
        <v>23.1</v>
      </c>
      <c r="BQ104" s="30"/>
      <c r="BR104" s="30"/>
      <c r="BS104" s="30">
        <v>0.25900000000000001</v>
      </c>
      <c r="BT104" s="30"/>
      <c r="BU104" s="30">
        <v>20.65</v>
      </c>
      <c r="BV104" s="30">
        <v>0.371</v>
      </c>
      <c r="BW104" s="30"/>
      <c r="BX104" s="30"/>
      <c r="BY104" s="30"/>
      <c r="BZ104" s="30"/>
      <c r="CA104" s="30"/>
      <c r="CB104" s="30"/>
      <c r="CC104" s="30"/>
      <c r="CD104" s="30"/>
      <c r="CE104" s="30">
        <v>0.16800000000000001</v>
      </c>
      <c r="CF104" s="30"/>
      <c r="CG104" s="30"/>
      <c r="CH104" s="30"/>
      <c r="CI104" s="30"/>
      <c r="CJ104" s="29" t="str">
        <f>IFERROR(SUMPRODUCT(G104:CI104,'🏭 원료 마스터'!$C$4:$C$84),"")</f>
        <v/>
      </c>
      <c r="CL104" t="s">
        <v>237</v>
      </c>
    </row>
    <row r="105" spans="1:90" ht="18" customHeight="1">
      <c r="A105" s="7">
        <v>101</v>
      </c>
      <c r="B105" s="25">
        <v>45995</v>
      </c>
      <c r="C105" s="26" t="s">
        <v>169</v>
      </c>
      <c r="D105" s="27">
        <v>26</v>
      </c>
      <c r="E105" s="7"/>
      <c r="F105" s="7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>
        <v>25.74</v>
      </c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>
        <v>0.26</v>
      </c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9" t="str">
        <f>IFERROR(SUMPRODUCT(G105:CI105,'🏭 원료 마스터'!$C$4:$C$84),"")</f>
        <v/>
      </c>
      <c r="CL105" t="s">
        <v>237</v>
      </c>
    </row>
    <row r="106" spans="1:90" ht="18" customHeight="1">
      <c r="A106" s="11">
        <v>102</v>
      </c>
      <c r="B106" s="25">
        <v>45995</v>
      </c>
      <c r="C106" s="26" t="s">
        <v>222</v>
      </c>
      <c r="D106" s="27">
        <v>70</v>
      </c>
      <c r="E106" s="11"/>
      <c r="F106" s="1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>
        <v>4.9000000000000004</v>
      </c>
      <c r="V106" s="30"/>
      <c r="W106" s="30"/>
      <c r="X106" s="30">
        <v>3.92</v>
      </c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>
        <v>5.25</v>
      </c>
      <c r="AJ106" s="30"/>
      <c r="AK106" s="30"/>
      <c r="AL106" s="30"/>
      <c r="AM106" s="30"/>
      <c r="AN106" s="30"/>
      <c r="AO106" s="30"/>
      <c r="AP106" s="30"/>
      <c r="AQ106" s="30"/>
      <c r="AR106" s="30"/>
      <c r="AS106" s="30">
        <v>1.96</v>
      </c>
      <c r="AT106" s="30"/>
      <c r="AU106" s="30"/>
      <c r="AV106" s="30"/>
      <c r="AW106" s="30"/>
      <c r="AX106" s="30"/>
      <c r="AY106" s="30"/>
      <c r="AZ106" s="30">
        <v>1.96</v>
      </c>
      <c r="BA106" s="30"/>
      <c r="BB106" s="30"/>
      <c r="BC106" s="30"/>
      <c r="BD106" s="30"/>
      <c r="BE106" s="30">
        <v>2.17</v>
      </c>
      <c r="BF106" s="30"/>
      <c r="BG106" s="30"/>
      <c r="BH106" s="30"/>
      <c r="BI106" s="30"/>
      <c r="BJ106" s="30"/>
      <c r="BK106" s="30"/>
      <c r="BL106" s="30"/>
      <c r="BM106" s="30"/>
      <c r="BN106" s="30">
        <v>7.9589999999999996</v>
      </c>
      <c r="BO106" s="30"/>
      <c r="BP106" s="30">
        <v>21.49</v>
      </c>
      <c r="BQ106" s="30"/>
      <c r="BR106" s="30"/>
      <c r="BS106" s="30">
        <v>0.42</v>
      </c>
      <c r="BT106" s="30"/>
      <c r="BU106" s="30">
        <v>19.46</v>
      </c>
      <c r="BV106" s="30">
        <v>0.35</v>
      </c>
      <c r="BW106" s="30"/>
      <c r="BX106" s="30"/>
      <c r="BY106" s="30"/>
      <c r="BZ106" s="30"/>
      <c r="CA106" s="30"/>
      <c r="CB106" s="30"/>
      <c r="CC106" s="30"/>
      <c r="CD106" s="30"/>
      <c r="CE106" s="30">
        <v>0.161</v>
      </c>
      <c r="CF106" s="30"/>
      <c r="CG106" s="30"/>
      <c r="CH106" s="30"/>
      <c r="CI106" s="30"/>
      <c r="CJ106" s="29" t="str">
        <f>IFERROR(SUMPRODUCT(G106:CI106,'🏭 원료 마스터'!$C$4:$C$84),"")</f>
        <v/>
      </c>
      <c r="CL106" t="s">
        <v>237</v>
      </c>
    </row>
    <row r="107" spans="1:90" ht="18" customHeight="1">
      <c r="A107" s="7">
        <v>103</v>
      </c>
      <c r="B107" s="25">
        <v>45995</v>
      </c>
      <c r="C107" s="26" t="s">
        <v>203</v>
      </c>
      <c r="D107" s="27">
        <v>70</v>
      </c>
      <c r="E107" s="7"/>
      <c r="F107" s="7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>
        <v>5.6</v>
      </c>
      <c r="AJ107" s="28">
        <v>23.1</v>
      </c>
      <c r="AK107" s="28">
        <v>4.9000000000000004</v>
      </c>
      <c r="AL107" s="28"/>
      <c r="AM107" s="28"/>
      <c r="AN107" s="28"/>
      <c r="AO107" s="28"/>
      <c r="AP107" s="28"/>
      <c r="AQ107" s="28"/>
      <c r="AR107" s="28"/>
      <c r="AS107" s="28">
        <v>2.1</v>
      </c>
      <c r="AT107" s="28"/>
      <c r="AU107" s="28"/>
      <c r="AV107" s="28"/>
      <c r="AW107" s="28"/>
      <c r="AX107" s="28"/>
      <c r="AY107" s="28"/>
      <c r="AZ107" s="28">
        <v>2.1</v>
      </c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>
        <v>10.752000000000001</v>
      </c>
      <c r="BO107" s="28"/>
      <c r="BP107" s="28"/>
      <c r="BQ107" s="28"/>
      <c r="BR107" s="28"/>
      <c r="BS107" s="28">
        <v>0.25900000000000001</v>
      </c>
      <c r="BT107" s="28"/>
      <c r="BU107" s="28">
        <v>20.65</v>
      </c>
      <c r="BV107" s="28">
        <v>0.371</v>
      </c>
      <c r="BW107" s="28"/>
      <c r="BX107" s="28"/>
      <c r="BY107" s="28"/>
      <c r="BZ107" s="28"/>
      <c r="CA107" s="28"/>
      <c r="CB107" s="28"/>
      <c r="CC107" s="28"/>
      <c r="CD107" s="28"/>
      <c r="CE107" s="28">
        <v>0.16800000000000001</v>
      </c>
      <c r="CF107" s="28"/>
      <c r="CG107" s="28"/>
      <c r="CH107" s="28"/>
      <c r="CI107" s="28"/>
      <c r="CJ107" s="29" t="str">
        <f>IFERROR(SUMPRODUCT(G107:CI107,'🏭 원료 마스터'!$C$4:$C$84),"")</f>
        <v/>
      </c>
      <c r="CL107" t="s">
        <v>237</v>
      </c>
    </row>
    <row r="108" spans="1:90" ht="18" customHeight="1">
      <c r="A108" s="11">
        <v>104</v>
      </c>
      <c r="B108" s="25">
        <v>45996</v>
      </c>
      <c r="C108" s="26" t="s">
        <v>221</v>
      </c>
      <c r="D108" s="27">
        <v>70</v>
      </c>
      <c r="E108" s="11"/>
      <c r="F108" s="1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>
        <v>4.9000000000000004</v>
      </c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>
        <v>5.6</v>
      </c>
      <c r="AJ108" s="30"/>
      <c r="AK108" s="30"/>
      <c r="AL108" s="30"/>
      <c r="AM108" s="30"/>
      <c r="AN108" s="30"/>
      <c r="AO108" s="30"/>
      <c r="AP108" s="30"/>
      <c r="AQ108" s="30"/>
      <c r="AR108" s="30"/>
      <c r="AS108" s="30">
        <v>2.1</v>
      </c>
      <c r="AT108" s="30"/>
      <c r="AU108" s="30"/>
      <c r="AV108" s="30"/>
      <c r="AW108" s="30"/>
      <c r="AX108" s="30"/>
      <c r="AY108" s="30"/>
      <c r="AZ108" s="30">
        <v>2.1</v>
      </c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>
        <v>10.752000000000001</v>
      </c>
      <c r="BO108" s="30"/>
      <c r="BP108" s="30">
        <v>23.1</v>
      </c>
      <c r="BQ108" s="30"/>
      <c r="BR108" s="30"/>
      <c r="BS108" s="30">
        <v>0.25900000000000001</v>
      </c>
      <c r="BT108" s="30"/>
      <c r="BU108" s="30">
        <v>20.65</v>
      </c>
      <c r="BV108" s="30">
        <v>0.371</v>
      </c>
      <c r="BW108" s="30"/>
      <c r="BX108" s="30"/>
      <c r="BY108" s="30"/>
      <c r="BZ108" s="30"/>
      <c r="CA108" s="30"/>
      <c r="CB108" s="30"/>
      <c r="CC108" s="30"/>
      <c r="CD108" s="30"/>
      <c r="CE108" s="30">
        <v>0.16800000000000001</v>
      </c>
      <c r="CF108" s="30"/>
      <c r="CG108" s="30"/>
      <c r="CH108" s="30"/>
      <c r="CI108" s="30"/>
      <c r="CJ108" s="29" t="str">
        <f>IFERROR(SUMPRODUCT(G108:CI108,'🏭 원료 마스터'!$C$4:$C$84),"")</f>
        <v/>
      </c>
      <c r="CL108" t="s">
        <v>237</v>
      </c>
    </row>
    <row r="109" spans="1:90" ht="18" customHeight="1">
      <c r="A109" s="7">
        <v>105</v>
      </c>
      <c r="B109" s="25">
        <v>45996</v>
      </c>
      <c r="C109" s="26" t="s">
        <v>222</v>
      </c>
      <c r="D109" s="27">
        <v>70</v>
      </c>
      <c r="E109" s="7"/>
      <c r="F109" s="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>
        <v>4.9000000000000004</v>
      </c>
      <c r="V109" s="28"/>
      <c r="W109" s="28"/>
      <c r="X109" s="28">
        <v>3.92</v>
      </c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>
        <v>5.25</v>
      </c>
      <c r="AJ109" s="28"/>
      <c r="AK109" s="28"/>
      <c r="AL109" s="28"/>
      <c r="AM109" s="28"/>
      <c r="AN109" s="28"/>
      <c r="AO109" s="28"/>
      <c r="AP109" s="28"/>
      <c r="AQ109" s="28"/>
      <c r="AR109" s="28"/>
      <c r="AS109" s="28">
        <v>1.96</v>
      </c>
      <c r="AT109" s="28"/>
      <c r="AU109" s="28"/>
      <c r="AV109" s="28"/>
      <c r="AW109" s="28"/>
      <c r="AX109" s="28"/>
      <c r="AY109" s="28"/>
      <c r="AZ109" s="28">
        <v>1.96</v>
      </c>
      <c r="BA109" s="28"/>
      <c r="BB109" s="28"/>
      <c r="BC109" s="28"/>
      <c r="BD109" s="28"/>
      <c r="BE109" s="28">
        <v>2.17</v>
      </c>
      <c r="BF109" s="28"/>
      <c r="BG109" s="28"/>
      <c r="BH109" s="28"/>
      <c r="BI109" s="28"/>
      <c r="BJ109" s="28"/>
      <c r="BK109" s="28"/>
      <c r="BL109" s="28"/>
      <c r="BM109" s="28"/>
      <c r="BN109" s="28">
        <v>7.9589999999999996</v>
      </c>
      <c r="BO109" s="28"/>
      <c r="BP109" s="28">
        <v>21.49</v>
      </c>
      <c r="BQ109" s="28"/>
      <c r="BR109" s="28"/>
      <c r="BS109" s="28">
        <v>0.42</v>
      </c>
      <c r="BT109" s="28"/>
      <c r="BU109" s="28">
        <v>19.46</v>
      </c>
      <c r="BV109" s="28">
        <v>0.35</v>
      </c>
      <c r="BW109" s="28"/>
      <c r="BX109" s="28"/>
      <c r="BY109" s="28"/>
      <c r="BZ109" s="28"/>
      <c r="CA109" s="28"/>
      <c r="CB109" s="28"/>
      <c r="CC109" s="28"/>
      <c r="CD109" s="28"/>
      <c r="CE109" s="28">
        <v>0.161</v>
      </c>
      <c r="CF109" s="28"/>
      <c r="CG109" s="28"/>
      <c r="CH109" s="28"/>
      <c r="CI109" s="28"/>
      <c r="CJ109" s="29" t="str">
        <f>IFERROR(SUMPRODUCT(G109:CI109,'🏭 원료 마스터'!$C$4:$C$84),"")</f>
        <v/>
      </c>
      <c r="CL109" t="s">
        <v>237</v>
      </c>
    </row>
    <row r="110" spans="1:90" ht="18" customHeight="1">
      <c r="A110" s="11">
        <v>106</v>
      </c>
      <c r="B110" s="25">
        <v>45999</v>
      </c>
      <c r="C110" s="26" t="s">
        <v>143</v>
      </c>
      <c r="D110" s="27">
        <v>107.5</v>
      </c>
      <c r="E110" s="11"/>
      <c r="F110" s="1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>
        <v>9.0299999999999994</v>
      </c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>
        <v>72.347499999999997</v>
      </c>
      <c r="AR110" s="30"/>
      <c r="AS110" s="30"/>
      <c r="AT110" s="30"/>
      <c r="AU110" s="30"/>
      <c r="AV110" s="30"/>
      <c r="AW110" s="30">
        <v>2.3650000000000002</v>
      </c>
      <c r="AX110" s="30"/>
      <c r="AY110" s="30"/>
      <c r="AZ110" s="30">
        <v>9.0299999999999994</v>
      </c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>
        <v>13.545</v>
      </c>
      <c r="BO110" s="30"/>
      <c r="BP110" s="30"/>
      <c r="BQ110" s="30"/>
      <c r="BR110" s="30"/>
      <c r="BS110" s="30"/>
      <c r="BT110" s="30"/>
      <c r="BU110" s="30"/>
      <c r="BV110" s="30">
        <v>1.1825000000000001</v>
      </c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29" t="str">
        <f>IFERROR(SUMPRODUCT(G110:CI110,'🏭 원료 마스터'!$C$4:$C$84),"")</f>
        <v/>
      </c>
      <c r="CL110" t="s">
        <v>237</v>
      </c>
    </row>
    <row r="111" spans="1:90" ht="18" customHeight="1">
      <c r="A111" s="7">
        <v>107</v>
      </c>
      <c r="B111" s="25">
        <v>45999</v>
      </c>
      <c r="C111" s="26" t="s">
        <v>184</v>
      </c>
      <c r="D111" s="27">
        <v>75</v>
      </c>
      <c r="E111" s="7"/>
      <c r="F111" s="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>
        <v>52.125</v>
      </c>
      <c r="AR111" s="28"/>
      <c r="AS111" s="28"/>
      <c r="AT111" s="28"/>
      <c r="AU111" s="28"/>
      <c r="AV111" s="28"/>
      <c r="AW111" s="28"/>
      <c r="AX111" s="28"/>
      <c r="AY111" s="28"/>
      <c r="AZ111" s="28">
        <v>8.4749999999999996</v>
      </c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>
        <v>6.75</v>
      </c>
      <c r="BL111" s="28"/>
      <c r="BM111" s="28"/>
      <c r="BN111" s="28">
        <v>6.75</v>
      </c>
      <c r="BO111" s="28"/>
      <c r="BP111" s="28"/>
      <c r="BQ111" s="28"/>
      <c r="BR111" s="28"/>
      <c r="BS111" s="28"/>
      <c r="BT111" s="28"/>
      <c r="BU111" s="28"/>
      <c r="BV111" s="28">
        <v>0.9</v>
      </c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9" t="str">
        <f>IFERROR(SUMPRODUCT(G111:CI111,'🏭 원료 마스터'!$C$4:$C$84),"")</f>
        <v/>
      </c>
      <c r="CL111" t="s">
        <v>237</v>
      </c>
    </row>
    <row r="112" spans="1:90" ht="18" customHeight="1">
      <c r="A112" s="11">
        <v>108</v>
      </c>
      <c r="B112" s="25">
        <v>45999</v>
      </c>
      <c r="C112" s="26" t="s">
        <v>146</v>
      </c>
      <c r="D112" s="27">
        <v>18</v>
      </c>
      <c r="E112" s="11"/>
      <c r="F112" s="11"/>
      <c r="G112" s="30"/>
      <c r="H112" s="30"/>
      <c r="I112" s="30"/>
      <c r="J112" s="30">
        <v>0.216</v>
      </c>
      <c r="K112" s="30">
        <v>0.41399999999999998</v>
      </c>
      <c r="L112" s="30">
        <v>5.3999999999999999E-2</v>
      </c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>
        <v>0.216</v>
      </c>
      <c r="AC112" s="30">
        <v>0.108</v>
      </c>
      <c r="AD112" s="30"/>
      <c r="AE112" s="30"/>
      <c r="AF112" s="30"/>
      <c r="AG112" s="30"/>
      <c r="AH112" s="30">
        <v>0.216</v>
      </c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>
        <v>0.73799999999999999</v>
      </c>
      <c r="AU112" s="30"/>
      <c r="AV112" s="30"/>
      <c r="AW112" s="30"/>
      <c r="AX112" s="30"/>
      <c r="AY112" s="30"/>
      <c r="AZ112" s="30">
        <v>1.5660000000000001</v>
      </c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>
        <v>3.1320000000000001</v>
      </c>
      <c r="BO112" s="30"/>
      <c r="BP112" s="30"/>
      <c r="BQ112" s="30"/>
      <c r="BR112" s="30"/>
      <c r="BS112" s="30"/>
      <c r="BT112" s="30"/>
      <c r="BU112" s="30">
        <v>10.44</v>
      </c>
      <c r="BV112" s="30">
        <v>0.108</v>
      </c>
      <c r="BW112" s="30"/>
      <c r="BX112" s="30"/>
      <c r="BY112" s="30">
        <v>0.14399999999999999</v>
      </c>
      <c r="BZ112" s="30">
        <v>0.216</v>
      </c>
      <c r="CA112" s="30"/>
      <c r="CB112" s="30"/>
      <c r="CC112" s="30">
        <v>0.216</v>
      </c>
      <c r="CD112" s="30">
        <v>0.216</v>
      </c>
      <c r="CE112" s="30"/>
      <c r="CF112" s="30"/>
      <c r="CG112" s="30"/>
      <c r="CH112" s="30"/>
      <c r="CI112" s="30"/>
      <c r="CJ112" s="29" t="str">
        <f>IFERROR(SUMPRODUCT(G112:CI112,'🏭 원료 마스터'!$C$4:$C$84),"")</f>
        <v/>
      </c>
      <c r="CL112" t="s">
        <v>237</v>
      </c>
    </row>
    <row r="113" spans="1:90" ht="18" customHeight="1">
      <c r="A113" s="7">
        <v>109</v>
      </c>
      <c r="B113" s="25">
        <v>45999</v>
      </c>
      <c r="C113" s="26" t="s">
        <v>147</v>
      </c>
      <c r="D113" s="27">
        <v>18</v>
      </c>
      <c r="E113" s="7"/>
      <c r="F113" s="7"/>
      <c r="G113" s="28">
        <v>0.28799999999999998</v>
      </c>
      <c r="H113" s="28"/>
      <c r="I113" s="28"/>
      <c r="J113" s="28">
        <v>0.30599999999999999</v>
      </c>
      <c r="K113" s="28"/>
      <c r="L113" s="28">
        <v>5.3999999999999999E-2</v>
      </c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>
        <v>0.52200000000000002</v>
      </c>
      <c r="AH113" s="28">
        <v>0.216</v>
      </c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>
        <v>0.73799999999999999</v>
      </c>
      <c r="AU113" s="28"/>
      <c r="AV113" s="28"/>
      <c r="AW113" s="28"/>
      <c r="AX113" s="28"/>
      <c r="AY113" s="28"/>
      <c r="AZ113" s="28">
        <v>1.548</v>
      </c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>
        <v>3.1139999999999999</v>
      </c>
      <c r="BO113" s="28"/>
      <c r="BP113" s="28"/>
      <c r="BQ113" s="28"/>
      <c r="BR113" s="28"/>
      <c r="BS113" s="28"/>
      <c r="BT113" s="28"/>
      <c r="BU113" s="28">
        <v>10.368</v>
      </c>
      <c r="BV113" s="28">
        <v>0.09</v>
      </c>
      <c r="BW113" s="28"/>
      <c r="BX113" s="28"/>
      <c r="BY113" s="28">
        <v>0.108</v>
      </c>
      <c r="BZ113" s="28">
        <v>0.216</v>
      </c>
      <c r="CA113" s="28"/>
      <c r="CB113" s="28"/>
      <c r="CC113" s="28">
        <v>0.216</v>
      </c>
      <c r="CD113" s="28">
        <v>0.216</v>
      </c>
      <c r="CE113" s="28"/>
      <c r="CF113" s="28"/>
      <c r="CG113" s="28"/>
      <c r="CH113" s="28"/>
      <c r="CI113" s="28"/>
      <c r="CJ113" s="29" t="str">
        <f>IFERROR(SUMPRODUCT(G113:CI113,'🏭 원료 마스터'!$C$4:$C$84),"")</f>
        <v/>
      </c>
      <c r="CL113" t="s">
        <v>237</v>
      </c>
    </row>
    <row r="114" spans="1:90" ht="18" customHeight="1">
      <c r="A114" s="11">
        <v>110</v>
      </c>
      <c r="B114" s="25">
        <v>46000</v>
      </c>
      <c r="C114" s="26" t="s">
        <v>144</v>
      </c>
      <c r="D114" s="27">
        <v>140</v>
      </c>
      <c r="E114" s="11"/>
      <c r="F114" s="1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>
        <v>4.2</v>
      </c>
      <c r="AL114" s="30"/>
      <c r="AM114" s="30"/>
      <c r="AN114" s="30"/>
      <c r="AO114" s="30"/>
      <c r="AP114" s="30"/>
      <c r="AQ114" s="30"/>
      <c r="AR114" s="30"/>
      <c r="AS114" s="30">
        <v>6.58</v>
      </c>
      <c r="AT114" s="30"/>
      <c r="AU114" s="30"/>
      <c r="AV114" s="30"/>
      <c r="AW114" s="30"/>
      <c r="AX114" s="30"/>
      <c r="AY114" s="30"/>
      <c r="AZ114" s="30">
        <v>6.58</v>
      </c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>
        <v>53.06</v>
      </c>
      <c r="BO114" s="30"/>
      <c r="BP114" s="30"/>
      <c r="BQ114" s="30"/>
      <c r="BR114" s="30"/>
      <c r="BS114" s="30">
        <v>1.26</v>
      </c>
      <c r="BT114" s="30"/>
      <c r="BU114" s="30">
        <v>66.5</v>
      </c>
      <c r="BV114" s="30">
        <v>1.26</v>
      </c>
      <c r="BW114" s="30"/>
      <c r="BX114" s="30"/>
      <c r="BY114" s="30"/>
      <c r="BZ114" s="30"/>
      <c r="CA114" s="30"/>
      <c r="CB114" s="30"/>
      <c r="CC114" s="30"/>
      <c r="CD114" s="30"/>
      <c r="CE114" s="30">
        <v>0.56000000000000005</v>
      </c>
      <c r="CF114" s="30"/>
      <c r="CG114" s="30"/>
      <c r="CH114" s="30"/>
      <c r="CI114" s="30"/>
      <c r="CJ114" s="29" t="str">
        <f>IFERROR(SUMPRODUCT(G114:CI114,'🏭 원료 마스터'!$C$4:$C$84),"")</f>
        <v/>
      </c>
      <c r="CL114" t="s">
        <v>237</v>
      </c>
    </row>
    <row r="115" spans="1:90" ht="18" customHeight="1">
      <c r="A115" s="7">
        <v>111</v>
      </c>
      <c r="B115" s="25">
        <v>46000</v>
      </c>
      <c r="C115" s="26" t="s">
        <v>222</v>
      </c>
      <c r="D115" s="27">
        <v>70</v>
      </c>
      <c r="E115" s="7"/>
      <c r="F115" s="7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>
        <v>4.9000000000000004</v>
      </c>
      <c r="V115" s="28"/>
      <c r="W115" s="28"/>
      <c r="X115" s="28">
        <v>3.92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>
        <v>5.25</v>
      </c>
      <c r="AJ115" s="28"/>
      <c r="AK115" s="28"/>
      <c r="AL115" s="28"/>
      <c r="AM115" s="28"/>
      <c r="AN115" s="28"/>
      <c r="AO115" s="28"/>
      <c r="AP115" s="28"/>
      <c r="AQ115" s="28"/>
      <c r="AR115" s="28"/>
      <c r="AS115" s="28">
        <v>1.96</v>
      </c>
      <c r="AT115" s="28"/>
      <c r="AU115" s="28"/>
      <c r="AV115" s="28"/>
      <c r="AW115" s="28"/>
      <c r="AX115" s="28"/>
      <c r="AY115" s="28"/>
      <c r="AZ115" s="28">
        <v>1.96</v>
      </c>
      <c r="BA115" s="28"/>
      <c r="BB115" s="28"/>
      <c r="BC115" s="28"/>
      <c r="BD115" s="28"/>
      <c r="BE115" s="28">
        <v>2.17</v>
      </c>
      <c r="BF115" s="28"/>
      <c r="BG115" s="28"/>
      <c r="BH115" s="28"/>
      <c r="BI115" s="28"/>
      <c r="BJ115" s="28"/>
      <c r="BK115" s="28"/>
      <c r="BL115" s="28"/>
      <c r="BM115" s="28"/>
      <c r="BN115" s="28">
        <v>7.9589999999999996</v>
      </c>
      <c r="BO115" s="28"/>
      <c r="BP115" s="28">
        <v>21.49</v>
      </c>
      <c r="BQ115" s="28"/>
      <c r="BR115" s="28"/>
      <c r="BS115" s="28">
        <v>0.42</v>
      </c>
      <c r="BT115" s="28"/>
      <c r="BU115" s="28">
        <v>19.46</v>
      </c>
      <c r="BV115" s="28">
        <v>0.35</v>
      </c>
      <c r="BW115" s="28"/>
      <c r="BX115" s="28"/>
      <c r="BY115" s="28"/>
      <c r="BZ115" s="28"/>
      <c r="CA115" s="28"/>
      <c r="CB115" s="28"/>
      <c r="CC115" s="28"/>
      <c r="CD115" s="28"/>
      <c r="CE115" s="28">
        <v>0.161</v>
      </c>
      <c r="CF115" s="28"/>
      <c r="CG115" s="28"/>
      <c r="CH115" s="28"/>
      <c r="CI115" s="28"/>
      <c r="CJ115" s="29" t="str">
        <f>IFERROR(SUMPRODUCT(G115:CI115,'🏭 원료 마스터'!$C$4:$C$84),"")</f>
        <v/>
      </c>
      <c r="CL115" t="s">
        <v>237</v>
      </c>
    </row>
    <row r="116" spans="1:90" ht="18" customHeight="1">
      <c r="A116" s="11">
        <v>112</v>
      </c>
      <c r="B116" s="25">
        <v>46000</v>
      </c>
      <c r="C116" s="26" t="s">
        <v>205</v>
      </c>
      <c r="D116" s="27">
        <v>140</v>
      </c>
      <c r="E116" s="11"/>
      <c r="F116" s="1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>
        <v>2.8</v>
      </c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>
        <v>17.36</v>
      </c>
      <c r="AJ116" s="30"/>
      <c r="AK116" s="30">
        <v>3.78</v>
      </c>
      <c r="AL116" s="30"/>
      <c r="AM116" s="30"/>
      <c r="AN116" s="30"/>
      <c r="AO116" s="30"/>
      <c r="AP116" s="30"/>
      <c r="AQ116" s="30"/>
      <c r="AR116" s="30"/>
      <c r="AS116" s="30">
        <v>2.8</v>
      </c>
      <c r="AT116" s="30"/>
      <c r="AU116" s="30"/>
      <c r="AV116" s="30"/>
      <c r="AW116" s="30"/>
      <c r="AX116" s="30"/>
      <c r="AY116" s="30"/>
      <c r="AZ116" s="30">
        <v>2.8</v>
      </c>
      <c r="BA116" s="30"/>
      <c r="BB116" s="30"/>
      <c r="BC116" s="30"/>
      <c r="BD116" s="30"/>
      <c r="BE116" s="30">
        <v>1.4</v>
      </c>
      <c r="BF116" s="30"/>
      <c r="BG116" s="30"/>
      <c r="BH116" s="30"/>
      <c r="BI116" s="30"/>
      <c r="BJ116" s="30"/>
      <c r="BK116" s="30"/>
      <c r="BL116" s="30"/>
      <c r="BM116" s="30"/>
      <c r="BN116" s="30">
        <v>16.239999999999998</v>
      </c>
      <c r="BO116" s="30"/>
      <c r="BP116" s="30">
        <v>34.72</v>
      </c>
      <c r="BQ116" s="30"/>
      <c r="BR116" s="30"/>
      <c r="BS116" s="30">
        <v>1.26</v>
      </c>
      <c r="BT116" s="30"/>
      <c r="BU116" s="30">
        <v>55.44</v>
      </c>
      <c r="BV116" s="30">
        <v>0.98</v>
      </c>
      <c r="BW116" s="30"/>
      <c r="BX116" s="30"/>
      <c r="BY116" s="30"/>
      <c r="BZ116" s="30"/>
      <c r="CA116" s="30"/>
      <c r="CB116" s="30"/>
      <c r="CC116" s="30"/>
      <c r="CD116" s="30"/>
      <c r="CE116" s="30">
        <v>0.42</v>
      </c>
      <c r="CF116" s="30"/>
      <c r="CG116" s="30"/>
      <c r="CH116" s="30"/>
      <c r="CI116" s="30"/>
      <c r="CJ116" s="29" t="str">
        <f>IFERROR(SUMPRODUCT(G116:CI116,'🏭 원료 마스터'!$C$4:$C$84),"")</f>
        <v/>
      </c>
      <c r="CL116" t="s">
        <v>237</v>
      </c>
    </row>
    <row r="117" spans="1:90" ht="18" customHeight="1">
      <c r="A117" s="7">
        <v>113</v>
      </c>
      <c r="B117" s="25">
        <v>46002</v>
      </c>
      <c r="C117" s="26" t="s">
        <v>204</v>
      </c>
      <c r="D117" s="27">
        <v>70</v>
      </c>
      <c r="E117" s="7"/>
      <c r="F117" s="7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>
        <v>2.31</v>
      </c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>
        <v>2.1</v>
      </c>
      <c r="AL117" s="28"/>
      <c r="AM117" s="28"/>
      <c r="AN117" s="28"/>
      <c r="AO117" s="28"/>
      <c r="AP117" s="28"/>
      <c r="AQ117" s="28"/>
      <c r="AR117" s="28"/>
      <c r="AS117" s="28">
        <v>1.54</v>
      </c>
      <c r="AT117" s="28"/>
      <c r="AU117" s="28"/>
      <c r="AV117" s="28"/>
      <c r="AW117" s="28"/>
      <c r="AX117" s="28"/>
      <c r="AY117" s="28"/>
      <c r="AZ117" s="28">
        <v>1.54</v>
      </c>
      <c r="BA117" s="28"/>
      <c r="BB117" s="28"/>
      <c r="BC117" s="28"/>
      <c r="BD117" s="28"/>
      <c r="BE117" s="28">
        <v>0.77</v>
      </c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>
        <v>29.12</v>
      </c>
      <c r="BR117" s="28"/>
      <c r="BS117" s="28">
        <v>0.7</v>
      </c>
      <c r="BT117" s="28"/>
      <c r="BU117" s="28">
        <v>31.08</v>
      </c>
      <c r="BV117" s="28">
        <v>0.56000000000000005</v>
      </c>
      <c r="BW117" s="28"/>
      <c r="BX117" s="28"/>
      <c r="BY117" s="28"/>
      <c r="BZ117" s="28"/>
      <c r="CA117" s="28"/>
      <c r="CB117" s="28"/>
      <c r="CC117" s="28"/>
      <c r="CD117" s="28"/>
      <c r="CE117" s="28">
        <v>0.28000000000000003</v>
      </c>
      <c r="CF117" s="28"/>
      <c r="CG117" s="28"/>
      <c r="CH117" s="28"/>
      <c r="CI117" s="28"/>
      <c r="CJ117" s="29" t="str">
        <f>IFERROR(SUMPRODUCT(G117:CI117,'🏭 원료 마스터'!$C$4:$C$84),"")</f>
        <v/>
      </c>
      <c r="CL117" t="s">
        <v>237</v>
      </c>
    </row>
    <row r="118" spans="1:90" ht="18" customHeight="1">
      <c r="A118" s="11">
        <v>114</v>
      </c>
      <c r="B118" s="25">
        <v>46002</v>
      </c>
      <c r="C118" s="26" t="s">
        <v>206</v>
      </c>
      <c r="D118" s="27">
        <v>70</v>
      </c>
      <c r="E118" s="11"/>
      <c r="F118" s="1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>
        <v>3.339</v>
      </c>
      <c r="AT118" s="30"/>
      <c r="AU118" s="30"/>
      <c r="AV118" s="30"/>
      <c r="AW118" s="30"/>
      <c r="AX118" s="30"/>
      <c r="AY118" s="30"/>
      <c r="AZ118" s="30">
        <v>3.339</v>
      </c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>
        <v>28.427</v>
      </c>
      <c r="BO118" s="30"/>
      <c r="BP118" s="30"/>
      <c r="BQ118" s="30"/>
      <c r="BR118" s="30"/>
      <c r="BS118" s="30">
        <v>0.67900000000000005</v>
      </c>
      <c r="BT118" s="30"/>
      <c r="BU118" s="30">
        <v>33.334000000000003</v>
      </c>
      <c r="BV118" s="30">
        <v>0.60199999999999998</v>
      </c>
      <c r="BW118" s="30"/>
      <c r="BX118" s="30"/>
      <c r="BY118" s="30"/>
      <c r="BZ118" s="30"/>
      <c r="CA118" s="30"/>
      <c r="CB118" s="30"/>
      <c r="CC118" s="30"/>
      <c r="CD118" s="30"/>
      <c r="CE118" s="30">
        <v>0.28000000000000003</v>
      </c>
      <c r="CF118" s="30"/>
      <c r="CG118" s="30"/>
      <c r="CH118" s="30"/>
      <c r="CI118" s="30"/>
      <c r="CJ118" s="29" t="str">
        <f>IFERROR(SUMPRODUCT(G118:CI118,'🏭 원료 마스터'!$C$4:$C$84),"")</f>
        <v/>
      </c>
      <c r="CL118" t="s">
        <v>237</v>
      </c>
    </row>
    <row r="119" spans="1:90" ht="18" customHeight="1">
      <c r="A119" s="7">
        <v>115</v>
      </c>
      <c r="B119" s="25">
        <v>46002</v>
      </c>
      <c r="C119" s="26" t="s">
        <v>155</v>
      </c>
      <c r="D119" s="27">
        <v>35</v>
      </c>
      <c r="E119" s="7"/>
      <c r="F119" s="7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>
        <v>1.5049999999999999</v>
      </c>
      <c r="AQ119" s="28"/>
      <c r="AR119" s="28"/>
      <c r="AS119" s="28">
        <v>0.73499999999999999</v>
      </c>
      <c r="AT119" s="28">
        <v>0.28000000000000003</v>
      </c>
      <c r="AU119" s="28"/>
      <c r="AV119" s="28"/>
      <c r="AW119" s="28"/>
      <c r="AX119" s="28"/>
      <c r="AY119" s="28"/>
      <c r="AZ119" s="28">
        <v>0.73499999999999999</v>
      </c>
      <c r="BA119" s="28"/>
      <c r="BB119" s="28"/>
      <c r="BC119" s="28"/>
      <c r="BD119" s="28"/>
      <c r="BE119" s="28"/>
      <c r="BF119" s="28"/>
      <c r="BG119" s="28"/>
      <c r="BH119" s="28"/>
      <c r="BI119" s="28">
        <v>1.1200000000000001</v>
      </c>
      <c r="BJ119" s="28"/>
      <c r="BK119" s="28"/>
      <c r="BL119" s="28"/>
      <c r="BM119" s="28"/>
      <c r="BN119" s="28"/>
      <c r="BO119" s="28"/>
      <c r="BP119" s="28"/>
      <c r="BQ119" s="28">
        <v>14.035</v>
      </c>
      <c r="BR119" s="28"/>
      <c r="BS119" s="28">
        <v>7.0000000000000007E-2</v>
      </c>
      <c r="BT119" s="28"/>
      <c r="BU119" s="28">
        <v>15.05</v>
      </c>
      <c r="BV119" s="28">
        <v>0.245</v>
      </c>
      <c r="BW119" s="28"/>
      <c r="BX119" s="28"/>
      <c r="BY119" s="28"/>
      <c r="BZ119" s="28"/>
      <c r="CA119" s="28"/>
      <c r="CB119" s="28"/>
      <c r="CC119" s="28">
        <v>1.1200000000000001</v>
      </c>
      <c r="CD119" s="28"/>
      <c r="CE119" s="28">
        <v>0.105</v>
      </c>
      <c r="CF119" s="28"/>
      <c r="CG119" s="28"/>
      <c r="CH119" s="28"/>
      <c r="CI119" s="28"/>
      <c r="CJ119" s="29" t="str">
        <f>IFERROR(SUMPRODUCT(G119:CI119,'🏭 원료 마스터'!$C$4:$C$84),"")</f>
        <v/>
      </c>
      <c r="CL119" t="s">
        <v>237</v>
      </c>
    </row>
    <row r="120" spans="1:90" ht="18" customHeight="1">
      <c r="A120" s="11">
        <v>116</v>
      </c>
      <c r="B120" s="25">
        <v>46002</v>
      </c>
      <c r="C120" s="26" t="s">
        <v>190</v>
      </c>
      <c r="D120" s="27">
        <v>35</v>
      </c>
      <c r="E120" s="11"/>
      <c r="F120" s="1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>
        <v>0.84</v>
      </c>
      <c r="AC120" s="30">
        <v>0.56000000000000005</v>
      </c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>
        <v>0.245</v>
      </c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>
        <v>1.155</v>
      </c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>
        <v>28.49</v>
      </c>
      <c r="BV120" s="30"/>
      <c r="BW120" s="30"/>
      <c r="BX120" s="30"/>
      <c r="BY120" s="30"/>
      <c r="BZ120" s="30">
        <v>0.7</v>
      </c>
      <c r="CA120" s="30"/>
      <c r="CB120" s="30"/>
      <c r="CC120" s="30">
        <v>1.19</v>
      </c>
      <c r="CD120" s="30">
        <v>0.7</v>
      </c>
      <c r="CE120" s="30"/>
      <c r="CF120" s="30">
        <v>1.1200000000000001</v>
      </c>
      <c r="CG120" s="30"/>
      <c r="CH120" s="30"/>
      <c r="CI120" s="30"/>
      <c r="CJ120" s="29" t="str">
        <f>IFERROR(SUMPRODUCT(G120:CI120,'🏭 원료 마스터'!$C$4:$C$84),"")</f>
        <v/>
      </c>
      <c r="CL120" t="s">
        <v>237</v>
      </c>
    </row>
    <row r="121" spans="1:90" ht="18" customHeight="1">
      <c r="A121" s="7">
        <v>117</v>
      </c>
      <c r="B121" s="25">
        <v>46002</v>
      </c>
      <c r="C121" s="26" t="s">
        <v>207</v>
      </c>
      <c r="D121" s="27">
        <v>70</v>
      </c>
      <c r="E121" s="7"/>
      <c r="F121" s="7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>
        <v>2.1</v>
      </c>
      <c r="AL121" s="28"/>
      <c r="AM121" s="28"/>
      <c r="AN121" s="28"/>
      <c r="AO121" s="28"/>
      <c r="AP121" s="28"/>
      <c r="AQ121" s="28"/>
      <c r="AR121" s="28"/>
      <c r="AS121" s="28">
        <v>3.29</v>
      </c>
      <c r="AT121" s="28"/>
      <c r="AU121" s="28"/>
      <c r="AV121" s="28"/>
      <c r="AW121" s="28"/>
      <c r="AX121" s="28"/>
      <c r="AY121" s="28"/>
      <c r="AZ121" s="28">
        <v>3.29</v>
      </c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>
        <v>26.53</v>
      </c>
      <c r="BO121" s="28"/>
      <c r="BP121" s="28"/>
      <c r="BQ121" s="28"/>
      <c r="BR121" s="28"/>
      <c r="BS121" s="28">
        <v>0.63</v>
      </c>
      <c r="BT121" s="28"/>
      <c r="BU121" s="28">
        <v>33.25</v>
      </c>
      <c r="BV121" s="28">
        <v>0.63</v>
      </c>
      <c r="BW121" s="28"/>
      <c r="BX121" s="28"/>
      <c r="BY121" s="28"/>
      <c r="BZ121" s="28"/>
      <c r="CA121" s="28"/>
      <c r="CB121" s="28"/>
      <c r="CC121" s="28"/>
      <c r="CD121" s="28"/>
      <c r="CE121" s="28">
        <v>0.28000000000000003</v>
      </c>
      <c r="CF121" s="28"/>
      <c r="CG121" s="28"/>
      <c r="CH121" s="28"/>
      <c r="CI121" s="28"/>
      <c r="CJ121" s="29" t="str">
        <f>IFERROR(SUMPRODUCT(G121:CI121,'🏭 원료 마스터'!$C$4:$C$84),"")</f>
        <v/>
      </c>
      <c r="CL121" t="s">
        <v>237</v>
      </c>
    </row>
    <row r="122" spans="1:90" ht="18" customHeight="1">
      <c r="A122" s="11">
        <v>118</v>
      </c>
      <c r="B122" s="25">
        <v>46006</v>
      </c>
      <c r="C122" s="26" t="s">
        <v>183</v>
      </c>
      <c r="D122" s="27">
        <v>70</v>
      </c>
      <c r="E122" s="11"/>
      <c r="F122" s="1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>
        <v>1.68</v>
      </c>
      <c r="AT122" s="30"/>
      <c r="AU122" s="30"/>
      <c r="AV122" s="30"/>
      <c r="AW122" s="30"/>
      <c r="AX122" s="30"/>
      <c r="AY122" s="30"/>
      <c r="AZ122" s="30">
        <v>1.68</v>
      </c>
      <c r="BA122" s="30"/>
      <c r="BB122" s="30"/>
      <c r="BC122" s="30"/>
      <c r="BD122" s="30"/>
      <c r="BE122" s="30"/>
      <c r="BF122" s="30"/>
      <c r="BG122" s="30"/>
      <c r="BH122" s="30"/>
      <c r="BI122" s="30">
        <v>0.84</v>
      </c>
      <c r="BJ122" s="30"/>
      <c r="BK122" s="30"/>
      <c r="BL122" s="30"/>
      <c r="BM122" s="30"/>
      <c r="BN122" s="30"/>
      <c r="BO122" s="30"/>
      <c r="BP122" s="30"/>
      <c r="BQ122" s="30">
        <v>31.36</v>
      </c>
      <c r="BR122" s="30"/>
      <c r="BS122" s="30">
        <v>0.14000000000000001</v>
      </c>
      <c r="BT122" s="30"/>
      <c r="BU122" s="30">
        <v>33.46</v>
      </c>
      <c r="BV122" s="30">
        <v>0.56000000000000005</v>
      </c>
      <c r="BW122" s="30"/>
      <c r="BX122" s="30"/>
      <c r="BY122" s="30"/>
      <c r="BZ122" s="30"/>
      <c r="CA122" s="30"/>
      <c r="CB122" s="30"/>
      <c r="CC122" s="30"/>
      <c r="CD122" s="30"/>
      <c r="CE122" s="30">
        <v>0.28000000000000003</v>
      </c>
      <c r="CF122" s="30"/>
      <c r="CG122" s="30"/>
      <c r="CH122" s="30"/>
      <c r="CI122" s="30"/>
      <c r="CJ122" s="29" t="str">
        <f>IFERROR(SUMPRODUCT(G122:CI122,'🏭 원료 마스터'!$C$4:$C$84),"")</f>
        <v/>
      </c>
      <c r="CL122" t="s">
        <v>237</v>
      </c>
    </row>
    <row r="123" spans="1:90" ht="18" customHeight="1">
      <c r="A123" s="7">
        <v>119</v>
      </c>
      <c r="B123" s="25">
        <v>46006</v>
      </c>
      <c r="C123" s="26" t="s">
        <v>179</v>
      </c>
      <c r="D123" s="27">
        <v>70</v>
      </c>
      <c r="E123" s="7"/>
      <c r="F123" s="7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>
        <v>6.16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>
        <v>3.08</v>
      </c>
      <c r="AT123" s="28"/>
      <c r="AU123" s="28"/>
      <c r="AV123" s="28"/>
      <c r="AW123" s="28"/>
      <c r="AX123" s="28"/>
      <c r="AY123" s="28"/>
      <c r="AZ123" s="28">
        <v>3.08</v>
      </c>
      <c r="BA123" s="28"/>
      <c r="BB123" s="28"/>
      <c r="BC123" s="28"/>
      <c r="BD123" s="28"/>
      <c r="BE123" s="28">
        <v>0.32900000000000001</v>
      </c>
      <c r="BF123" s="28"/>
      <c r="BG123" s="28"/>
      <c r="BH123" s="28"/>
      <c r="BI123" s="28"/>
      <c r="BJ123" s="28"/>
      <c r="BK123" s="28"/>
      <c r="BL123" s="28"/>
      <c r="BM123" s="28"/>
      <c r="BN123" s="28">
        <v>25.123000000000001</v>
      </c>
      <c r="BO123" s="28"/>
      <c r="BP123" s="28"/>
      <c r="BQ123" s="28"/>
      <c r="BR123" s="28"/>
      <c r="BS123" s="28">
        <v>0.63</v>
      </c>
      <c r="BT123" s="28"/>
      <c r="BU123" s="28">
        <v>30.771999999999998</v>
      </c>
      <c r="BV123" s="28">
        <v>0.56000000000000005</v>
      </c>
      <c r="BW123" s="28"/>
      <c r="BX123" s="28"/>
      <c r="BY123" s="28"/>
      <c r="BZ123" s="28"/>
      <c r="CA123" s="28"/>
      <c r="CB123" s="28"/>
      <c r="CC123" s="28"/>
      <c r="CD123" s="28"/>
      <c r="CE123" s="28">
        <v>0.26600000000000001</v>
      </c>
      <c r="CF123" s="28"/>
      <c r="CG123" s="28"/>
      <c r="CH123" s="28"/>
      <c r="CI123" s="28"/>
      <c r="CJ123" s="29" t="str">
        <f>IFERROR(SUMPRODUCT(G123:CI123,'🏭 원료 마스터'!$C$4:$C$84),"")</f>
        <v/>
      </c>
      <c r="CL123" t="s">
        <v>237</v>
      </c>
    </row>
    <row r="124" spans="1:90" ht="18" customHeight="1">
      <c r="A124" s="11">
        <v>120</v>
      </c>
      <c r="B124" s="25">
        <v>46006</v>
      </c>
      <c r="C124" s="26" t="s">
        <v>206</v>
      </c>
      <c r="D124" s="27">
        <v>140</v>
      </c>
      <c r="E124" s="11"/>
      <c r="F124" s="1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>
        <v>6.6779999999999999</v>
      </c>
      <c r="AT124" s="30"/>
      <c r="AU124" s="30"/>
      <c r="AV124" s="30"/>
      <c r="AW124" s="30"/>
      <c r="AX124" s="30"/>
      <c r="AY124" s="30"/>
      <c r="AZ124" s="30">
        <v>6.6779999999999999</v>
      </c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>
        <v>56.853999999999999</v>
      </c>
      <c r="BO124" s="30"/>
      <c r="BP124" s="30"/>
      <c r="BQ124" s="30"/>
      <c r="BR124" s="30"/>
      <c r="BS124" s="30">
        <v>1.3580000000000001</v>
      </c>
      <c r="BT124" s="30"/>
      <c r="BU124" s="30">
        <v>66.668000000000006</v>
      </c>
      <c r="BV124" s="30">
        <v>1.204</v>
      </c>
      <c r="BW124" s="30"/>
      <c r="BX124" s="30"/>
      <c r="BY124" s="30"/>
      <c r="BZ124" s="30"/>
      <c r="CA124" s="30"/>
      <c r="CB124" s="30"/>
      <c r="CC124" s="30"/>
      <c r="CD124" s="30"/>
      <c r="CE124" s="30">
        <v>0.56000000000000005</v>
      </c>
      <c r="CF124" s="30"/>
      <c r="CG124" s="30"/>
      <c r="CH124" s="30"/>
      <c r="CI124" s="30"/>
      <c r="CJ124" s="29" t="str">
        <f>IFERROR(SUMPRODUCT(G124:CI124,'🏭 원료 마스터'!$C$4:$C$84),"")</f>
        <v/>
      </c>
      <c r="CL124" t="s">
        <v>237</v>
      </c>
    </row>
    <row r="125" spans="1:90" ht="18" customHeight="1">
      <c r="A125" s="7">
        <v>121</v>
      </c>
      <c r="B125" s="25">
        <v>46007</v>
      </c>
      <c r="C125" s="26" t="s">
        <v>220</v>
      </c>
      <c r="D125" s="27">
        <v>18</v>
      </c>
      <c r="E125" s="7"/>
      <c r="F125" s="7"/>
      <c r="G125" s="28"/>
      <c r="H125" s="28">
        <v>0.32400000000000001</v>
      </c>
      <c r="I125" s="28"/>
      <c r="J125" s="28"/>
      <c r="K125" s="28"/>
      <c r="L125" s="28">
        <v>7.1999999999999995E-2</v>
      </c>
      <c r="M125" s="28">
        <v>0.32400000000000001</v>
      </c>
      <c r="N125" s="28"/>
      <c r="O125" s="28"/>
      <c r="P125" s="28"/>
      <c r="Q125" s="28"/>
      <c r="R125" s="28"/>
      <c r="S125" s="28"/>
      <c r="T125" s="28"/>
      <c r="U125" s="28"/>
      <c r="V125" s="28">
        <v>0.54</v>
      </c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>
        <v>0.75600000000000001</v>
      </c>
      <c r="AU125" s="28"/>
      <c r="AV125" s="28"/>
      <c r="AW125" s="28"/>
      <c r="AX125" s="28"/>
      <c r="AY125" s="28"/>
      <c r="AZ125" s="28">
        <v>1.6020000000000001</v>
      </c>
      <c r="BA125" s="28"/>
      <c r="BB125" s="28"/>
      <c r="BC125" s="28"/>
      <c r="BD125" s="28"/>
      <c r="BE125" s="28"/>
      <c r="BF125" s="28"/>
      <c r="BG125" s="28"/>
      <c r="BH125" s="28"/>
      <c r="BI125" s="28"/>
      <c r="BJ125" s="28">
        <v>0.32400000000000001</v>
      </c>
      <c r="BK125" s="28"/>
      <c r="BL125" s="28"/>
      <c r="BM125" s="28"/>
      <c r="BN125" s="28">
        <v>3.222</v>
      </c>
      <c r="BO125" s="28"/>
      <c r="BP125" s="28"/>
      <c r="BQ125" s="28"/>
      <c r="BR125" s="28"/>
      <c r="BS125" s="28"/>
      <c r="BT125" s="28"/>
      <c r="BU125" s="28">
        <v>10.728</v>
      </c>
      <c r="BV125" s="28">
        <v>0.108</v>
      </c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9" t="str">
        <f>IFERROR(SUMPRODUCT(G125:CI125,'🏭 원료 마스터'!$C$4:$C$84),"")</f>
        <v/>
      </c>
      <c r="CL125" t="s">
        <v>237</v>
      </c>
    </row>
    <row r="126" spans="1:90" ht="18" customHeight="1">
      <c r="A126" s="11">
        <v>122</v>
      </c>
      <c r="B126" s="25">
        <v>46007</v>
      </c>
      <c r="C126" s="26" t="s">
        <v>142</v>
      </c>
      <c r="D126" s="27">
        <v>18</v>
      </c>
      <c r="E126" s="11"/>
      <c r="F126" s="11"/>
      <c r="G126" s="30"/>
      <c r="H126" s="30">
        <v>0.63</v>
      </c>
      <c r="I126" s="30"/>
      <c r="J126" s="30"/>
      <c r="K126" s="30"/>
      <c r="L126" s="30">
        <v>7.1999999999999995E-2</v>
      </c>
      <c r="M126" s="30">
        <v>0.63</v>
      </c>
      <c r="N126" s="30"/>
      <c r="O126" s="30"/>
      <c r="P126" s="30"/>
      <c r="Q126" s="30">
        <v>0.84599999999999997</v>
      </c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>
        <v>0.75600000000000001</v>
      </c>
      <c r="AU126" s="30"/>
      <c r="AV126" s="30"/>
      <c r="AW126" s="30"/>
      <c r="AX126" s="30"/>
      <c r="AY126" s="30"/>
      <c r="AZ126" s="30">
        <v>1.17</v>
      </c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>
        <v>3.1859999999999999</v>
      </c>
      <c r="BO126" s="30"/>
      <c r="BP126" s="30"/>
      <c r="BQ126" s="30"/>
      <c r="BR126" s="30"/>
      <c r="BS126" s="30"/>
      <c r="BT126" s="30"/>
      <c r="BU126" s="30">
        <v>10.602</v>
      </c>
      <c r="BV126" s="30">
        <v>0.108</v>
      </c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29" t="str">
        <f>IFERROR(SUMPRODUCT(G126:CI126,'🏭 원료 마스터'!$C$4:$C$84),"")</f>
        <v/>
      </c>
      <c r="CL126" t="s">
        <v>237</v>
      </c>
    </row>
    <row r="127" spans="1:90" ht="18" customHeight="1">
      <c r="A127" s="7">
        <v>123</v>
      </c>
      <c r="B127" s="25">
        <v>46007</v>
      </c>
      <c r="C127" s="26" t="s">
        <v>183</v>
      </c>
      <c r="D127" s="27">
        <v>140</v>
      </c>
      <c r="E127" s="7"/>
      <c r="F127" s="7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>
        <v>3.36</v>
      </c>
      <c r="AT127" s="28"/>
      <c r="AU127" s="28"/>
      <c r="AV127" s="28"/>
      <c r="AW127" s="28"/>
      <c r="AX127" s="28"/>
      <c r="AY127" s="28"/>
      <c r="AZ127" s="28">
        <v>3.36</v>
      </c>
      <c r="BA127" s="28"/>
      <c r="BB127" s="28"/>
      <c r="BC127" s="28"/>
      <c r="BD127" s="28"/>
      <c r="BE127" s="28"/>
      <c r="BF127" s="28"/>
      <c r="BG127" s="28"/>
      <c r="BH127" s="28"/>
      <c r="BI127" s="28">
        <v>1.68</v>
      </c>
      <c r="BJ127" s="28"/>
      <c r="BK127" s="28"/>
      <c r="BL127" s="28"/>
      <c r="BM127" s="28"/>
      <c r="BN127" s="28"/>
      <c r="BO127" s="28"/>
      <c r="BP127" s="28"/>
      <c r="BQ127" s="28">
        <v>62.72</v>
      </c>
      <c r="BR127" s="28"/>
      <c r="BS127" s="28">
        <v>0.28000000000000003</v>
      </c>
      <c r="BT127" s="28"/>
      <c r="BU127" s="28">
        <v>66.92</v>
      </c>
      <c r="BV127" s="28">
        <v>1.1200000000000001</v>
      </c>
      <c r="BW127" s="28"/>
      <c r="BX127" s="28"/>
      <c r="BY127" s="28"/>
      <c r="BZ127" s="28"/>
      <c r="CA127" s="28"/>
      <c r="CB127" s="28"/>
      <c r="CC127" s="28"/>
      <c r="CD127" s="28"/>
      <c r="CE127" s="28">
        <v>0.56000000000000005</v>
      </c>
      <c r="CF127" s="28"/>
      <c r="CG127" s="28"/>
      <c r="CH127" s="28"/>
      <c r="CI127" s="28"/>
      <c r="CJ127" s="29" t="str">
        <f>IFERROR(SUMPRODUCT(G127:CI127,'🏭 원료 마스터'!$C$4:$C$84),"")</f>
        <v/>
      </c>
      <c r="CL127" t="s">
        <v>237</v>
      </c>
    </row>
    <row r="128" spans="1:90" ht="18" customHeight="1">
      <c r="A128" s="11">
        <v>124</v>
      </c>
      <c r="B128" s="25">
        <v>46007</v>
      </c>
      <c r="C128" s="26" t="s">
        <v>179</v>
      </c>
      <c r="D128" s="27">
        <v>70</v>
      </c>
      <c r="E128" s="11"/>
      <c r="F128" s="1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>
        <v>6.16</v>
      </c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>
        <v>3.08</v>
      </c>
      <c r="AT128" s="30"/>
      <c r="AU128" s="30"/>
      <c r="AV128" s="30"/>
      <c r="AW128" s="30"/>
      <c r="AX128" s="30"/>
      <c r="AY128" s="30"/>
      <c r="AZ128" s="30">
        <v>3.08</v>
      </c>
      <c r="BA128" s="30"/>
      <c r="BB128" s="30"/>
      <c r="BC128" s="30"/>
      <c r="BD128" s="30"/>
      <c r="BE128" s="30">
        <v>0.32900000000000001</v>
      </c>
      <c r="BF128" s="30"/>
      <c r="BG128" s="30"/>
      <c r="BH128" s="30"/>
      <c r="BI128" s="30"/>
      <c r="BJ128" s="30"/>
      <c r="BK128" s="30"/>
      <c r="BL128" s="30"/>
      <c r="BM128" s="30"/>
      <c r="BN128" s="30">
        <v>25.123000000000001</v>
      </c>
      <c r="BO128" s="30"/>
      <c r="BP128" s="30"/>
      <c r="BQ128" s="30"/>
      <c r="BR128" s="30"/>
      <c r="BS128" s="30">
        <v>0.63</v>
      </c>
      <c r="BT128" s="30"/>
      <c r="BU128" s="30">
        <v>30.771999999999998</v>
      </c>
      <c r="BV128" s="30">
        <v>0.56000000000000005</v>
      </c>
      <c r="BW128" s="30"/>
      <c r="BX128" s="30"/>
      <c r="BY128" s="30"/>
      <c r="BZ128" s="30"/>
      <c r="CA128" s="30"/>
      <c r="CB128" s="30"/>
      <c r="CC128" s="30"/>
      <c r="CD128" s="30"/>
      <c r="CE128" s="30">
        <v>0.26600000000000001</v>
      </c>
      <c r="CF128" s="30"/>
      <c r="CG128" s="30"/>
      <c r="CH128" s="30"/>
      <c r="CI128" s="30"/>
      <c r="CJ128" s="29" t="str">
        <f>IFERROR(SUMPRODUCT(G128:CI128,'🏭 원료 마스터'!$C$4:$C$84),"")</f>
        <v/>
      </c>
      <c r="CL128" t="s">
        <v>237</v>
      </c>
    </row>
    <row r="129" spans="1:90" ht="18" customHeight="1">
      <c r="A129" s="7">
        <v>125</v>
      </c>
      <c r="B129" s="25">
        <v>46007</v>
      </c>
      <c r="C129" s="26" t="s">
        <v>206</v>
      </c>
      <c r="D129" s="27">
        <v>70</v>
      </c>
      <c r="E129" s="7"/>
      <c r="F129" s="7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>
        <v>3.339</v>
      </c>
      <c r="AT129" s="28"/>
      <c r="AU129" s="28"/>
      <c r="AV129" s="28"/>
      <c r="AW129" s="28"/>
      <c r="AX129" s="28"/>
      <c r="AY129" s="28"/>
      <c r="AZ129" s="28">
        <v>3.339</v>
      </c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>
        <v>28.427</v>
      </c>
      <c r="BO129" s="28"/>
      <c r="BP129" s="28"/>
      <c r="BQ129" s="28"/>
      <c r="BR129" s="28"/>
      <c r="BS129" s="28">
        <v>0.67900000000000005</v>
      </c>
      <c r="BT129" s="28"/>
      <c r="BU129" s="28">
        <v>33.334000000000003</v>
      </c>
      <c r="BV129" s="28">
        <v>0.60199999999999998</v>
      </c>
      <c r="BW129" s="28"/>
      <c r="BX129" s="28"/>
      <c r="BY129" s="28"/>
      <c r="BZ129" s="28"/>
      <c r="CA129" s="28"/>
      <c r="CB129" s="28"/>
      <c r="CC129" s="28"/>
      <c r="CD129" s="28"/>
      <c r="CE129" s="28">
        <v>0.28000000000000003</v>
      </c>
      <c r="CF129" s="28"/>
      <c r="CG129" s="28"/>
      <c r="CH129" s="28"/>
      <c r="CI129" s="28"/>
      <c r="CJ129" s="29" t="str">
        <f>IFERROR(SUMPRODUCT(G129:CI129,'🏭 원료 마스터'!$C$4:$C$84),"")</f>
        <v/>
      </c>
      <c r="CL129" t="s">
        <v>237</v>
      </c>
    </row>
    <row r="130" spans="1:90" ht="18" customHeight="1">
      <c r="A130" s="11">
        <v>126</v>
      </c>
      <c r="B130" s="25">
        <v>46008</v>
      </c>
      <c r="C130" s="26" t="s">
        <v>204</v>
      </c>
      <c r="D130" s="27">
        <v>140</v>
      </c>
      <c r="E130" s="11"/>
      <c r="F130" s="1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>
        <v>4.62</v>
      </c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>
        <v>4.2</v>
      </c>
      <c r="AL130" s="30"/>
      <c r="AM130" s="30"/>
      <c r="AN130" s="30"/>
      <c r="AO130" s="30"/>
      <c r="AP130" s="30"/>
      <c r="AQ130" s="30"/>
      <c r="AR130" s="30"/>
      <c r="AS130" s="30">
        <v>3.08</v>
      </c>
      <c r="AT130" s="30"/>
      <c r="AU130" s="30"/>
      <c r="AV130" s="30"/>
      <c r="AW130" s="30"/>
      <c r="AX130" s="30"/>
      <c r="AY130" s="30"/>
      <c r="AZ130" s="30">
        <v>3.08</v>
      </c>
      <c r="BA130" s="30"/>
      <c r="BB130" s="30"/>
      <c r="BC130" s="30"/>
      <c r="BD130" s="30"/>
      <c r="BE130" s="30">
        <v>1.54</v>
      </c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>
        <v>58.24</v>
      </c>
      <c r="BR130" s="30"/>
      <c r="BS130" s="30">
        <v>1.4</v>
      </c>
      <c r="BT130" s="30"/>
      <c r="BU130" s="30">
        <v>62.16</v>
      </c>
      <c r="BV130" s="30">
        <v>1.1200000000000001</v>
      </c>
      <c r="BW130" s="30"/>
      <c r="BX130" s="30"/>
      <c r="BY130" s="30"/>
      <c r="BZ130" s="30"/>
      <c r="CA130" s="30"/>
      <c r="CB130" s="30"/>
      <c r="CC130" s="30"/>
      <c r="CD130" s="30"/>
      <c r="CE130" s="30">
        <v>0.56000000000000005</v>
      </c>
      <c r="CF130" s="30"/>
      <c r="CG130" s="30"/>
      <c r="CH130" s="30"/>
      <c r="CI130" s="30"/>
      <c r="CJ130" s="29" t="str">
        <f>IFERROR(SUMPRODUCT(G130:CI130,'🏭 원료 마스터'!$C$4:$C$84),"")</f>
        <v/>
      </c>
      <c r="CL130" t="s">
        <v>237</v>
      </c>
    </row>
    <row r="131" spans="1:90" ht="18" customHeight="1">
      <c r="A131" s="7">
        <v>127</v>
      </c>
      <c r="B131" s="25">
        <v>46008</v>
      </c>
      <c r="C131" s="26" t="s">
        <v>209</v>
      </c>
      <c r="D131" s="27">
        <v>70</v>
      </c>
      <c r="E131" s="7"/>
      <c r="F131" s="7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>
        <v>1.89</v>
      </c>
      <c r="AT131" s="28"/>
      <c r="AU131" s="28"/>
      <c r="AV131" s="28"/>
      <c r="AW131" s="28"/>
      <c r="AX131" s="28"/>
      <c r="AY131" s="28"/>
      <c r="AZ131" s="28">
        <v>1.89</v>
      </c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>
        <v>23.562000000000001</v>
      </c>
      <c r="BR131" s="28"/>
      <c r="BS131" s="28">
        <v>0.84</v>
      </c>
      <c r="BT131" s="28"/>
      <c r="BU131" s="28">
        <v>38.15</v>
      </c>
      <c r="BV131" s="28">
        <v>0.7</v>
      </c>
      <c r="BW131" s="28"/>
      <c r="BX131" s="28"/>
      <c r="BY131" s="28"/>
      <c r="BZ131" s="28"/>
      <c r="CA131" s="28"/>
      <c r="CB131" s="28"/>
      <c r="CC131" s="28">
        <v>2.6179999999999999</v>
      </c>
      <c r="CD131" s="28"/>
      <c r="CE131" s="28">
        <v>0.35</v>
      </c>
      <c r="CF131" s="28"/>
      <c r="CG131" s="28"/>
      <c r="CH131" s="28"/>
      <c r="CI131" s="28"/>
      <c r="CJ131" s="29" t="str">
        <f>IFERROR(SUMPRODUCT(G131:CI131,'🏭 원료 마스터'!$C$4:$C$84),"")</f>
        <v/>
      </c>
      <c r="CL131" t="s">
        <v>237</v>
      </c>
    </row>
    <row r="132" spans="1:90" ht="18" customHeight="1">
      <c r="A132" s="11">
        <v>128</v>
      </c>
      <c r="B132" s="25">
        <v>46008</v>
      </c>
      <c r="C132" s="26" t="s">
        <v>155</v>
      </c>
      <c r="D132" s="27">
        <v>70</v>
      </c>
      <c r="E132" s="11"/>
      <c r="F132" s="1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>
        <v>3.01</v>
      </c>
      <c r="AQ132" s="30"/>
      <c r="AR132" s="30"/>
      <c r="AS132" s="30">
        <v>1.47</v>
      </c>
      <c r="AT132" s="30">
        <v>0.56000000000000005</v>
      </c>
      <c r="AU132" s="30"/>
      <c r="AV132" s="30"/>
      <c r="AW132" s="30"/>
      <c r="AX132" s="30"/>
      <c r="AY132" s="30"/>
      <c r="AZ132" s="30">
        <v>1.47</v>
      </c>
      <c r="BA132" s="30"/>
      <c r="BB132" s="30"/>
      <c r="BC132" s="30"/>
      <c r="BD132" s="30"/>
      <c r="BE132" s="30"/>
      <c r="BF132" s="30"/>
      <c r="BG132" s="30"/>
      <c r="BH132" s="30"/>
      <c r="BI132" s="30">
        <v>2.2400000000000002</v>
      </c>
      <c r="BJ132" s="30"/>
      <c r="BK132" s="30"/>
      <c r="BL132" s="30"/>
      <c r="BM132" s="30"/>
      <c r="BN132" s="30"/>
      <c r="BO132" s="30"/>
      <c r="BP132" s="30"/>
      <c r="BQ132" s="30">
        <v>28.07</v>
      </c>
      <c r="BR132" s="30"/>
      <c r="BS132" s="30">
        <v>0.14000000000000001</v>
      </c>
      <c r="BT132" s="30"/>
      <c r="BU132" s="30">
        <v>30.1</v>
      </c>
      <c r="BV132" s="30">
        <v>0.49</v>
      </c>
      <c r="BW132" s="30"/>
      <c r="BX132" s="30"/>
      <c r="BY132" s="30"/>
      <c r="BZ132" s="30"/>
      <c r="CA132" s="30"/>
      <c r="CB132" s="30"/>
      <c r="CC132" s="30">
        <v>2.2400000000000002</v>
      </c>
      <c r="CD132" s="30"/>
      <c r="CE132" s="30">
        <v>0.21</v>
      </c>
      <c r="CF132" s="30"/>
      <c r="CG132" s="30"/>
      <c r="CH132" s="30"/>
      <c r="CI132" s="30"/>
      <c r="CJ132" s="29" t="str">
        <f>IFERROR(SUMPRODUCT(G132:CI132,'🏭 원료 마스터'!$C$4:$C$84),"")</f>
        <v/>
      </c>
      <c r="CL132" t="s">
        <v>237</v>
      </c>
    </row>
    <row r="133" spans="1:90" ht="18" customHeight="1">
      <c r="A133" s="7">
        <v>129</v>
      </c>
      <c r="B133" s="25">
        <v>46009</v>
      </c>
      <c r="C133" s="26" t="s">
        <v>174</v>
      </c>
      <c r="D133" s="27">
        <v>255</v>
      </c>
      <c r="E133" s="7"/>
      <c r="F133" s="7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>
        <v>30.855</v>
      </c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>
        <v>123.42</v>
      </c>
      <c r="AR133" s="28"/>
      <c r="AS133" s="28">
        <v>5.0999999999999996</v>
      </c>
      <c r="AT133" s="28"/>
      <c r="AU133" s="28">
        <v>3.0855000000000001</v>
      </c>
      <c r="AV133" s="28"/>
      <c r="AW133" s="28"/>
      <c r="AX133" s="28"/>
      <c r="AY133" s="28"/>
      <c r="AZ133" s="28"/>
      <c r="BA133" s="28"/>
      <c r="BB133" s="28"/>
      <c r="BC133" s="28"/>
      <c r="BD133" s="28"/>
      <c r="BE133" s="28">
        <v>2.3205</v>
      </c>
      <c r="BF133" s="28"/>
      <c r="BG133" s="28"/>
      <c r="BH133" s="28"/>
      <c r="BI133" s="28"/>
      <c r="BJ133" s="28"/>
      <c r="BK133" s="28"/>
      <c r="BL133" s="28"/>
      <c r="BM133" s="28"/>
      <c r="BN133" s="28">
        <v>84.965999999999994</v>
      </c>
      <c r="BO133" s="28"/>
      <c r="BP133" s="28"/>
      <c r="BQ133" s="28"/>
      <c r="BR133" s="28"/>
      <c r="BS133" s="28"/>
      <c r="BT133" s="28"/>
      <c r="BU133" s="28"/>
      <c r="BV133" s="28">
        <v>2.1675</v>
      </c>
      <c r="BW133" s="28"/>
      <c r="BX133" s="28"/>
      <c r="BY133" s="28">
        <v>3.0855000000000001</v>
      </c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9" t="str">
        <f>IFERROR(SUMPRODUCT(G133:CI133,'🏭 원료 마스터'!$C$4:$C$84),"")</f>
        <v/>
      </c>
      <c r="CL133" t="s">
        <v>237</v>
      </c>
    </row>
    <row r="134" spans="1:90" ht="18" customHeight="1">
      <c r="A134" s="11">
        <v>130</v>
      </c>
      <c r="B134" s="25">
        <v>46010</v>
      </c>
      <c r="C134" s="26" t="s">
        <v>143</v>
      </c>
      <c r="D134" s="27">
        <v>182.5</v>
      </c>
      <c r="E134" s="11"/>
      <c r="F134" s="1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>
        <v>15.33</v>
      </c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>
        <v>122.82250000000001</v>
      </c>
      <c r="AR134" s="30"/>
      <c r="AS134" s="30"/>
      <c r="AT134" s="30"/>
      <c r="AU134" s="30"/>
      <c r="AV134" s="30"/>
      <c r="AW134" s="30">
        <v>4.0149999999999997</v>
      </c>
      <c r="AX134" s="30"/>
      <c r="AY134" s="30"/>
      <c r="AZ134" s="30">
        <v>15.33</v>
      </c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>
        <v>22.995000000000001</v>
      </c>
      <c r="BO134" s="30"/>
      <c r="BP134" s="30"/>
      <c r="BQ134" s="30"/>
      <c r="BR134" s="30"/>
      <c r="BS134" s="30"/>
      <c r="BT134" s="30"/>
      <c r="BU134" s="30"/>
      <c r="BV134" s="30">
        <v>2.0074999999999998</v>
      </c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29" t="str">
        <f>IFERROR(SUMPRODUCT(G134:CI134,'🏭 원료 마스터'!$C$4:$C$84),"")</f>
        <v/>
      </c>
      <c r="CL134" t="s">
        <v>237</v>
      </c>
    </row>
    <row r="135" spans="1:90" ht="18" customHeight="1">
      <c r="A135" s="7">
        <v>131</v>
      </c>
      <c r="B135" s="25">
        <v>46013</v>
      </c>
      <c r="C135" s="26" t="s">
        <v>183</v>
      </c>
      <c r="D135" s="27">
        <v>140</v>
      </c>
      <c r="E135" s="7"/>
      <c r="F135" s="7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>
        <v>3.36</v>
      </c>
      <c r="AT135" s="28"/>
      <c r="AU135" s="28"/>
      <c r="AV135" s="28"/>
      <c r="AW135" s="28"/>
      <c r="AX135" s="28"/>
      <c r="AY135" s="28"/>
      <c r="AZ135" s="28">
        <v>3.36</v>
      </c>
      <c r="BA135" s="28"/>
      <c r="BB135" s="28"/>
      <c r="BC135" s="28"/>
      <c r="BD135" s="28"/>
      <c r="BE135" s="28"/>
      <c r="BF135" s="28"/>
      <c r="BG135" s="28"/>
      <c r="BH135" s="28"/>
      <c r="BI135" s="28">
        <v>1.68</v>
      </c>
      <c r="BJ135" s="28"/>
      <c r="BK135" s="28"/>
      <c r="BL135" s="28"/>
      <c r="BM135" s="28"/>
      <c r="BN135" s="28"/>
      <c r="BO135" s="28"/>
      <c r="BP135" s="28"/>
      <c r="BQ135" s="28">
        <v>62.72</v>
      </c>
      <c r="BR135" s="28"/>
      <c r="BS135" s="28">
        <v>0.28000000000000003</v>
      </c>
      <c r="BT135" s="28"/>
      <c r="BU135" s="28">
        <v>66.92</v>
      </c>
      <c r="BV135" s="28">
        <v>1.1200000000000001</v>
      </c>
      <c r="BW135" s="28"/>
      <c r="BX135" s="28"/>
      <c r="BY135" s="28"/>
      <c r="BZ135" s="28"/>
      <c r="CA135" s="28"/>
      <c r="CB135" s="28"/>
      <c r="CC135" s="28"/>
      <c r="CD135" s="28"/>
      <c r="CE135" s="28">
        <v>0.56000000000000005</v>
      </c>
      <c r="CF135" s="28"/>
      <c r="CG135" s="28"/>
      <c r="CH135" s="28"/>
      <c r="CI135" s="28"/>
      <c r="CJ135" s="29" t="str">
        <f>IFERROR(SUMPRODUCT(G135:CI135,'🏭 원료 마스터'!$C$4:$C$84),"")</f>
        <v/>
      </c>
      <c r="CL135" t="s">
        <v>237</v>
      </c>
    </row>
    <row r="136" spans="1:90" ht="18" customHeight="1">
      <c r="A136" s="11">
        <v>132</v>
      </c>
      <c r="B136" s="25">
        <v>46013</v>
      </c>
      <c r="C136" s="26" t="s">
        <v>144</v>
      </c>
      <c r="D136" s="27">
        <v>140</v>
      </c>
      <c r="E136" s="11"/>
      <c r="F136" s="1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>
        <v>4.2</v>
      </c>
      <c r="AL136" s="30"/>
      <c r="AM136" s="30"/>
      <c r="AN136" s="30"/>
      <c r="AO136" s="30"/>
      <c r="AP136" s="30"/>
      <c r="AQ136" s="30"/>
      <c r="AR136" s="30"/>
      <c r="AS136" s="30">
        <v>6.58</v>
      </c>
      <c r="AT136" s="30"/>
      <c r="AU136" s="30"/>
      <c r="AV136" s="30"/>
      <c r="AW136" s="30"/>
      <c r="AX136" s="30"/>
      <c r="AY136" s="30"/>
      <c r="AZ136" s="30">
        <v>6.58</v>
      </c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>
        <v>53.06</v>
      </c>
      <c r="BO136" s="30"/>
      <c r="BP136" s="30"/>
      <c r="BQ136" s="30"/>
      <c r="BR136" s="30"/>
      <c r="BS136" s="30">
        <v>1.26</v>
      </c>
      <c r="BT136" s="30"/>
      <c r="BU136" s="30">
        <v>66.5</v>
      </c>
      <c r="BV136" s="30">
        <v>1.26</v>
      </c>
      <c r="BW136" s="30"/>
      <c r="BX136" s="30"/>
      <c r="BY136" s="30"/>
      <c r="BZ136" s="30"/>
      <c r="CA136" s="30"/>
      <c r="CB136" s="30"/>
      <c r="CC136" s="30"/>
      <c r="CD136" s="30"/>
      <c r="CE136" s="30">
        <v>0.56000000000000005</v>
      </c>
      <c r="CF136" s="30"/>
      <c r="CG136" s="30"/>
      <c r="CH136" s="30"/>
      <c r="CI136" s="30"/>
      <c r="CJ136" s="29" t="str">
        <f>IFERROR(SUMPRODUCT(G136:CI136,'🏭 원료 마스터'!$C$4:$C$84),"")</f>
        <v/>
      </c>
      <c r="CL136" t="s">
        <v>237</v>
      </c>
    </row>
    <row r="137" spans="1:90" ht="18" customHeight="1">
      <c r="A137" s="7">
        <v>133</v>
      </c>
      <c r="B137" s="25">
        <v>46014</v>
      </c>
      <c r="C137" s="26" t="s">
        <v>150</v>
      </c>
      <c r="D137" s="27">
        <v>70</v>
      </c>
      <c r="E137" s="7"/>
      <c r="F137" s="7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>
        <v>2.0720000000000001</v>
      </c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>
        <v>2.4990000000000001</v>
      </c>
      <c r="AN137" s="28"/>
      <c r="AO137" s="28"/>
      <c r="AP137" s="28"/>
      <c r="AQ137" s="28"/>
      <c r="AR137" s="28"/>
      <c r="AS137" s="28">
        <v>3.8010000000000002</v>
      </c>
      <c r="AT137" s="28"/>
      <c r="AU137" s="28"/>
      <c r="AV137" s="28"/>
      <c r="AW137" s="28"/>
      <c r="AX137" s="28">
        <v>4.6340000000000003</v>
      </c>
      <c r="AY137" s="28"/>
      <c r="AZ137" s="28">
        <v>0.99399999999999999</v>
      </c>
      <c r="BA137" s="28">
        <v>2.4990000000000001</v>
      </c>
      <c r="BB137" s="28"/>
      <c r="BC137" s="28"/>
      <c r="BD137" s="28"/>
      <c r="BE137" s="28"/>
      <c r="BF137" s="28"/>
      <c r="BG137" s="28"/>
      <c r="BH137" s="28">
        <v>0.34300000000000003</v>
      </c>
      <c r="BI137" s="28"/>
      <c r="BJ137" s="28"/>
      <c r="BK137" s="28"/>
      <c r="BL137" s="28"/>
      <c r="BM137" s="28"/>
      <c r="BN137" s="28">
        <v>2.17</v>
      </c>
      <c r="BO137" s="28">
        <v>0.16800000000000001</v>
      </c>
      <c r="BP137" s="28">
        <v>7.1120000000000001</v>
      </c>
      <c r="BQ137" s="28"/>
      <c r="BR137" s="28"/>
      <c r="BS137" s="28">
        <v>0.27300000000000002</v>
      </c>
      <c r="BT137" s="28"/>
      <c r="BU137" s="28">
        <v>37.24</v>
      </c>
      <c r="BV137" s="28"/>
      <c r="BW137" s="28">
        <v>4.6550000000000002</v>
      </c>
      <c r="BX137" s="28"/>
      <c r="BY137" s="28"/>
      <c r="BZ137" s="28"/>
      <c r="CA137" s="28"/>
      <c r="CB137" s="28"/>
      <c r="CC137" s="28"/>
      <c r="CD137" s="28"/>
      <c r="CE137" s="28"/>
      <c r="CF137" s="28"/>
      <c r="CG137" s="28">
        <v>1.54</v>
      </c>
      <c r="CH137" s="28"/>
      <c r="CI137" s="28"/>
      <c r="CJ137" s="29" t="str">
        <f>IFERROR(SUMPRODUCT(G137:CI137,'🏭 원료 마스터'!$C$4:$C$84),"")</f>
        <v/>
      </c>
      <c r="CL137" t="s">
        <v>237</v>
      </c>
    </row>
    <row r="138" spans="1:90" ht="18" customHeight="1">
      <c r="A138" s="11">
        <v>134</v>
      </c>
      <c r="B138" s="25">
        <v>46014</v>
      </c>
      <c r="C138" s="26" t="s">
        <v>151</v>
      </c>
      <c r="D138" s="27">
        <v>70</v>
      </c>
      <c r="E138" s="11"/>
      <c r="F138" s="1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>
        <v>2.0720000000000001</v>
      </c>
      <c r="V138" s="30"/>
      <c r="W138" s="30"/>
      <c r="X138" s="30"/>
      <c r="Y138" s="30"/>
      <c r="Z138" s="30">
        <v>4.9980000000000002</v>
      </c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>
        <v>3.8010000000000002</v>
      </c>
      <c r="AT138" s="30"/>
      <c r="AU138" s="30"/>
      <c r="AV138" s="30"/>
      <c r="AW138" s="30"/>
      <c r="AX138" s="30">
        <v>4.6340000000000003</v>
      </c>
      <c r="AY138" s="30"/>
      <c r="AZ138" s="30">
        <v>0.99399999999999999</v>
      </c>
      <c r="BA138" s="30"/>
      <c r="BB138" s="30"/>
      <c r="BC138" s="30"/>
      <c r="BD138" s="30"/>
      <c r="BE138" s="30"/>
      <c r="BF138" s="30"/>
      <c r="BG138" s="30"/>
      <c r="BH138" s="30">
        <v>0.34300000000000003</v>
      </c>
      <c r="BI138" s="30"/>
      <c r="BJ138" s="30"/>
      <c r="BK138" s="30"/>
      <c r="BL138" s="30"/>
      <c r="BM138" s="30"/>
      <c r="BN138" s="30">
        <v>2.17</v>
      </c>
      <c r="BO138" s="30">
        <v>0.16800000000000001</v>
      </c>
      <c r="BP138" s="30">
        <v>7.1120000000000001</v>
      </c>
      <c r="BQ138" s="30"/>
      <c r="BR138" s="30"/>
      <c r="BS138" s="30">
        <v>0.27300000000000002</v>
      </c>
      <c r="BT138" s="30"/>
      <c r="BU138" s="30">
        <v>37.24</v>
      </c>
      <c r="BV138" s="30"/>
      <c r="BW138" s="30">
        <v>4.6550000000000002</v>
      </c>
      <c r="BX138" s="30"/>
      <c r="BY138" s="30"/>
      <c r="BZ138" s="30"/>
      <c r="CA138" s="30"/>
      <c r="CB138" s="30"/>
      <c r="CC138" s="30"/>
      <c r="CD138" s="30"/>
      <c r="CE138" s="30"/>
      <c r="CF138" s="30"/>
      <c r="CG138" s="30">
        <v>1.54</v>
      </c>
      <c r="CH138" s="30"/>
      <c r="CI138" s="30"/>
      <c r="CJ138" s="29" t="str">
        <f>IFERROR(SUMPRODUCT(G138:CI138,'🏭 원료 마스터'!$C$4:$C$84),"")</f>
        <v/>
      </c>
      <c r="CL138" t="s">
        <v>237</v>
      </c>
    </row>
    <row r="139" spans="1:90" ht="18" customHeight="1">
      <c r="A139" s="7">
        <v>135</v>
      </c>
      <c r="B139" s="25">
        <v>46015</v>
      </c>
      <c r="C139" s="26" t="s">
        <v>154</v>
      </c>
      <c r="D139" s="27">
        <v>70</v>
      </c>
      <c r="E139" s="7"/>
      <c r="F139" s="7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>
        <v>2.0720000000000001</v>
      </c>
      <c r="V139" s="28">
        <v>4.9980000000000002</v>
      </c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>
        <v>3.8010000000000002</v>
      </c>
      <c r="AT139" s="28"/>
      <c r="AU139" s="28"/>
      <c r="AV139" s="28"/>
      <c r="AW139" s="28"/>
      <c r="AX139" s="28">
        <v>4.6340000000000003</v>
      </c>
      <c r="AY139" s="28"/>
      <c r="AZ139" s="28">
        <v>0.99399999999999999</v>
      </c>
      <c r="BA139" s="28"/>
      <c r="BB139" s="28"/>
      <c r="BC139" s="28"/>
      <c r="BD139" s="28"/>
      <c r="BE139" s="28"/>
      <c r="BF139" s="28"/>
      <c r="BG139" s="28"/>
      <c r="BH139" s="28">
        <v>0.34300000000000003</v>
      </c>
      <c r="BI139" s="28"/>
      <c r="BJ139" s="28"/>
      <c r="BK139" s="28"/>
      <c r="BL139" s="28"/>
      <c r="BM139" s="28"/>
      <c r="BN139" s="28">
        <v>2.17</v>
      </c>
      <c r="BO139" s="28">
        <v>0.16800000000000001</v>
      </c>
      <c r="BP139" s="28">
        <v>7.1120000000000001</v>
      </c>
      <c r="BQ139" s="28"/>
      <c r="BR139" s="28"/>
      <c r="BS139" s="28">
        <v>0.27300000000000002</v>
      </c>
      <c r="BT139" s="28"/>
      <c r="BU139" s="28">
        <v>37.24</v>
      </c>
      <c r="BV139" s="28"/>
      <c r="BW139" s="28">
        <v>4.6550000000000002</v>
      </c>
      <c r="BX139" s="28"/>
      <c r="BY139" s="28"/>
      <c r="BZ139" s="28"/>
      <c r="CA139" s="28"/>
      <c r="CB139" s="28"/>
      <c r="CC139" s="28"/>
      <c r="CD139" s="28"/>
      <c r="CE139" s="28"/>
      <c r="CF139" s="28"/>
      <c r="CG139" s="28">
        <v>1.54</v>
      </c>
      <c r="CH139" s="28"/>
      <c r="CI139" s="28"/>
      <c r="CJ139" s="29" t="str">
        <f>IFERROR(SUMPRODUCT(G139:CI139,'🏭 원료 마스터'!$C$4:$C$84),"")</f>
        <v/>
      </c>
      <c r="CL139" t="s">
        <v>237</v>
      </c>
    </row>
    <row r="140" spans="1:90" ht="18" customHeight="1">
      <c r="A140" s="11">
        <v>136</v>
      </c>
      <c r="B140" s="25">
        <v>46015</v>
      </c>
      <c r="C140" s="26" t="s">
        <v>149</v>
      </c>
      <c r="D140" s="27">
        <v>70</v>
      </c>
      <c r="E140" s="11"/>
      <c r="F140" s="11"/>
      <c r="G140" s="30"/>
      <c r="H140" s="30"/>
      <c r="I140" s="30"/>
      <c r="J140" s="30"/>
      <c r="K140" s="30"/>
      <c r="L140" s="30"/>
      <c r="M140" s="30"/>
      <c r="N140" s="30"/>
      <c r="O140" s="30">
        <v>1.75</v>
      </c>
      <c r="P140" s="30">
        <v>3.2480000000000002</v>
      </c>
      <c r="Q140" s="30"/>
      <c r="R140" s="30"/>
      <c r="S140" s="30"/>
      <c r="T140" s="30"/>
      <c r="U140" s="30">
        <v>2.0720000000000001</v>
      </c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>
        <v>3.8010000000000002</v>
      </c>
      <c r="AT140" s="30"/>
      <c r="AU140" s="30"/>
      <c r="AV140" s="30"/>
      <c r="AW140" s="30"/>
      <c r="AX140" s="30">
        <v>4.6340000000000003</v>
      </c>
      <c r="AY140" s="30"/>
      <c r="AZ140" s="30">
        <v>0.99399999999999999</v>
      </c>
      <c r="BA140" s="30"/>
      <c r="BB140" s="30"/>
      <c r="BC140" s="30"/>
      <c r="BD140" s="30"/>
      <c r="BE140" s="30"/>
      <c r="BF140" s="30"/>
      <c r="BG140" s="30"/>
      <c r="BH140" s="30">
        <v>0.34300000000000003</v>
      </c>
      <c r="BI140" s="30"/>
      <c r="BJ140" s="30"/>
      <c r="BK140" s="30"/>
      <c r="BL140" s="30"/>
      <c r="BM140" s="30"/>
      <c r="BN140" s="30">
        <v>2.17</v>
      </c>
      <c r="BO140" s="30">
        <v>0.16800000000000001</v>
      </c>
      <c r="BP140" s="30">
        <v>7.1120000000000001</v>
      </c>
      <c r="BQ140" s="30"/>
      <c r="BR140" s="30"/>
      <c r="BS140" s="30">
        <v>0.27300000000000002</v>
      </c>
      <c r="BT140" s="30"/>
      <c r="BU140" s="30">
        <v>37.24</v>
      </c>
      <c r="BV140" s="30"/>
      <c r="BW140" s="30">
        <v>4.6550000000000002</v>
      </c>
      <c r="BX140" s="30"/>
      <c r="BY140" s="30"/>
      <c r="BZ140" s="30"/>
      <c r="CA140" s="30"/>
      <c r="CB140" s="30"/>
      <c r="CC140" s="30"/>
      <c r="CD140" s="30"/>
      <c r="CE140" s="30"/>
      <c r="CF140" s="30"/>
      <c r="CG140" s="30">
        <v>1.54</v>
      </c>
      <c r="CH140" s="30"/>
      <c r="CI140" s="30"/>
      <c r="CJ140" s="29" t="str">
        <f>IFERROR(SUMPRODUCT(G140:CI140,'🏭 원료 마스터'!$C$4:$C$84),"")</f>
        <v/>
      </c>
      <c r="CL140" t="s">
        <v>237</v>
      </c>
    </row>
    <row r="141" spans="1:90" ht="18" customHeight="1">
      <c r="A141" s="7">
        <v>137</v>
      </c>
      <c r="B141" s="25">
        <v>46015</v>
      </c>
      <c r="C141" s="26" t="s">
        <v>153</v>
      </c>
      <c r="D141" s="27">
        <v>70</v>
      </c>
      <c r="E141" s="7"/>
      <c r="F141" s="7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>
        <v>2.0720000000000001</v>
      </c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>
        <v>4.9980000000000002</v>
      </c>
      <c r="AP141" s="28"/>
      <c r="AQ141" s="28"/>
      <c r="AR141" s="28"/>
      <c r="AS141" s="28">
        <v>3.8010000000000002</v>
      </c>
      <c r="AT141" s="28"/>
      <c r="AU141" s="28"/>
      <c r="AV141" s="28"/>
      <c r="AW141" s="28"/>
      <c r="AX141" s="28">
        <v>4.6340000000000003</v>
      </c>
      <c r="AY141" s="28"/>
      <c r="AZ141" s="28">
        <v>0.99399999999999999</v>
      </c>
      <c r="BA141" s="28"/>
      <c r="BB141" s="28"/>
      <c r="BC141" s="28"/>
      <c r="BD141" s="28"/>
      <c r="BE141" s="28"/>
      <c r="BF141" s="28"/>
      <c r="BG141" s="28"/>
      <c r="BH141" s="28">
        <v>0.34300000000000003</v>
      </c>
      <c r="BI141" s="28"/>
      <c r="BJ141" s="28"/>
      <c r="BK141" s="28"/>
      <c r="BL141" s="28"/>
      <c r="BM141" s="28"/>
      <c r="BN141" s="28">
        <v>2.17</v>
      </c>
      <c r="BO141" s="28">
        <v>0.16800000000000001</v>
      </c>
      <c r="BP141" s="28">
        <v>7.1120000000000001</v>
      </c>
      <c r="BQ141" s="28"/>
      <c r="BR141" s="28"/>
      <c r="BS141" s="28">
        <v>0.27300000000000002</v>
      </c>
      <c r="BT141" s="28"/>
      <c r="BU141" s="28">
        <v>37.24</v>
      </c>
      <c r="BV141" s="28"/>
      <c r="BW141" s="28">
        <v>4.6550000000000002</v>
      </c>
      <c r="BX141" s="28"/>
      <c r="BY141" s="28"/>
      <c r="BZ141" s="28"/>
      <c r="CA141" s="28"/>
      <c r="CB141" s="28"/>
      <c r="CC141" s="28"/>
      <c r="CD141" s="28"/>
      <c r="CE141" s="28"/>
      <c r="CF141" s="28"/>
      <c r="CG141" s="28">
        <v>1.54</v>
      </c>
      <c r="CH141" s="28"/>
      <c r="CI141" s="28"/>
      <c r="CJ141" s="29" t="str">
        <f>IFERROR(SUMPRODUCT(G141:CI141,'🏭 원료 마스터'!$C$4:$C$84),"")</f>
        <v/>
      </c>
      <c r="CL141" t="s">
        <v>237</v>
      </c>
    </row>
    <row r="142" spans="1:90" ht="18" customHeight="1">
      <c r="A142" s="11">
        <v>138</v>
      </c>
      <c r="B142" s="25">
        <v>46020</v>
      </c>
      <c r="C142" s="26" t="s">
        <v>204</v>
      </c>
      <c r="D142" s="27">
        <v>140</v>
      </c>
      <c r="E142" s="11"/>
      <c r="F142" s="1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>
        <v>4.62</v>
      </c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>
        <v>4.2</v>
      </c>
      <c r="AL142" s="30"/>
      <c r="AM142" s="30"/>
      <c r="AN142" s="30"/>
      <c r="AO142" s="30"/>
      <c r="AP142" s="30"/>
      <c r="AQ142" s="30"/>
      <c r="AR142" s="30"/>
      <c r="AS142" s="30">
        <v>3.08</v>
      </c>
      <c r="AT142" s="30"/>
      <c r="AU142" s="30"/>
      <c r="AV142" s="30"/>
      <c r="AW142" s="30"/>
      <c r="AX142" s="30"/>
      <c r="AY142" s="30"/>
      <c r="AZ142" s="30">
        <v>3.08</v>
      </c>
      <c r="BA142" s="30"/>
      <c r="BB142" s="30"/>
      <c r="BC142" s="30"/>
      <c r="BD142" s="30"/>
      <c r="BE142" s="30">
        <v>1.54</v>
      </c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>
        <v>58.24</v>
      </c>
      <c r="BR142" s="30"/>
      <c r="BS142" s="30">
        <v>1.4</v>
      </c>
      <c r="BT142" s="30"/>
      <c r="BU142" s="30">
        <v>62.16</v>
      </c>
      <c r="BV142" s="30">
        <v>1.1200000000000001</v>
      </c>
      <c r="BW142" s="30"/>
      <c r="BX142" s="30"/>
      <c r="BY142" s="30"/>
      <c r="BZ142" s="30"/>
      <c r="CA142" s="30"/>
      <c r="CB142" s="30"/>
      <c r="CC142" s="30"/>
      <c r="CD142" s="30"/>
      <c r="CE142" s="30">
        <v>0.56000000000000005</v>
      </c>
      <c r="CF142" s="30"/>
      <c r="CG142" s="30"/>
      <c r="CH142" s="30"/>
      <c r="CI142" s="30"/>
      <c r="CJ142" s="29" t="str">
        <f>IFERROR(SUMPRODUCT(G142:CI142,'🏭 원료 마스터'!$C$4:$C$84),"")</f>
        <v/>
      </c>
      <c r="CL142" t="s">
        <v>237</v>
      </c>
    </row>
    <row r="143" spans="1:90" ht="18" customHeight="1">
      <c r="A143" s="7">
        <v>139</v>
      </c>
      <c r="B143" s="25">
        <v>46020</v>
      </c>
      <c r="C143" s="26" t="s">
        <v>205</v>
      </c>
      <c r="D143" s="27">
        <v>210</v>
      </c>
      <c r="E143" s="7"/>
      <c r="F143" s="7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>
        <v>4.2</v>
      </c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>
        <v>26.04</v>
      </c>
      <c r="AJ143" s="28"/>
      <c r="AK143" s="28">
        <v>5.67</v>
      </c>
      <c r="AL143" s="28"/>
      <c r="AM143" s="28"/>
      <c r="AN143" s="28"/>
      <c r="AO143" s="28"/>
      <c r="AP143" s="28"/>
      <c r="AQ143" s="28"/>
      <c r="AR143" s="28"/>
      <c r="AS143" s="28">
        <v>4.2</v>
      </c>
      <c r="AT143" s="28"/>
      <c r="AU143" s="28"/>
      <c r="AV143" s="28"/>
      <c r="AW143" s="28"/>
      <c r="AX143" s="28"/>
      <c r="AY143" s="28"/>
      <c r="AZ143" s="28">
        <v>4.2</v>
      </c>
      <c r="BA143" s="28"/>
      <c r="BB143" s="28"/>
      <c r="BC143" s="28"/>
      <c r="BD143" s="28"/>
      <c r="BE143" s="28">
        <v>2.1</v>
      </c>
      <c r="BF143" s="28"/>
      <c r="BG143" s="28"/>
      <c r="BH143" s="28"/>
      <c r="BI143" s="28"/>
      <c r="BJ143" s="28"/>
      <c r="BK143" s="28"/>
      <c r="BL143" s="28"/>
      <c r="BM143" s="28"/>
      <c r="BN143" s="28">
        <v>24.36</v>
      </c>
      <c r="BO143" s="28"/>
      <c r="BP143" s="28">
        <v>52.08</v>
      </c>
      <c r="BQ143" s="28"/>
      <c r="BR143" s="28"/>
      <c r="BS143" s="28">
        <v>1.89</v>
      </c>
      <c r="BT143" s="28"/>
      <c r="BU143" s="28">
        <v>83.16</v>
      </c>
      <c r="BV143" s="28">
        <v>1.47</v>
      </c>
      <c r="BW143" s="28"/>
      <c r="BX143" s="28"/>
      <c r="BY143" s="28"/>
      <c r="BZ143" s="28"/>
      <c r="CA143" s="28"/>
      <c r="CB143" s="28"/>
      <c r="CC143" s="28"/>
      <c r="CD143" s="28"/>
      <c r="CE143" s="28">
        <v>0.63</v>
      </c>
      <c r="CF143" s="28"/>
      <c r="CG143" s="28"/>
      <c r="CH143" s="28"/>
      <c r="CI143" s="28"/>
      <c r="CJ143" s="29" t="str">
        <f>IFERROR(SUMPRODUCT(G143:CI143,'🏭 원료 마스터'!$C$4:$C$84),"")</f>
        <v/>
      </c>
      <c r="CL143" t="s">
        <v>237</v>
      </c>
    </row>
    <row r="144" spans="1:90" ht="18" customHeight="1">
      <c r="A144" s="11">
        <v>140</v>
      </c>
      <c r="B144" s="25">
        <v>46021</v>
      </c>
      <c r="C144" s="26" t="s">
        <v>219</v>
      </c>
      <c r="D144" s="27">
        <v>20</v>
      </c>
      <c r="E144" s="11"/>
      <c r="F144" s="11"/>
      <c r="G144" s="30"/>
      <c r="H144" s="30"/>
      <c r="I144" s="30"/>
      <c r="J144" s="30"/>
      <c r="K144" s="30"/>
      <c r="L144" s="30">
        <v>0.48</v>
      </c>
      <c r="M144" s="30"/>
      <c r="N144" s="30"/>
      <c r="O144" s="30"/>
      <c r="P144" s="30"/>
      <c r="Q144" s="30"/>
      <c r="R144" s="30"/>
      <c r="S144" s="30"/>
      <c r="T144" s="30"/>
      <c r="U144" s="30"/>
      <c r="V144" s="30">
        <v>0.48</v>
      </c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>
        <v>12.54</v>
      </c>
      <c r="AR144" s="30"/>
      <c r="AS144" s="30"/>
      <c r="AT144" s="30">
        <v>0.32</v>
      </c>
      <c r="AU144" s="30"/>
      <c r="AV144" s="30"/>
      <c r="AW144" s="30"/>
      <c r="AX144" s="30"/>
      <c r="AY144" s="30"/>
      <c r="AZ144" s="30">
        <v>2.04</v>
      </c>
      <c r="BA144" s="30"/>
      <c r="BB144" s="30"/>
      <c r="BC144" s="30"/>
      <c r="BD144" s="30"/>
      <c r="BE144" s="30"/>
      <c r="BF144" s="30"/>
      <c r="BG144" s="30"/>
      <c r="BH144" s="30"/>
      <c r="BI144" s="30"/>
      <c r="BJ144" s="30">
        <v>0.66</v>
      </c>
      <c r="BK144" s="30"/>
      <c r="BL144" s="30"/>
      <c r="BM144" s="30"/>
      <c r="BN144" s="30">
        <v>3.26</v>
      </c>
      <c r="BO144" s="30"/>
      <c r="BP144" s="30"/>
      <c r="BQ144" s="30"/>
      <c r="BR144" s="30"/>
      <c r="BS144" s="30"/>
      <c r="BT144" s="30"/>
      <c r="BU144" s="30"/>
      <c r="BV144" s="30">
        <v>0.22</v>
      </c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29" t="str">
        <f>IFERROR(SUMPRODUCT(G144:CI144,'🏭 원료 마스터'!$C$4:$C$84),"")</f>
        <v/>
      </c>
      <c r="CL144" t="s">
        <v>237</v>
      </c>
    </row>
    <row r="145" spans="1:90" ht="18" customHeight="1">
      <c r="A145" s="7">
        <v>141</v>
      </c>
      <c r="B145" s="25">
        <v>46021</v>
      </c>
      <c r="C145" s="26" t="s">
        <v>195</v>
      </c>
      <c r="D145" s="27">
        <v>25</v>
      </c>
      <c r="E145" s="7"/>
      <c r="F145" s="7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>
        <v>3.7749999999999999</v>
      </c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>
        <v>14.55</v>
      </c>
      <c r="AR145" s="28"/>
      <c r="AS145" s="28"/>
      <c r="AT145" s="28"/>
      <c r="AU145" s="28"/>
      <c r="AV145" s="28"/>
      <c r="AW145" s="28"/>
      <c r="AX145" s="28"/>
      <c r="AY145" s="28"/>
      <c r="AZ145" s="28">
        <v>2.375</v>
      </c>
      <c r="BA145" s="28"/>
      <c r="BB145" s="28"/>
      <c r="BC145" s="28"/>
      <c r="BD145" s="28"/>
      <c r="BE145" s="28"/>
      <c r="BF145" s="28">
        <v>0.27500000000000002</v>
      </c>
      <c r="BG145" s="28"/>
      <c r="BH145" s="28"/>
      <c r="BI145" s="28"/>
      <c r="BJ145" s="28"/>
      <c r="BK145" s="28"/>
      <c r="BL145" s="28"/>
      <c r="BM145" s="28"/>
      <c r="BN145" s="28">
        <v>3.7749999999999999</v>
      </c>
      <c r="BO145" s="28"/>
      <c r="BP145" s="28"/>
      <c r="BQ145" s="28"/>
      <c r="BR145" s="28"/>
      <c r="BS145" s="28"/>
      <c r="BT145" s="28"/>
      <c r="BU145" s="28"/>
      <c r="BV145" s="28">
        <v>0.25</v>
      </c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9" t="str">
        <f>IFERROR(SUMPRODUCT(G145:CI145,'🏭 원료 마스터'!$C$4:$C$84),"")</f>
        <v/>
      </c>
      <c r="CL145" t="s">
        <v>237</v>
      </c>
    </row>
    <row r="146" spans="1:90" ht="18" customHeight="1">
      <c r="A146" s="11">
        <v>142</v>
      </c>
      <c r="B146" s="25">
        <v>46021</v>
      </c>
      <c r="C146" s="26" t="s">
        <v>159</v>
      </c>
      <c r="D146" s="27">
        <v>35</v>
      </c>
      <c r="E146" s="11"/>
      <c r="F146" s="11"/>
      <c r="G146" s="30"/>
      <c r="H146" s="30">
        <v>0.875</v>
      </c>
      <c r="I146" s="30"/>
      <c r="J146" s="30"/>
      <c r="K146" s="30">
        <v>0.56000000000000005</v>
      </c>
      <c r="L146" s="30"/>
      <c r="M146" s="30">
        <v>0.875</v>
      </c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>
        <v>22.12</v>
      </c>
      <c r="AR146" s="30"/>
      <c r="AS146" s="30"/>
      <c r="AT146" s="30">
        <v>0.875</v>
      </c>
      <c r="AU146" s="30"/>
      <c r="AV146" s="30"/>
      <c r="AW146" s="30"/>
      <c r="AX146" s="30"/>
      <c r="AY146" s="30"/>
      <c r="AZ146" s="30">
        <v>3.57</v>
      </c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>
        <v>5.74</v>
      </c>
      <c r="BO146" s="30"/>
      <c r="BP146" s="30"/>
      <c r="BQ146" s="30"/>
      <c r="BR146" s="30"/>
      <c r="BS146" s="30"/>
      <c r="BT146" s="30"/>
      <c r="BU146" s="30"/>
      <c r="BV146" s="30">
        <v>0.38500000000000001</v>
      </c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29" t="str">
        <f>IFERROR(SUMPRODUCT(G146:CI146,'🏭 원료 마스터'!$C$4:$C$84),"")</f>
        <v/>
      </c>
      <c r="CL146" t="s">
        <v>237</v>
      </c>
    </row>
    <row r="147" spans="1:90" ht="18" customHeight="1">
      <c r="A147" s="7">
        <v>143</v>
      </c>
      <c r="B147" s="25">
        <v>46021</v>
      </c>
      <c r="C147" s="26" t="s">
        <v>193</v>
      </c>
      <c r="D147" s="27">
        <v>15</v>
      </c>
      <c r="E147" s="7"/>
      <c r="F147" s="7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>
        <v>9.2249999999999996</v>
      </c>
      <c r="AR147" s="28"/>
      <c r="AS147" s="28"/>
      <c r="AT147" s="28"/>
      <c r="AU147" s="28"/>
      <c r="AV147" s="28"/>
      <c r="AW147" s="28"/>
      <c r="AX147" s="28"/>
      <c r="AY147" s="28"/>
      <c r="AZ147" s="28">
        <v>1.5</v>
      </c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>
        <v>1.7250000000000001</v>
      </c>
      <c r="BN147" s="28">
        <v>2.4</v>
      </c>
      <c r="BO147" s="28"/>
      <c r="BP147" s="28"/>
      <c r="BQ147" s="28"/>
      <c r="BR147" s="28"/>
      <c r="BS147" s="28"/>
      <c r="BT147" s="28"/>
      <c r="BU147" s="28"/>
      <c r="BV147" s="28">
        <v>0.15</v>
      </c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9" t="str">
        <f>IFERROR(SUMPRODUCT(G147:CI147,'🏭 원료 마스터'!$C$4:$C$84),"")</f>
        <v/>
      </c>
      <c r="CL147" t="s">
        <v>237</v>
      </c>
    </row>
    <row r="148" spans="1:90" ht="18" customHeight="1">
      <c r="A148" s="11">
        <v>144</v>
      </c>
      <c r="B148" s="25">
        <v>46021</v>
      </c>
      <c r="C148" s="26" t="s">
        <v>206</v>
      </c>
      <c r="D148" s="27">
        <v>140</v>
      </c>
      <c r="E148" s="11"/>
      <c r="F148" s="1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>
        <v>6.6779999999999999</v>
      </c>
      <c r="AT148" s="30"/>
      <c r="AU148" s="30"/>
      <c r="AV148" s="30"/>
      <c r="AW148" s="30"/>
      <c r="AX148" s="30"/>
      <c r="AY148" s="30"/>
      <c r="AZ148" s="30">
        <v>6.6779999999999999</v>
      </c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>
        <v>56.853999999999999</v>
      </c>
      <c r="BO148" s="30"/>
      <c r="BP148" s="30"/>
      <c r="BQ148" s="30"/>
      <c r="BR148" s="30"/>
      <c r="BS148" s="30">
        <v>1.3580000000000001</v>
      </c>
      <c r="BT148" s="30"/>
      <c r="BU148" s="30">
        <v>66.668000000000006</v>
      </c>
      <c r="BV148" s="30">
        <v>1.204</v>
      </c>
      <c r="BW148" s="30"/>
      <c r="BX148" s="30"/>
      <c r="BY148" s="30"/>
      <c r="BZ148" s="30"/>
      <c r="CA148" s="30"/>
      <c r="CB148" s="30"/>
      <c r="CC148" s="30"/>
      <c r="CD148" s="30"/>
      <c r="CE148" s="30">
        <v>0.56000000000000005</v>
      </c>
      <c r="CF148" s="30"/>
      <c r="CG148" s="30"/>
      <c r="CH148" s="30"/>
      <c r="CI148" s="30"/>
      <c r="CJ148" s="29" t="str">
        <f>IFERROR(SUMPRODUCT(G148:CI148,'🏭 원료 마스터'!$C$4:$C$84),"")</f>
        <v/>
      </c>
      <c r="CL148" t="s">
        <v>237</v>
      </c>
    </row>
    <row r="149" spans="1:90" ht="18" customHeight="1">
      <c r="A149" s="7">
        <v>145</v>
      </c>
      <c r="B149" s="25">
        <v>46024</v>
      </c>
      <c r="C149" s="26" t="s">
        <v>215</v>
      </c>
      <c r="D149" s="27">
        <v>45</v>
      </c>
      <c r="E149" s="7"/>
      <c r="F149" s="7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>
        <v>0.76500000000000001</v>
      </c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>
        <v>30.195</v>
      </c>
      <c r="AR149" s="28"/>
      <c r="AS149" s="28"/>
      <c r="AT149" s="28"/>
      <c r="AU149" s="28"/>
      <c r="AV149" s="28"/>
      <c r="AW149" s="28"/>
      <c r="AX149" s="28"/>
      <c r="AY149" s="28">
        <v>3.78</v>
      </c>
      <c r="AZ149" s="28">
        <v>3.78</v>
      </c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>
        <v>6.03</v>
      </c>
      <c r="BO149" s="28"/>
      <c r="BP149" s="28"/>
      <c r="BQ149" s="28"/>
      <c r="BR149" s="28"/>
      <c r="BS149" s="28"/>
      <c r="BT149" s="28"/>
      <c r="BU149" s="28"/>
      <c r="BV149" s="28">
        <v>0.45</v>
      </c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9" t="str">
        <f>IFERROR(SUMPRODUCT(G149:CI149,'🏭 원료 마스터'!$C$4:$C$84),"")</f>
        <v/>
      </c>
      <c r="CL149" t="s">
        <v>238</v>
      </c>
    </row>
    <row r="150" spans="1:90" ht="18" customHeight="1">
      <c r="A150" s="11">
        <v>146</v>
      </c>
      <c r="B150" s="25">
        <v>46024</v>
      </c>
      <c r="C150" s="26" t="s">
        <v>143</v>
      </c>
      <c r="D150" s="27">
        <v>195</v>
      </c>
      <c r="E150" s="11"/>
      <c r="F150" s="1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>
        <v>16.38</v>
      </c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>
        <v>131.23500000000001</v>
      </c>
      <c r="AR150" s="30"/>
      <c r="AS150" s="30"/>
      <c r="AT150" s="30"/>
      <c r="AU150" s="30"/>
      <c r="AV150" s="30"/>
      <c r="AW150" s="30">
        <v>4.29</v>
      </c>
      <c r="AX150" s="30"/>
      <c r="AY150" s="30"/>
      <c r="AZ150" s="30">
        <v>16.38</v>
      </c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>
        <v>24.57</v>
      </c>
      <c r="BO150" s="30"/>
      <c r="BP150" s="30"/>
      <c r="BQ150" s="30"/>
      <c r="BR150" s="30"/>
      <c r="BS150" s="30"/>
      <c r="BT150" s="30"/>
      <c r="BU150" s="30"/>
      <c r="BV150" s="30">
        <v>2.145</v>
      </c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29" t="str">
        <f>IFERROR(SUMPRODUCT(G150:CI150,'🏭 원료 마스터'!$C$4:$C$84),"")</f>
        <v/>
      </c>
      <c r="CL150" t="s">
        <v>238</v>
      </c>
    </row>
    <row r="151" spans="1:90" ht="18" customHeight="1">
      <c r="A151" s="7">
        <v>147</v>
      </c>
      <c r="B151" s="25">
        <v>46027</v>
      </c>
      <c r="C151" s="26" t="s">
        <v>144</v>
      </c>
      <c r="D151" s="27">
        <v>70</v>
      </c>
      <c r="E151" s="7"/>
      <c r="F151" s="7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>
        <v>2.1</v>
      </c>
      <c r="AL151" s="28"/>
      <c r="AM151" s="28"/>
      <c r="AN151" s="28"/>
      <c r="AO151" s="28"/>
      <c r="AP151" s="28"/>
      <c r="AQ151" s="28"/>
      <c r="AR151" s="28"/>
      <c r="AS151" s="28">
        <v>3.29</v>
      </c>
      <c r="AT151" s="28"/>
      <c r="AU151" s="28"/>
      <c r="AV151" s="28"/>
      <c r="AW151" s="28"/>
      <c r="AX151" s="28"/>
      <c r="AY151" s="28"/>
      <c r="AZ151" s="28">
        <v>3.29</v>
      </c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>
        <v>26.53</v>
      </c>
      <c r="BO151" s="28"/>
      <c r="BP151" s="28"/>
      <c r="BQ151" s="28"/>
      <c r="BR151" s="28"/>
      <c r="BS151" s="28">
        <v>0.63</v>
      </c>
      <c r="BT151" s="28"/>
      <c r="BU151" s="28">
        <v>33.25</v>
      </c>
      <c r="BV151" s="28">
        <v>0.63</v>
      </c>
      <c r="BW151" s="28"/>
      <c r="BX151" s="28"/>
      <c r="BY151" s="28"/>
      <c r="BZ151" s="28"/>
      <c r="CA151" s="28"/>
      <c r="CB151" s="28"/>
      <c r="CC151" s="28"/>
      <c r="CD151" s="28"/>
      <c r="CE151" s="28">
        <v>0.28000000000000003</v>
      </c>
      <c r="CF151" s="28"/>
      <c r="CG151" s="28"/>
      <c r="CH151" s="28"/>
      <c r="CI151" s="28"/>
      <c r="CJ151" s="29" t="str">
        <f>IFERROR(SUMPRODUCT(G151:CI151,'🏭 원료 마스터'!$C$4:$C$84),"")</f>
        <v/>
      </c>
      <c r="CL151" t="s">
        <v>238</v>
      </c>
    </row>
    <row r="152" spans="1:90" ht="18" customHeight="1">
      <c r="A152" s="11">
        <v>148</v>
      </c>
      <c r="B152" s="25">
        <v>46027</v>
      </c>
      <c r="C152" s="26" t="s">
        <v>179</v>
      </c>
      <c r="D152" s="27">
        <v>70</v>
      </c>
      <c r="E152" s="11"/>
      <c r="F152" s="1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>
        <v>6.16</v>
      </c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>
        <v>3.08</v>
      </c>
      <c r="AT152" s="30"/>
      <c r="AU152" s="30"/>
      <c r="AV152" s="30"/>
      <c r="AW152" s="30"/>
      <c r="AX152" s="30"/>
      <c r="AY152" s="30"/>
      <c r="AZ152" s="30">
        <v>3.08</v>
      </c>
      <c r="BA152" s="30"/>
      <c r="BB152" s="30"/>
      <c r="BC152" s="30"/>
      <c r="BD152" s="30"/>
      <c r="BE152" s="30">
        <v>0.32900000000000001</v>
      </c>
      <c r="BF152" s="30"/>
      <c r="BG152" s="30"/>
      <c r="BH152" s="30"/>
      <c r="BI152" s="30"/>
      <c r="BJ152" s="30"/>
      <c r="BK152" s="30"/>
      <c r="BL152" s="30"/>
      <c r="BM152" s="30"/>
      <c r="BN152" s="30">
        <v>25.123000000000001</v>
      </c>
      <c r="BO152" s="30"/>
      <c r="BP152" s="30"/>
      <c r="BQ152" s="30"/>
      <c r="BR152" s="30"/>
      <c r="BS152" s="30">
        <v>0.63</v>
      </c>
      <c r="BT152" s="30"/>
      <c r="BU152" s="30">
        <v>30.771999999999998</v>
      </c>
      <c r="BV152" s="30">
        <v>0.56000000000000005</v>
      </c>
      <c r="BW152" s="30"/>
      <c r="BX152" s="30"/>
      <c r="BY152" s="30"/>
      <c r="BZ152" s="30"/>
      <c r="CA152" s="30"/>
      <c r="CB152" s="30"/>
      <c r="CC152" s="30"/>
      <c r="CD152" s="30"/>
      <c r="CE152" s="30">
        <v>0.26600000000000001</v>
      </c>
      <c r="CF152" s="30"/>
      <c r="CG152" s="30"/>
      <c r="CH152" s="30"/>
      <c r="CI152" s="30"/>
      <c r="CJ152" s="29" t="str">
        <f>IFERROR(SUMPRODUCT(G152:CI152,'🏭 원료 마스터'!$C$4:$C$84),"")</f>
        <v/>
      </c>
      <c r="CL152" t="s">
        <v>238</v>
      </c>
    </row>
    <row r="153" spans="1:90" ht="18" customHeight="1">
      <c r="A153" s="7">
        <v>149</v>
      </c>
      <c r="B153" s="25">
        <v>46027</v>
      </c>
      <c r="C153" s="26" t="s">
        <v>183</v>
      </c>
      <c r="D153" s="27">
        <v>140</v>
      </c>
      <c r="E153" s="7"/>
      <c r="F153" s="7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>
        <v>3.36</v>
      </c>
      <c r="AT153" s="28"/>
      <c r="AU153" s="28"/>
      <c r="AV153" s="28"/>
      <c r="AW153" s="28"/>
      <c r="AX153" s="28"/>
      <c r="AY153" s="28"/>
      <c r="AZ153" s="28">
        <v>3.36</v>
      </c>
      <c r="BA153" s="28"/>
      <c r="BB153" s="28"/>
      <c r="BC153" s="28"/>
      <c r="BD153" s="28"/>
      <c r="BE153" s="28"/>
      <c r="BF153" s="28"/>
      <c r="BG153" s="28"/>
      <c r="BH153" s="28"/>
      <c r="BI153" s="28">
        <v>1.68</v>
      </c>
      <c r="BJ153" s="28"/>
      <c r="BK153" s="28"/>
      <c r="BL153" s="28"/>
      <c r="BM153" s="28"/>
      <c r="BN153" s="28"/>
      <c r="BO153" s="28"/>
      <c r="BP153" s="28"/>
      <c r="BQ153" s="28">
        <v>62.72</v>
      </c>
      <c r="BR153" s="28"/>
      <c r="BS153" s="28">
        <v>0.28000000000000003</v>
      </c>
      <c r="BT153" s="28"/>
      <c r="BU153" s="28">
        <v>66.92</v>
      </c>
      <c r="BV153" s="28">
        <v>1.1200000000000001</v>
      </c>
      <c r="BW153" s="28"/>
      <c r="BX153" s="28"/>
      <c r="BY153" s="28"/>
      <c r="BZ153" s="28"/>
      <c r="CA153" s="28"/>
      <c r="CB153" s="28"/>
      <c r="CC153" s="28"/>
      <c r="CD153" s="28"/>
      <c r="CE153" s="28">
        <v>0.56000000000000005</v>
      </c>
      <c r="CF153" s="28"/>
      <c r="CG153" s="28"/>
      <c r="CH153" s="28"/>
      <c r="CI153" s="28"/>
      <c r="CJ153" s="29" t="str">
        <f>IFERROR(SUMPRODUCT(G153:CI153,'🏭 원료 마스터'!$C$4:$C$84),"")</f>
        <v/>
      </c>
      <c r="CL153" t="s">
        <v>238</v>
      </c>
    </row>
    <row r="154" spans="1:90" ht="18" customHeight="1">
      <c r="A154" s="11">
        <v>150</v>
      </c>
      <c r="B154" s="25">
        <v>46028</v>
      </c>
      <c r="C154" s="26" t="s">
        <v>160</v>
      </c>
      <c r="D154" s="27">
        <v>20</v>
      </c>
      <c r="E154" s="11"/>
      <c r="F154" s="11"/>
      <c r="G154" s="30"/>
      <c r="H154" s="30">
        <v>1.6</v>
      </c>
      <c r="I154" s="30"/>
      <c r="J154" s="30"/>
      <c r="K154" s="30">
        <v>1</v>
      </c>
      <c r="L154" s="30"/>
      <c r="M154" s="30">
        <v>1.2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>
        <v>0.6</v>
      </c>
      <c r="AU154" s="30"/>
      <c r="AV154" s="30"/>
      <c r="AW154" s="30"/>
      <c r="AX154" s="30"/>
      <c r="AY154" s="30"/>
      <c r="AZ154" s="30">
        <v>2</v>
      </c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>
        <v>2.6</v>
      </c>
      <c r="BO154" s="30"/>
      <c r="BP154" s="30"/>
      <c r="BQ154" s="30"/>
      <c r="BR154" s="30"/>
      <c r="BS154" s="30"/>
      <c r="BT154" s="30"/>
      <c r="BU154" s="30">
        <v>10.8</v>
      </c>
      <c r="BV154" s="30">
        <v>0.2</v>
      </c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29" t="str">
        <f>IFERROR(SUMPRODUCT(G154:CI154,'🏭 원료 마스터'!$C$4:$C$84),"")</f>
        <v/>
      </c>
      <c r="CL154" t="s">
        <v>238</v>
      </c>
    </row>
    <row r="155" spans="1:90" ht="18" customHeight="1">
      <c r="A155" s="7">
        <v>151</v>
      </c>
      <c r="B155" s="25">
        <v>46028</v>
      </c>
      <c r="C155" s="26" t="s">
        <v>148</v>
      </c>
      <c r="D155" s="27">
        <v>27.5</v>
      </c>
      <c r="E155" s="7"/>
      <c r="F155" s="7"/>
      <c r="G155" s="28"/>
      <c r="H155" s="28"/>
      <c r="I155" s="28">
        <v>0.2475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>
        <v>2.75E-2</v>
      </c>
      <c r="AN155" s="28">
        <v>0.38500000000000001</v>
      </c>
      <c r="AO155" s="28"/>
      <c r="AP155" s="28"/>
      <c r="AQ155" s="28">
        <v>18.727499999999999</v>
      </c>
      <c r="AR155" s="28"/>
      <c r="AS155" s="28"/>
      <c r="AT155" s="28"/>
      <c r="AU155" s="28"/>
      <c r="AV155" s="28"/>
      <c r="AW155" s="28"/>
      <c r="AX155" s="28"/>
      <c r="AY155" s="28"/>
      <c r="AZ155" s="28">
        <v>2.915</v>
      </c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>
        <v>4.8674999999999997</v>
      </c>
      <c r="BO155" s="28"/>
      <c r="BP155" s="28"/>
      <c r="BQ155" s="28"/>
      <c r="BR155" s="28"/>
      <c r="BS155" s="28"/>
      <c r="BT155" s="28"/>
      <c r="BU155" s="28"/>
      <c r="BV155" s="28">
        <v>0.33</v>
      </c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9" t="str">
        <f>IFERROR(SUMPRODUCT(G155:CI155,'🏭 원료 마스터'!$C$4:$C$84),"")</f>
        <v/>
      </c>
      <c r="CL155" t="s">
        <v>238</v>
      </c>
    </row>
    <row r="156" spans="1:90" ht="18" customHeight="1">
      <c r="A156" s="11">
        <v>152</v>
      </c>
      <c r="B156" s="25">
        <v>46028</v>
      </c>
      <c r="C156" s="26" t="s">
        <v>159</v>
      </c>
      <c r="D156" s="27">
        <v>77.5</v>
      </c>
      <c r="E156" s="11"/>
      <c r="F156" s="11"/>
      <c r="G156" s="30"/>
      <c r="H156" s="30">
        <v>1.9375</v>
      </c>
      <c r="I156" s="30"/>
      <c r="J156" s="30"/>
      <c r="K156" s="30">
        <v>1.24</v>
      </c>
      <c r="L156" s="30"/>
      <c r="M156" s="30">
        <v>1.9375</v>
      </c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>
        <v>48.98</v>
      </c>
      <c r="AR156" s="30"/>
      <c r="AS156" s="30"/>
      <c r="AT156" s="30">
        <v>1.9375</v>
      </c>
      <c r="AU156" s="30"/>
      <c r="AV156" s="30"/>
      <c r="AW156" s="30"/>
      <c r="AX156" s="30"/>
      <c r="AY156" s="30"/>
      <c r="AZ156" s="30">
        <v>7.9050000000000002</v>
      </c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>
        <v>12.71</v>
      </c>
      <c r="BO156" s="30"/>
      <c r="BP156" s="30"/>
      <c r="BQ156" s="30"/>
      <c r="BR156" s="30"/>
      <c r="BS156" s="30"/>
      <c r="BT156" s="30"/>
      <c r="BU156" s="30"/>
      <c r="BV156" s="30">
        <v>0.85250000000000004</v>
      </c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29" t="str">
        <f>IFERROR(SUMPRODUCT(G156:CI156,'🏭 원료 마스터'!$C$4:$C$84),"")</f>
        <v/>
      </c>
      <c r="CL156" t="s">
        <v>238</v>
      </c>
    </row>
    <row r="157" spans="1:90" ht="18" customHeight="1">
      <c r="A157" s="7">
        <v>153</v>
      </c>
      <c r="B157" s="25">
        <v>46028</v>
      </c>
      <c r="C157" s="26" t="s">
        <v>193</v>
      </c>
      <c r="D157" s="27">
        <v>45</v>
      </c>
      <c r="E157" s="7"/>
      <c r="F157" s="7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>
        <v>27.675000000000001</v>
      </c>
      <c r="AR157" s="28"/>
      <c r="AS157" s="28"/>
      <c r="AT157" s="28"/>
      <c r="AU157" s="28"/>
      <c r="AV157" s="28"/>
      <c r="AW157" s="28"/>
      <c r="AX157" s="28"/>
      <c r="AY157" s="28"/>
      <c r="AZ157" s="28">
        <v>4.5</v>
      </c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>
        <v>5.1749999999999998</v>
      </c>
      <c r="BN157" s="28">
        <v>7.2</v>
      </c>
      <c r="BO157" s="28"/>
      <c r="BP157" s="28"/>
      <c r="BQ157" s="28"/>
      <c r="BR157" s="28"/>
      <c r="BS157" s="28"/>
      <c r="BT157" s="28"/>
      <c r="BU157" s="28"/>
      <c r="BV157" s="28">
        <v>0.45</v>
      </c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9" t="str">
        <f>IFERROR(SUMPRODUCT(G157:CI157,'🏭 원료 마스터'!$C$4:$C$84),"")</f>
        <v/>
      </c>
      <c r="CL157" t="s">
        <v>238</v>
      </c>
    </row>
    <row r="158" spans="1:90" ht="18" customHeight="1">
      <c r="A158" s="11">
        <v>154</v>
      </c>
      <c r="B158" s="25">
        <v>46029</v>
      </c>
      <c r="C158" s="26" t="s">
        <v>192</v>
      </c>
      <c r="D158" s="27">
        <v>25</v>
      </c>
      <c r="E158" s="11"/>
      <c r="F158" s="1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>
        <v>16.55</v>
      </c>
      <c r="AR158" s="30"/>
      <c r="AS158" s="30"/>
      <c r="AT158" s="30"/>
      <c r="AU158" s="30"/>
      <c r="AV158" s="30"/>
      <c r="AW158" s="30"/>
      <c r="AX158" s="30"/>
      <c r="AY158" s="30"/>
      <c r="AZ158" s="30">
        <v>2.7</v>
      </c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>
        <v>4.3</v>
      </c>
      <c r="BO158" s="30"/>
      <c r="BP158" s="30"/>
      <c r="BQ158" s="30"/>
      <c r="BR158" s="30">
        <v>0.85</v>
      </c>
      <c r="BS158" s="30"/>
      <c r="BT158" s="30"/>
      <c r="BU158" s="30"/>
      <c r="BV158" s="30">
        <v>0.27500000000000002</v>
      </c>
      <c r="BW158" s="30"/>
      <c r="BX158" s="30">
        <v>0.32500000000000001</v>
      </c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29" t="str">
        <f>IFERROR(SUMPRODUCT(G158:CI158,'🏭 원료 마스터'!$C$4:$C$84),"")</f>
        <v/>
      </c>
      <c r="CL158" t="s">
        <v>238</v>
      </c>
    </row>
    <row r="159" spans="1:90" ht="18" customHeight="1">
      <c r="A159" s="7">
        <v>155</v>
      </c>
      <c r="B159" s="25">
        <v>46029</v>
      </c>
      <c r="C159" s="26" t="s">
        <v>219</v>
      </c>
      <c r="D159" s="27">
        <v>37.5</v>
      </c>
      <c r="E159" s="7"/>
      <c r="F159" s="7"/>
      <c r="G159" s="28"/>
      <c r="H159" s="28"/>
      <c r="I159" s="28"/>
      <c r="J159" s="28"/>
      <c r="K159" s="28"/>
      <c r="L159" s="28">
        <v>0.9</v>
      </c>
      <c r="M159" s="28"/>
      <c r="N159" s="28"/>
      <c r="O159" s="28"/>
      <c r="P159" s="28"/>
      <c r="Q159" s="28"/>
      <c r="R159" s="28"/>
      <c r="S159" s="28"/>
      <c r="T159" s="28"/>
      <c r="U159" s="28"/>
      <c r="V159" s="28">
        <v>0.9</v>
      </c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>
        <v>23.512499999999999</v>
      </c>
      <c r="AR159" s="28"/>
      <c r="AS159" s="28"/>
      <c r="AT159" s="28">
        <v>0.6</v>
      </c>
      <c r="AU159" s="28"/>
      <c r="AV159" s="28"/>
      <c r="AW159" s="28"/>
      <c r="AX159" s="28"/>
      <c r="AY159" s="28"/>
      <c r="AZ159" s="28">
        <v>3.8250000000000002</v>
      </c>
      <c r="BA159" s="28"/>
      <c r="BB159" s="28"/>
      <c r="BC159" s="28"/>
      <c r="BD159" s="28"/>
      <c r="BE159" s="28"/>
      <c r="BF159" s="28"/>
      <c r="BG159" s="28"/>
      <c r="BH159" s="28"/>
      <c r="BI159" s="28"/>
      <c r="BJ159" s="28">
        <v>1.2375</v>
      </c>
      <c r="BK159" s="28"/>
      <c r="BL159" s="28"/>
      <c r="BM159" s="28"/>
      <c r="BN159" s="28">
        <v>6.1124999999999998</v>
      </c>
      <c r="BO159" s="28"/>
      <c r="BP159" s="28"/>
      <c r="BQ159" s="28"/>
      <c r="BR159" s="28"/>
      <c r="BS159" s="28"/>
      <c r="BT159" s="28"/>
      <c r="BU159" s="28"/>
      <c r="BV159" s="28">
        <v>0.41249999999999998</v>
      </c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9" t="str">
        <f>IFERROR(SUMPRODUCT(G159:CI159,'🏭 원료 마스터'!$C$4:$C$84),"")</f>
        <v/>
      </c>
      <c r="CL159" t="s">
        <v>238</v>
      </c>
    </row>
    <row r="160" spans="1:90" ht="18" customHeight="1">
      <c r="A160" s="11">
        <v>156</v>
      </c>
      <c r="B160" s="25">
        <v>46029</v>
      </c>
      <c r="C160" s="26" t="s">
        <v>195</v>
      </c>
      <c r="D160" s="27">
        <v>50</v>
      </c>
      <c r="E160" s="11"/>
      <c r="F160" s="1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>
        <v>7.55</v>
      </c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>
        <v>29.1</v>
      </c>
      <c r="AR160" s="30"/>
      <c r="AS160" s="30"/>
      <c r="AT160" s="30"/>
      <c r="AU160" s="30"/>
      <c r="AV160" s="30"/>
      <c r="AW160" s="30"/>
      <c r="AX160" s="30"/>
      <c r="AY160" s="30"/>
      <c r="AZ160" s="30">
        <v>4.75</v>
      </c>
      <c r="BA160" s="30"/>
      <c r="BB160" s="30"/>
      <c r="BC160" s="30"/>
      <c r="BD160" s="30"/>
      <c r="BE160" s="30"/>
      <c r="BF160" s="30">
        <v>0.55000000000000004</v>
      </c>
      <c r="BG160" s="30"/>
      <c r="BH160" s="30"/>
      <c r="BI160" s="30"/>
      <c r="BJ160" s="30"/>
      <c r="BK160" s="30"/>
      <c r="BL160" s="30"/>
      <c r="BM160" s="30"/>
      <c r="BN160" s="30">
        <v>7.55</v>
      </c>
      <c r="BO160" s="30"/>
      <c r="BP160" s="30"/>
      <c r="BQ160" s="30"/>
      <c r="BR160" s="30"/>
      <c r="BS160" s="30"/>
      <c r="BT160" s="30"/>
      <c r="BU160" s="30"/>
      <c r="BV160" s="30">
        <v>0.5</v>
      </c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29" t="str">
        <f>IFERROR(SUMPRODUCT(G160:CI160,'🏭 원료 마스터'!$C$4:$C$84),"")</f>
        <v/>
      </c>
      <c r="CL160" t="s">
        <v>238</v>
      </c>
    </row>
    <row r="161" spans="1:90" ht="18" customHeight="1">
      <c r="A161" s="7">
        <v>157</v>
      </c>
      <c r="B161" s="25">
        <v>46029</v>
      </c>
      <c r="C161" s="26" t="s">
        <v>145</v>
      </c>
      <c r="D161" s="27">
        <v>50</v>
      </c>
      <c r="E161" s="7"/>
      <c r="F161" s="7"/>
      <c r="G161" s="28"/>
      <c r="H161" s="28"/>
      <c r="I161" s="28"/>
      <c r="J161" s="28"/>
      <c r="K161" s="28">
        <v>1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>
        <v>0.4</v>
      </c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>
        <v>30.85</v>
      </c>
      <c r="AR161" s="28"/>
      <c r="AS161" s="28"/>
      <c r="AT161" s="28">
        <v>1.2</v>
      </c>
      <c r="AU161" s="28"/>
      <c r="AV161" s="28"/>
      <c r="AW161" s="28"/>
      <c r="AX161" s="28"/>
      <c r="AY161" s="28">
        <v>2.4</v>
      </c>
      <c r="AZ161" s="28">
        <v>5</v>
      </c>
      <c r="BA161" s="28"/>
      <c r="BB161" s="28"/>
      <c r="BC161" s="28"/>
      <c r="BD161" s="28"/>
      <c r="BE161" s="28"/>
      <c r="BF161" s="28">
        <v>0.6</v>
      </c>
      <c r="BG161" s="28"/>
      <c r="BH161" s="28"/>
      <c r="BI161" s="28"/>
      <c r="BJ161" s="28"/>
      <c r="BK161" s="28"/>
      <c r="BL161" s="28"/>
      <c r="BM161" s="28"/>
      <c r="BN161" s="28">
        <v>8.0500000000000007</v>
      </c>
      <c r="BO161" s="28"/>
      <c r="BP161" s="28"/>
      <c r="BQ161" s="28"/>
      <c r="BR161" s="28"/>
      <c r="BS161" s="28"/>
      <c r="BT161" s="28"/>
      <c r="BU161" s="28"/>
      <c r="BV161" s="28">
        <v>0.5</v>
      </c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9" t="str">
        <f>IFERROR(SUMPRODUCT(G161:CI161,'🏭 원료 마스터'!$C$4:$C$84),"")</f>
        <v/>
      </c>
      <c r="CL161" t="s">
        <v>238</v>
      </c>
    </row>
    <row r="162" spans="1:90" ht="18" customHeight="1">
      <c r="A162" s="11">
        <v>158</v>
      </c>
      <c r="B162" s="25">
        <v>46031</v>
      </c>
      <c r="C162" s="26" t="s">
        <v>212</v>
      </c>
      <c r="D162" s="27">
        <v>127.5</v>
      </c>
      <c r="E162" s="11"/>
      <c r="F162" s="1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>
        <v>9.69</v>
      </c>
      <c r="X162" s="30"/>
      <c r="Y162" s="30"/>
      <c r="Z162" s="30"/>
      <c r="AA162" s="30"/>
      <c r="AB162" s="30">
        <v>1.9125000000000001</v>
      </c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>
        <v>77.392499999999998</v>
      </c>
      <c r="AR162" s="30"/>
      <c r="AS162" s="30"/>
      <c r="AT162" s="30"/>
      <c r="AU162" s="30"/>
      <c r="AV162" s="30"/>
      <c r="AW162" s="30">
        <v>2.4224999999999999</v>
      </c>
      <c r="AX162" s="30"/>
      <c r="AY162" s="30">
        <v>9.69</v>
      </c>
      <c r="AZ162" s="30">
        <v>9.69</v>
      </c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>
        <v>15.4275</v>
      </c>
      <c r="BO162" s="30"/>
      <c r="BP162" s="30"/>
      <c r="BQ162" s="30"/>
      <c r="BR162" s="30"/>
      <c r="BS162" s="30"/>
      <c r="BT162" s="30"/>
      <c r="BU162" s="30"/>
      <c r="BV162" s="30">
        <v>1.2749999999999999</v>
      </c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29" t="str">
        <f>IFERROR(SUMPRODUCT(G162:CI162,'🏭 원료 마스터'!$C$4:$C$84),"")</f>
        <v/>
      </c>
      <c r="CL162" t="s">
        <v>238</v>
      </c>
    </row>
    <row r="163" spans="1:90" ht="18" customHeight="1">
      <c r="A163" s="7">
        <v>159</v>
      </c>
      <c r="B163" s="25">
        <v>46034</v>
      </c>
      <c r="C163" s="26" t="s">
        <v>204</v>
      </c>
      <c r="D163" s="27">
        <v>210</v>
      </c>
      <c r="E163" s="7"/>
      <c r="F163" s="7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>
        <v>6.93</v>
      </c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>
        <v>6.3</v>
      </c>
      <c r="AL163" s="28"/>
      <c r="AM163" s="28"/>
      <c r="AN163" s="28"/>
      <c r="AO163" s="28"/>
      <c r="AP163" s="28"/>
      <c r="AQ163" s="28"/>
      <c r="AR163" s="28"/>
      <c r="AS163" s="28">
        <v>4.62</v>
      </c>
      <c r="AT163" s="28"/>
      <c r="AU163" s="28"/>
      <c r="AV163" s="28"/>
      <c r="AW163" s="28"/>
      <c r="AX163" s="28"/>
      <c r="AY163" s="28"/>
      <c r="AZ163" s="28">
        <v>4.62</v>
      </c>
      <c r="BA163" s="28"/>
      <c r="BB163" s="28"/>
      <c r="BC163" s="28"/>
      <c r="BD163" s="28"/>
      <c r="BE163" s="28">
        <v>2.31</v>
      </c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>
        <v>87.36</v>
      </c>
      <c r="BR163" s="28"/>
      <c r="BS163" s="28">
        <v>2.1</v>
      </c>
      <c r="BT163" s="28"/>
      <c r="BU163" s="28">
        <v>93.24</v>
      </c>
      <c r="BV163" s="28">
        <v>1.68</v>
      </c>
      <c r="BW163" s="28"/>
      <c r="BX163" s="28"/>
      <c r="BY163" s="28"/>
      <c r="BZ163" s="28"/>
      <c r="CA163" s="28"/>
      <c r="CB163" s="28"/>
      <c r="CC163" s="28"/>
      <c r="CD163" s="28"/>
      <c r="CE163" s="28">
        <v>0.84</v>
      </c>
      <c r="CF163" s="28"/>
      <c r="CG163" s="28"/>
      <c r="CH163" s="28"/>
      <c r="CI163" s="28"/>
      <c r="CJ163" s="29" t="str">
        <f>IFERROR(SUMPRODUCT(G163:CI163,'🏭 원료 마스터'!$C$4:$C$84),"")</f>
        <v/>
      </c>
      <c r="CL163" t="s">
        <v>238</v>
      </c>
    </row>
    <row r="164" spans="1:90" ht="18" customHeight="1">
      <c r="A164" s="11">
        <v>160</v>
      </c>
      <c r="B164" s="25">
        <v>46034</v>
      </c>
      <c r="C164" s="26" t="s">
        <v>183</v>
      </c>
      <c r="D164" s="27">
        <v>140</v>
      </c>
      <c r="E164" s="11"/>
      <c r="F164" s="1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>
        <v>3.36</v>
      </c>
      <c r="AT164" s="30"/>
      <c r="AU164" s="30"/>
      <c r="AV164" s="30"/>
      <c r="AW164" s="30"/>
      <c r="AX164" s="30"/>
      <c r="AY164" s="30"/>
      <c r="AZ164" s="30">
        <v>3.36</v>
      </c>
      <c r="BA164" s="30"/>
      <c r="BB164" s="30"/>
      <c r="BC164" s="30"/>
      <c r="BD164" s="30"/>
      <c r="BE164" s="30"/>
      <c r="BF164" s="30"/>
      <c r="BG164" s="30"/>
      <c r="BH164" s="30"/>
      <c r="BI164" s="30">
        <v>1.68</v>
      </c>
      <c r="BJ164" s="30"/>
      <c r="BK164" s="30"/>
      <c r="BL164" s="30"/>
      <c r="BM164" s="30"/>
      <c r="BN164" s="30"/>
      <c r="BO164" s="30"/>
      <c r="BP164" s="30"/>
      <c r="BQ164" s="30">
        <v>62.72</v>
      </c>
      <c r="BR164" s="30"/>
      <c r="BS164" s="30">
        <v>0.28000000000000003</v>
      </c>
      <c r="BT164" s="30"/>
      <c r="BU164" s="30">
        <v>66.92</v>
      </c>
      <c r="BV164" s="30">
        <v>1.1200000000000001</v>
      </c>
      <c r="BW164" s="30"/>
      <c r="BX164" s="30"/>
      <c r="BY164" s="30"/>
      <c r="BZ164" s="30"/>
      <c r="CA164" s="30"/>
      <c r="CB164" s="30"/>
      <c r="CC164" s="30"/>
      <c r="CD164" s="30"/>
      <c r="CE164" s="30">
        <v>0.56000000000000005</v>
      </c>
      <c r="CF164" s="30"/>
      <c r="CG164" s="30"/>
      <c r="CH164" s="30"/>
      <c r="CI164" s="30"/>
      <c r="CJ164" s="29" t="str">
        <f>IFERROR(SUMPRODUCT(G164:CI164,'🏭 원료 마스터'!$C$4:$C$84),"")</f>
        <v/>
      </c>
      <c r="CL164" t="s">
        <v>238</v>
      </c>
    </row>
    <row r="165" spans="1:90" ht="18" customHeight="1">
      <c r="A165" s="7">
        <v>161</v>
      </c>
      <c r="B165" s="25">
        <v>46035</v>
      </c>
      <c r="C165" s="26" t="s">
        <v>186</v>
      </c>
      <c r="D165" s="27">
        <v>37.5</v>
      </c>
      <c r="E165" s="7"/>
      <c r="F165" s="7"/>
      <c r="G165" s="28"/>
      <c r="H165" s="28"/>
      <c r="I165" s="28"/>
      <c r="J165" s="28"/>
      <c r="K165" s="28">
        <v>0.45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>
        <v>2.25</v>
      </c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>
        <v>23.137499999999999</v>
      </c>
      <c r="AR165" s="28"/>
      <c r="AS165" s="28"/>
      <c r="AT165" s="28">
        <v>0.6</v>
      </c>
      <c r="AU165" s="28"/>
      <c r="AV165" s="28"/>
      <c r="AW165" s="28"/>
      <c r="AX165" s="28"/>
      <c r="AY165" s="28"/>
      <c r="AZ165" s="28">
        <v>3.75</v>
      </c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>
        <v>0.45</v>
      </c>
      <c r="BM165" s="28"/>
      <c r="BN165" s="28">
        <v>6.0374999999999996</v>
      </c>
      <c r="BO165" s="28"/>
      <c r="BP165" s="28"/>
      <c r="BQ165" s="28"/>
      <c r="BR165" s="28"/>
      <c r="BS165" s="28"/>
      <c r="BT165" s="28"/>
      <c r="BU165" s="28"/>
      <c r="BV165" s="28">
        <v>0.375</v>
      </c>
      <c r="BW165" s="28"/>
      <c r="BX165" s="28"/>
      <c r="BY165" s="28"/>
      <c r="BZ165" s="28">
        <v>0.45</v>
      </c>
      <c r="CA165" s="28"/>
      <c r="CB165" s="28"/>
      <c r="CC165" s="28"/>
      <c r="CD165" s="28"/>
      <c r="CE165" s="28"/>
      <c r="CF165" s="28"/>
      <c r="CG165" s="28"/>
      <c r="CH165" s="28"/>
      <c r="CI165" s="28"/>
      <c r="CJ165" s="29" t="str">
        <f>IFERROR(SUMPRODUCT(G165:CI165,'🏭 원료 마스터'!$C$4:$C$84),"")</f>
        <v/>
      </c>
      <c r="CL165" t="s">
        <v>238</v>
      </c>
    </row>
    <row r="166" spans="1:90" ht="18" customHeight="1">
      <c r="A166" s="11">
        <v>162</v>
      </c>
      <c r="B166" s="25">
        <v>46035</v>
      </c>
      <c r="C166" s="26" t="s">
        <v>183</v>
      </c>
      <c r="D166" s="27">
        <v>70</v>
      </c>
      <c r="E166" s="11"/>
      <c r="F166" s="1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>
        <v>1.68</v>
      </c>
      <c r="AT166" s="30"/>
      <c r="AU166" s="30"/>
      <c r="AV166" s="30"/>
      <c r="AW166" s="30"/>
      <c r="AX166" s="30"/>
      <c r="AY166" s="30"/>
      <c r="AZ166" s="30">
        <v>1.68</v>
      </c>
      <c r="BA166" s="30"/>
      <c r="BB166" s="30"/>
      <c r="BC166" s="30"/>
      <c r="BD166" s="30"/>
      <c r="BE166" s="30"/>
      <c r="BF166" s="30"/>
      <c r="BG166" s="30"/>
      <c r="BH166" s="30"/>
      <c r="BI166" s="30">
        <v>0.84</v>
      </c>
      <c r="BJ166" s="30"/>
      <c r="BK166" s="30"/>
      <c r="BL166" s="30"/>
      <c r="BM166" s="30"/>
      <c r="BN166" s="30"/>
      <c r="BO166" s="30"/>
      <c r="BP166" s="30"/>
      <c r="BQ166" s="30">
        <v>31.36</v>
      </c>
      <c r="BR166" s="30"/>
      <c r="BS166" s="30">
        <v>0.14000000000000001</v>
      </c>
      <c r="BT166" s="30"/>
      <c r="BU166" s="30">
        <v>33.46</v>
      </c>
      <c r="BV166" s="30">
        <v>0.56000000000000005</v>
      </c>
      <c r="BW166" s="30"/>
      <c r="BX166" s="30"/>
      <c r="BY166" s="30"/>
      <c r="BZ166" s="30"/>
      <c r="CA166" s="30"/>
      <c r="CB166" s="30"/>
      <c r="CC166" s="30"/>
      <c r="CD166" s="30"/>
      <c r="CE166" s="30">
        <v>0.28000000000000003</v>
      </c>
      <c r="CF166" s="30"/>
      <c r="CG166" s="30"/>
      <c r="CH166" s="30"/>
      <c r="CI166" s="30"/>
      <c r="CJ166" s="29" t="str">
        <f>IFERROR(SUMPRODUCT(G166:CI166,'🏭 원료 마스터'!$C$4:$C$84),"")</f>
        <v/>
      </c>
      <c r="CL166" t="s">
        <v>238</v>
      </c>
    </row>
    <row r="167" spans="1:90" ht="18" customHeight="1">
      <c r="A167" s="7">
        <v>163</v>
      </c>
      <c r="B167" s="25">
        <v>46035</v>
      </c>
      <c r="C167" s="26" t="s">
        <v>144</v>
      </c>
      <c r="D167" s="27">
        <v>70</v>
      </c>
      <c r="E167" s="7"/>
      <c r="F167" s="7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>
        <v>2.1</v>
      </c>
      <c r="AL167" s="28"/>
      <c r="AM167" s="28"/>
      <c r="AN167" s="28"/>
      <c r="AO167" s="28"/>
      <c r="AP167" s="28"/>
      <c r="AQ167" s="28"/>
      <c r="AR167" s="28"/>
      <c r="AS167" s="28">
        <v>3.29</v>
      </c>
      <c r="AT167" s="28"/>
      <c r="AU167" s="28"/>
      <c r="AV167" s="28"/>
      <c r="AW167" s="28"/>
      <c r="AX167" s="28"/>
      <c r="AY167" s="28"/>
      <c r="AZ167" s="28">
        <v>3.29</v>
      </c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>
        <v>26.53</v>
      </c>
      <c r="BO167" s="28"/>
      <c r="BP167" s="28"/>
      <c r="BQ167" s="28"/>
      <c r="BR167" s="28"/>
      <c r="BS167" s="28">
        <v>0.63</v>
      </c>
      <c r="BT167" s="28"/>
      <c r="BU167" s="28">
        <v>33.25</v>
      </c>
      <c r="BV167" s="28">
        <v>0.63</v>
      </c>
      <c r="BW167" s="28"/>
      <c r="BX167" s="28"/>
      <c r="BY167" s="28"/>
      <c r="BZ167" s="28"/>
      <c r="CA167" s="28"/>
      <c r="CB167" s="28"/>
      <c r="CC167" s="28"/>
      <c r="CD167" s="28"/>
      <c r="CE167" s="28">
        <v>0.28000000000000003</v>
      </c>
      <c r="CF167" s="28"/>
      <c r="CG167" s="28"/>
      <c r="CH167" s="28"/>
      <c r="CI167" s="28"/>
      <c r="CJ167" s="29" t="str">
        <f>IFERROR(SUMPRODUCT(G167:CI167,'🏭 원료 마스터'!$C$4:$C$84),"")</f>
        <v/>
      </c>
      <c r="CL167" t="s">
        <v>238</v>
      </c>
    </row>
    <row r="168" spans="1:90" ht="18" customHeight="1">
      <c r="A168" s="11">
        <v>164</v>
      </c>
      <c r="B168" s="25">
        <v>46036</v>
      </c>
      <c r="C168" s="26" t="s">
        <v>147</v>
      </c>
      <c r="D168" s="27">
        <v>40</v>
      </c>
      <c r="E168" s="11"/>
      <c r="F168" s="11"/>
      <c r="G168" s="30">
        <v>0.64</v>
      </c>
      <c r="H168" s="30"/>
      <c r="I168" s="30"/>
      <c r="J168" s="30">
        <v>0.68</v>
      </c>
      <c r="K168" s="30"/>
      <c r="L168" s="30">
        <v>0.12</v>
      </c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>
        <v>1.1599999999999999</v>
      </c>
      <c r="AH168" s="30">
        <v>0.48</v>
      </c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>
        <v>1.64</v>
      </c>
      <c r="AU168" s="30"/>
      <c r="AV168" s="30"/>
      <c r="AW168" s="30"/>
      <c r="AX168" s="30"/>
      <c r="AY168" s="30"/>
      <c r="AZ168" s="30">
        <v>3.44</v>
      </c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>
        <v>6.92</v>
      </c>
      <c r="BO168" s="30"/>
      <c r="BP168" s="30"/>
      <c r="BQ168" s="30"/>
      <c r="BR168" s="30"/>
      <c r="BS168" s="30"/>
      <c r="BT168" s="30"/>
      <c r="BU168" s="30">
        <v>23.04</v>
      </c>
      <c r="BV168" s="30">
        <v>0.2</v>
      </c>
      <c r="BW168" s="30"/>
      <c r="BX168" s="30"/>
      <c r="BY168" s="30">
        <v>0.24</v>
      </c>
      <c r="BZ168" s="30">
        <v>0.48</v>
      </c>
      <c r="CA168" s="30"/>
      <c r="CB168" s="30"/>
      <c r="CC168" s="30">
        <v>0.48</v>
      </c>
      <c r="CD168" s="30">
        <v>0.48</v>
      </c>
      <c r="CE168" s="30"/>
      <c r="CF168" s="30"/>
      <c r="CG168" s="30"/>
      <c r="CH168" s="30"/>
      <c r="CI168" s="30"/>
      <c r="CJ168" s="29" t="str">
        <f>IFERROR(SUMPRODUCT(G168:CI168,'🏭 원료 마스터'!$C$4:$C$84),"")</f>
        <v/>
      </c>
      <c r="CL168" t="s">
        <v>238</v>
      </c>
    </row>
    <row r="169" spans="1:90" ht="18" customHeight="1">
      <c r="A169" s="7">
        <v>165</v>
      </c>
      <c r="B169" s="25">
        <v>46036</v>
      </c>
      <c r="C169" s="26" t="s">
        <v>158</v>
      </c>
      <c r="D169" s="27">
        <v>70</v>
      </c>
      <c r="E169" s="7"/>
      <c r="F169" s="7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>
        <v>3.43</v>
      </c>
      <c r="AQ169" s="28"/>
      <c r="AR169" s="28"/>
      <c r="AS169" s="28"/>
      <c r="AT169" s="28">
        <v>0.77</v>
      </c>
      <c r="AU169" s="28"/>
      <c r="AV169" s="28"/>
      <c r="AW169" s="28"/>
      <c r="AX169" s="28"/>
      <c r="AY169" s="28"/>
      <c r="AZ169" s="28">
        <v>0.98</v>
      </c>
      <c r="BA169" s="28"/>
      <c r="BB169" s="28"/>
      <c r="BC169" s="28"/>
      <c r="BD169" s="28"/>
      <c r="BE169" s="28">
        <v>0.77</v>
      </c>
      <c r="BF169" s="28"/>
      <c r="BG169" s="28"/>
      <c r="BH169" s="28"/>
      <c r="BI169" s="28">
        <v>0.91</v>
      </c>
      <c r="BJ169" s="28"/>
      <c r="BK169" s="28"/>
      <c r="BL169" s="28"/>
      <c r="BM169" s="28"/>
      <c r="BN169" s="28">
        <v>12.32</v>
      </c>
      <c r="BO169" s="28"/>
      <c r="BP169" s="28"/>
      <c r="BQ169" s="28">
        <v>23.31</v>
      </c>
      <c r="BR169" s="28"/>
      <c r="BS169" s="28"/>
      <c r="BT169" s="28"/>
      <c r="BU169" s="28">
        <v>24.85</v>
      </c>
      <c r="BV169" s="28">
        <v>0.63</v>
      </c>
      <c r="BW169" s="28"/>
      <c r="BX169" s="28"/>
      <c r="BY169" s="28"/>
      <c r="BZ169" s="28"/>
      <c r="CA169" s="28"/>
      <c r="CB169" s="28"/>
      <c r="CC169" s="28">
        <v>1.89</v>
      </c>
      <c r="CD169" s="28"/>
      <c r="CE169" s="28">
        <v>0.14000000000000001</v>
      </c>
      <c r="CF169" s="28"/>
      <c r="CG169" s="28"/>
      <c r="CH169" s="28"/>
      <c r="CI169" s="28"/>
      <c r="CJ169" s="29" t="str">
        <f>IFERROR(SUMPRODUCT(G169:CI169,'🏭 원료 마스터'!$C$4:$C$84),"")</f>
        <v/>
      </c>
      <c r="CL169" t="s">
        <v>238</v>
      </c>
    </row>
    <row r="170" spans="1:90" ht="18" customHeight="1">
      <c r="A170" s="11">
        <v>166</v>
      </c>
      <c r="B170" s="25">
        <v>46036</v>
      </c>
      <c r="C170" s="26" t="s">
        <v>157</v>
      </c>
      <c r="D170" s="27">
        <v>70</v>
      </c>
      <c r="E170" s="11"/>
      <c r="F170" s="1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>
        <v>0.77</v>
      </c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>
        <v>3.43</v>
      </c>
      <c r="AQ170" s="30"/>
      <c r="AR170" s="30"/>
      <c r="AS170" s="30"/>
      <c r="AT170" s="30">
        <v>0.77</v>
      </c>
      <c r="AU170" s="30"/>
      <c r="AV170" s="30"/>
      <c r="AW170" s="30"/>
      <c r="AX170" s="30"/>
      <c r="AY170" s="30"/>
      <c r="AZ170" s="30">
        <v>0.98</v>
      </c>
      <c r="BA170" s="30"/>
      <c r="BB170" s="30"/>
      <c r="BC170" s="30"/>
      <c r="BD170" s="30"/>
      <c r="BE170" s="30"/>
      <c r="BF170" s="30"/>
      <c r="BG170" s="30"/>
      <c r="BH170" s="30"/>
      <c r="BI170" s="30">
        <v>0.91</v>
      </c>
      <c r="BJ170" s="30"/>
      <c r="BK170" s="30"/>
      <c r="BL170" s="30"/>
      <c r="BM170" s="30"/>
      <c r="BN170" s="30">
        <v>12.32</v>
      </c>
      <c r="BO170" s="30"/>
      <c r="BP170" s="30"/>
      <c r="BQ170" s="30">
        <v>23.31</v>
      </c>
      <c r="BR170" s="30"/>
      <c r="BS170" s="30"/>
      <c r="BT170" s="30"/>
      <c r="BU170" s="30">
        <v>24.85</v>
      </c>
      <c r="BV170" s="30">
        <v>0.63</v>
      </c>
      <c r="BW170" s="30"/>
      <c r="BX170" s="30"/>
      <c r="BY170" s="30"/>
      <c r="BZ170" s="30"/>
      <c r="CA170" s="30"/>
      <c r="CB170" s="30"/>
      <c r="CC170" s="30">
        <v>1.89</v>
      </c>
      <c r="CD170" s="30"/>
      <c r="CE170" s="30">
        <v>0.14000000000000001</v>
      </c>
      <c r="CF170" s="30"/>
      <c r="CG170" s="30"/>
      <c r="CH170" s="30"/>
      <c r="CI170" s="30"/>
      <c r="CJ170" s="29" t="str">
        <f>IFERROR(SUMPRODUCT(G170:CI170,'🏭 원료 마스터'!$C$4:$C$84),"")</f>
        <v/>
      </c>
      <c r="CL170" t="s">
        <v>238</v>
      </c>
    </row>
    <row r="171" spans="1:90" ht="18" customHeight="1">
      <c r="A171" s="7">
        <v>167</v>
      </c>
      <c r="B171" s="25">
        <v>46036</v>
      </c>
      <c r="C171" s="26" t="s">
        <v>156</v>
      </c>
      <c r="D171" s="27">
        <v>70</v>
      </c>
      <c r="E171" s="7"/>
      <c r="F171" s="7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>
        <v>0.77</v>
      </c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>
        <v>3.43</v>
      </c>
      <c r="AQ171" s="28"/>
      <c r="AR171" s="28"/>
      <c r="AS171" s="28"/>
      <c r="AT171" s="28">
        <v>0.77</v>
      </c>
      <c r="AU171" s="28"/>
      <c r="AV171" s="28"/>
      <c r="AW171" s="28"/>
      <c r="AX171" s="28"/>
      <c r="AY171" s="28"/>
      <c r="AZ171" s="28">
        <v>0.98</v>
      </c>
      <c r="BA171" s="28"/>
      <c r="BB171" s="28"/>
      <c r="BC171" s="28"/>
      <c r="BD171" s="28"/>
      <c r="BE171" s="28"/>
      <c r="BF171" s="28"/>
      <c r="BG171" s="28"/>
      <c r="BH171" s="28"/>
      <c r="BI171" s="28">
        <v>0.91</v>
      </c>
      <c r="BJ171" s="28"/>
      <c r="BK171" s="28"/>
      <c r="BL171" s="28"/>
      <c r="BM171" s="28"/>
      <c r="BN171" s="28">
        <v>12.32</v>
      </c>
      <c r="BO171" s="28"/>
      <c r="BP171" s="28"/>
      <c r="BQ171" s="28">
        <v>23.31</v>
      </c>
      <c r="BR171" s="28"/>
      <c r="BS171" s="28"/>
      <c r="BT171" s="28"/>
      <c r="BU171" s="28">
        <v>24.85</v>
      </c>
      <c r="BV171" s="28">
        <v>0.63</v>
      </c>
      <c r="BW171" s="28"/>
      <c r="BX171" s="28"/>
      <c r="BY171" s="28"/>
      <c r="BZ171" s="28"/>
      <c r="CA171" s="28"/>
      <c r="CB171" s="28"/>
      <c r="CC171" s="28">
        <v>1.89</v>
      </c>
      <c r="CD171" s="28"/>
      <c r="CE171" s="28">
        <v>0.14000000000000001</v>
      </c>
      <c r="CF171" s="28"/>
      <c r="CG171" s="28"/>
      <c r="CH171" s="28"/>
      <c r="CI171" s="28"/>
      <c r="CJ171" s="29" t="str">
        <f>IFERROR(SUMPRODUCT(G171:CI171,'🏭 원료 마스터'!$C$4:$C$84),"")</f>
        <v/>
      </c>
      <c r="CL171" t="s">
        <v>238</v>
      </c>
    </row>
    <row r="172" spans="1:90" ht="18" customHeight="1">
      <c r="A172" s="11">
        <v>168</v>
      </c>
      <c r="B172" s="25">
        <v>46037</v>
      </c>
      <c r="C172" s="26" t="s">
        <v>183</v>
      </c>
      <c r="D172" s="27">
        <v>70</v>
      </c>
      <c r="E172" s="11"/>
      <c r="F172" s="1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>
        <v>1.68</v>
      </c>
      <c r="AT172" s="30"/>
      <c r="AU172" s="30"/>
      <c r="AV172" s="30"/>
      <c r="AW172" s="30"/>
      <c r="AX172" s="30"/>
      <c r="AY172" s="30"/>
      <c r="AZ172" s="30">
        <v>1.68</v>
      </c>
      <c r="BA172" s="30"/>
      <c r="BB172" s="30"/>
      <c r="BC172" s="30"/>
      <c r="BD172" s="30"/>
      <c r="BE172" s="30"/>
      <c r="BF172" s="30"/>
      <c r="BG172" s="30"/>
      <c r="BH172" s="30"/>
      <c r="BI172" s="30">
        <v>0.84</v>
      </c>
      <c r="BJ172" s="30"/>
      <c r="BK172" s="30"/>
      <c r="BL172" s="30"/>
      <c r="BM172" s="30"/>
      <c r="BN172" s="30"/>
      <c r="BO172" s="30"/>
      <c r="BP172" s="30"/>
      <c r="BQ172" s="30">
        <v>31.36</v>
      </c>
      <c r="BR172" s="30"/>
      <c r="BS172" s="30">
        <v>0.14000000000000001</v>
      </c>
      <c r="BT172" s="30"/>
      <c r="BU172" s="30">
        <v>33.46</v>
      </c>
      <c r="BV172" s="30">
        <v>0.56000000000000005</v>
      </c>
      <c r="BW172" s="30"/>
      <c r="BX172" s="30"/>
      <c r="BY172" s="30"/>
      <c r="BZ172" s="30"/>
      <c r="CA172" s="30"/>
      <c r="CB172" s="30"/>
      <c r="CC172" s="30"/>
      <c r="CD172" s="30"/>
      <c r="CE172" s="30">
        <v>0.28000000000000003</v>
      </c>
      <c r="CF172" s="30"/>
      <c r="CG172" s="30"/>
      <c r="CH172" s="30"/>
      <c r="CI172" s="30"/>
      <c r="CJ172" s="29" t="str">
        <f>IFERROR(SUMPRODUCT(G172:CI172,'🏭 원료 마스터'!$C$4:$C$84),"")</f>
        <v/>
      </c>
      <c r="CL172" t="s">
        <v>238</v>
      </c>
    </row>
    <row r="173" spans="1:90" ht="18" customHeight="1">
      <c r="A173" s="7">
        <v>169</v>
      </c>
      <c r="B173" s="25">
        <v>46038</v>
      </c>
      <c r="C173" s="26" t="s">
        <v>179</v>
      </c>
      <c r="D173" s="27">
        <v>70</v>
      </c>
      <c r="E173" s="7"/>
      <c r="F173" s="7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>
        <v>6.16</v>
      </c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>
        <v>3.08</v>
      </c>
      <c r="AT173" s="28"/>
      <c r="AU173" s="28"/>
      <c r="AV173" s="28"/>
      <c r="AW173" s="28"/>
      <c r="AX173" s="28"/>
      <c r="AY173" s="28"/>
      <c r="AZ173" s="28">
        <v>3.08</v>
      </c>
      <c r="BA173" s="28"/>
      <c r="BB173" s="28"/>
      <c r="BC173" s="28"/>
      <c r="BD173" s="28"/>
      <c r="BE173" s="28">
        <v>0.32900000000000001</v>
      </c>
      <c r="BF173" s="28"/>
      <c r="BG173" s="28"/>
      <c r="BH173" s="28"/>
      <c r="BI173" s="28"/>
      <c r="BJ173" s="28"/>
      <c r="BK173" s="28"/>
      <c r="BL173" s="28"/>
      <c r="BM173" s="28"/>
      <c r="BN173" s="28">
        <v>25.123000000000001</v>
      </c>
      <c r="BO173" s="28"/>
      <c r="BP173" s="28"/>
      <c r="BQ173" s="28"/>
      <c r="BR173" s="28"/>
      <c r="BS173" s="28">
        <v>0.63</v>
      </c>
      <c r="BT173" s="28"/>
      <c r="BU173" s="28">
        <v>30.771999999999998</v>
      </c>
      <c r="BV173" s="28">
        <v>0.56000000000000005</v>
      </c>
      <c r="BW173" s="28"/>
      <c r="BX173" s="28"/>
      <c r="BY173" s="28"/>
      <c r="BZ173" s="28"/>
      <c r="CA173" s="28"/>
      <c r="CB173" s="28"/>
      <c r="CC173" s="28"/>
      <c r="CD173" s="28"/>
      <c r="CE173" s="28">
        <v>0.26600000000000001</v>
      </c>
      <c r="CF173" s="28"/>
      <c r="CG173" s="28"/>
      <c r="CH173" s="28"/>
      <c r="CI173" s="28"/>
      <c r="CJ173" s="29" t="str">
        <f>IFERROR(SUMPRODUCT(G173:CI173,'🏭 원료 마스터'!$C$4:$C$84),"")</f>
        <v/>
      </c>
      <c r="CL173" t="s">
        <v>238</v>
      </c>
    </row>
    <row r="174" spans="1:90" ht="18" customHeight="1">
      <c r="A174" s="11">
        <v>170</v>
      </c>
      <c r="B174" s="25">
        <v>46038</v>
      </c>
      <c r="C174" s="26" t="s">
        <v>206</v>
      </c>
      <c r="D174" s="27">
        <v>140</v>
      </c>
      <c r="E174" s="11"/>
      <c r="F174" s="1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>
        <v>6.6779999999999999</v>
      </c>
      <c r="AT174" s="30"/>
      <c r="AU174" s="30"/>
      <c r="AV174" s="30"/>
      <c r="AW174" s="30"/>
      <c r="AX174" s="30"/>
      <c r="AY174" s="30"/>
      <c r="AZ174" s="30">
        <v>6.6779999999999999</v>
      </c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>
        <v>56.853999999999999</v>
      </c>
      <c r="BO174" s="30"/>
      <c r="BP174" s="30"/>
      <c r="BQ174" s="30"/>
      <c r="BR174" s="30"/>
      <c r="BS174" s="30">
        <v>1.3580000000000001</v>
      </c>
      <c r="BT174" s="30"/>
      <c r="BU174" s="30">
        <v>66.668000000000006</v>
      </c>
      <c r="BV174" s="30">
        <v>1.204</v>
      </c>
      <c r="BW174" s="30"/>
      <c r="BX174" s="30"/>
      <c r="BY174" s="30"/>
      <c r="BZ174" s="30"/>
      <c r="CA174" s="30"/>
      <c r="CB174" s="30"/>
      <c r="CC174" s="30"/>
      <c r="CD174" s="30"/>
      <c r="CE174" s="30">
        <v>0.56000000000000005</v>
      </c>
      <c r="CF174" s="30"/>
      <c r="CG174" s="30"/>
      <c r="CH174" s="30"/>
      <c r="CI174" s="30"/>
      <c r="CJ174" s="29" t="str">
        <f>IFERROR(SUMPRODUCT(G174:CI174,'🏭 원료 마스터'!$C$4:$C$84),"")</f>
        <v/>
      </c>
      <c r="CL174" t="s">
        <v>238</v>
      </c>
    </row>
    <row r="175" spans="1:90" ht="18" customHeight="1">
      <c r="A175" s="7">
        <v>171</v>
      </c>
      <c r="B175" s="25">
        <v>46041</v>
      </c>
      <c r="C175" s="26" t="s">
        <v>152</v>
      </c>
      <c r="D175" s="27">
        <v>220</v>
      </c>
      <c r="E175" s="7"/>
      <c r="F175" s="7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>
        <v>6.5119999999999996</v>
      </c>
      <c r="V175" s="28"/>
      <c r="W175" s="28"/>
      <c r="X175" s="28"/>
      <c r="Y175" s="28"/>
      <c r="Z175" s="28"/>
      <c r="AA175" s="28">
        <v>7.8540000000000001</v>
      </c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>
        <v>11.946</v>
      </c>
      <c r="AT175" s="28"/>
      <c r="AU175" s="28"/>
      <c r="AV175" s="28"/>
      <c r="AW175" s="28"/>
      <c r="AX175" s="28">
        <v>14.564</v>
      </c>
      <c r="AY175" s="28"/>
      <c r="AZ175" s="28">
        <v>3.1240000000000001</v>
      </c>
      <c r="BA175" s="28"/>
      <c r="BB175" s="28"/>
      <c r="BC175" s="28"/>
      <c r="BD175" s="28"/>
      <c r="BE175" s="28"/>
      <c r="BF175" s="28"/>
      <c r="BG175" s="28"/>
      <c r="BH175" s="28">
        <v>1.0780000000000001</v>
      </c>
      <c r="BI175" s="28"/>
      <c r="BJ175" s="28"/>
      <c r="BK175" s="28"/>
      <c r="BL175" s="28"/>
      <c r="BM175" s="28"/>
      <c r="BN175" s="28">
        <v>6.82</v>
      </c>
      <c r="BO175" s="28">
        <v>0.52800000000000002</v>
      </c>
      <c r="BP175" s="28">
        <v>22.352</v>
      </c>
      <c r="BQ175" s="28"/>
      <c r="BR175" s="28"/>
      <c r="BS175" s="28">
        <v>0.85799999999999998</v>
      </c>
      <c r="BT175" s="28"/>
      <c r="BU175" s="28">
        <v>117.04</v>
      </c>
      <c r="BV175" s="28"/>
      <c r="BW175" s="28">
        <v>14.63</v>
      </c>
      <c r="BX175" s="28">
        <v>7.8540000000000001</v>
      </c>
      <c r="BY175" s="28"/>
      <c r="BZ175" s="28"/>
      <c r="CA175" s="28"/>
      <c r="CB175" s="28"/>
      <c r="CC175" s="28"/>
      <c r="CD175" s="28"/>
      <c r="CE175" s="28"/>
      <c r="CF175" s="28"/>
      <c r="CG175" s="28">
        <v>4.84</v>
      </c>
      <c r="CH175" s="28"/>
      <c r="CI175" s="28"/>
      <c r="CJ175" s="29" t="str">
        <f>IFERROR(SUMPRODUCT(G175:CI175,'🏭 원료 마스터'!$C$4:$C$84),"")</f>
        <v/>
      </c>
      <c r="CL175" t="s">
        <v>238</v>
      </c>
    </row>
    <row r="176" spans="1:90" ht="18" customHeight="1">
      <c r="A176" s="11">
        <v>172</v>
      </c>
      <c r="B176" s="25">
        <v>46041</v>
      </c>
      <c r="C176" s="26" t="s">
        <v>149</v>
      </c>
      <c r="D176" s="27">
        <v>220</v>
      </c>
      <c r="E176" s="11"/>
      <c r="F176" s="11"/>
      <c r="G176" s="30"/>
      <c r="H176" s="30"/>
      <c r="I176" s="30"/>
      <c r="J176" s="30"/>
      <c r="K176" s="30"/>
      <c r="L176" s="30"/>
      <c r="M176" s="30"/>
      <c r="N176" s="30"/>
      <c r="O176" s="30">
        <v>5.5</v>
      </c>
      <c r="P176" s="30">
        <v>10.208</v>
      </c>
      <c r="Q176" s="30"/>
      <c r="R176" s="30"/>
      <c r="S176" s="30"/>
      <c r="T176" s="30"/>
      <c r="U176" s="30">
        <v>6.5119999999999996</v>
      </c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>
        <v>11.946</v>
      </c>
      <c r="AT176" s="30"/>
      <c r="AU176" s="30"/>
      <c r="AV176" s="30"/>
      <c r="AW176" s="30"/>
      <c r="AX176" s="30">
        <v>14.564</v>
      </c>
      <c r="AY176" s="30"/>
      <c r="AZ176" s="30">
        <v>3.1240000000000001</v>
      </c>
      <c r="BA176" s="30"/>
      <c r="BB176" s="30"/>
      <c r="BC176" s="30"/>
      <c r="BD176" s="30"/>
      <c r="BE176" s="30"/>
      <c r="BF176" s="30"/>
      <c r="BG176" s="30"/>
      <c r="BH176" s="30">
        <v>1.0780000000000001</v>
      </c>
      <c r="BI176" s="30"/>
      <c r="BJ176" s="30"/>
      <c r="BK176" s="30"/>
      <c r="BL176" s="30"/>
      <c r="BM176" s="30"/>
      <c r="BN176" s="30">
        <v>6.82</v>
      </c>
      <c r="BO176" s="30">
        <v>0.52800000000000002</v>
      </c>
      <c r="BP176" s="30">
        <v>22.352</v>
      </c>
      <c r="BQ176" s="30"/>
      <c r="BR176" s="30"/>
      <c r="BS176" s="30">
        <v>0.85799999999999998</v>
      </c>
      <c r="BT176" s="30"/>
      <c r="BU176" s="30">
        <v>117.04</v>
      </c>
      <c r="BV176" s="30"/>
      <c r="BW176" s="30">
        <v>14.63</v>
      </c>
      <c r="BX176" s="30"/>
      <c r="BY176" s="30"/>
      <c r="BZ176" s="30"/>
      <c r="CA176" s="30"/>
      <c r="CB176" s="30"/>
      <c r="CC176" s="30"/>
      <c r="CD176" s="30"/>
      <c r="CE176" s="30"/>
      <c r="CF176" s="30"/>
      <c r="CG176" s="30">
        <v>4.84</v>
      </c>
      <c r="CH176" s="30"/>
      <c r="CI176" s="30"/>
      <c r="CJ176" s="29" t="str">
        <f>IFERROR(SUMPRODUCT(G176:CI176,'🏭 원료 마스터'!$C$4:$C$84),"")</f>
        <v/>
      </c>
      <c r="CL176" t="s">
        <v>238</v>
      </c>
    </row>
    <row r="177" spans="1:90" ht="18" customHeight="1">
      <c r="A177" s="7">
        <v>173</v>
      </c>
      <c r="B177" s="25">
        <v>46041</v>
      </c>
      <c r="C177" s="26" t="s">
        <v>153</v>
      </c>
      <c r="D177" s="27">
        <v>220</v>
      </c>
      <c r="E177" s="7"/>
      <c r="F177" s="7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>
        <v>6.5119999999999996</v>
      </c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>
        <v>15.708</v>
      </c>
      <c r="AP177" s="28"/>
      <c r="AQ177" s="28"/>
      <c r="AR177" s="28"/>
      <c r="AS177" s="28">
        <v>11.946</v>
      </c>
      <c r="AT177" s="28"/>
      <c r="AU177" s="28"/>
      <c r="AV177" s="28"/>
      <c r="AW177" s="28"/>
      <c r="AX177" s="28">
        <v>14.564</v>
      </c>
      <c r="AY177" s="28"/>
      <c r="AZ177" s="28">
        <v>3.1240000000000001</v>
      </c>
      <c r="BA177" s="28"/>
      <c r="BB177" s="28"/>
      <c r="BC177" s="28"/>
      <c r="BD177" s="28"/>
      <c r="BE177" s="28"/>
      <c r="BF177" s="28"/>
      <c r="BG177" s="28"/>
      <c r="BH177" s="28">
        <v>1.0780000000000001</v>
      </c>
      <c r="BI177" s="28"/>
      <c r="BJ177" s="28"/>
      <c r="BK177" s="28"/>
      <c r="BL177" s="28"/>
      <c r="BM177" s="28"/>
      <c r="BN177" s="28">
        <v>6.82</v>
      </c>
      <c r="BO177" s="28">
        <v>0.52800000000000002</v>
      </c>
      <c r="BP177" s="28">
        <v>22.352</v>
      </c>
      <c r="BQ177" s="28"/>
      <c r="BR177" s="28"/>
      <c r="BS177" s="28">
        <v>0.85799999999999998</v>
      </c>
      <c r="BT177" s="28"/>
      <c r="BU177" s="28">
        <v>117.04</v>
      </c>
      <c r="BV177" s="28"/>
      <c r="BW177" s="28">
        <v>14.63</v>
      </c>
      <c r="BX177" s="28"/>
      <c r="BY177" s="28"/>
      <c r="BZ177" s="28"/>
      <c r="CA177" s="28"/>
      <c r="CB177" s="28"/>
      <c r="CC177" s="28"/>
      <c r="CD177" s="28"/>
      <c r="CE177" s="28"/>
      <c r="CF177" s="28"/>
      <c r="CG177" s="28">
        <v>4.84</v>
      </c>
      <c r="CH177" s="28"/>
      <c r="CI177" s="28"/>
      <c r="CJ177" s="29" t="str">
        <f>IFERROR(SUMPRODUCT(G177:CI177,'🏭 원료 마스터'!$C$4:$C$84),"")</f>
        <v/>
      </c>
      <c r="CL177" t="s">
        <v>238</v>
      </c>
    </row>
    <row r="178" spans="1:90" ht="18" customHeight="1">
      <c r="A178" s="11">
        <v>174</v>
      </c>
      <c r="B178" s="25">
        <v>46042</v>
      </c>
      <c r="C178" s="26" t="s">
        <v>154</v>
      </c>
      <c r="D178" s="27">
        <v>220</v>
      </c>
      <c r="E178" s="11"/>
      <c r="F178" s="1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>
        <v>6.5119999999999996</v>
      </c>
      <c r="V178" s="30">
        <v>15.708</v>
      </c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>
        <v>11.946</v>
      </c>
      <c r="AT178" s="30"/>
      <c r="AU178" s="30"/>
      <c r="AV178" s="30"/>
      <c r="AW178" s="30"/>
      <c r="AX178" s="30">
        <v>14.564</v>
      </c>
      <c r="AY178" s="30"/>
      <c r="AZ178" s="30">
        <v>3.1240000000000001</v>
      </c>
      <c r="BA178" s="30"/>
      <c r="BB178" s="30"/>
      <c r="BC178" s="30"/>
      <c r="BD178" s="30"/>
      <c r="BE178" s="30"/>
      <c r="BF178" s="30"/>
      <c r="BG178" s="30"/>
      <c r="BH178" s="30">
        <v>1.0780000000000001</v>
      </c>
      <c r="BI178" s="30"/>
      <c r="BJ178" s="30"/>
      <c r="BK178" s="30"/>
      <c r="BL178" s="30"/>
      <c r="BM178" s="30"/>
      <c r="BN178" s="30">
        <v>6.82</v>
      </c>
      <c r="BO178" s="30">
        <v>0.52800000000000002</v>
      </c>
      <c r="BP178" s="30">
        <v>22.352</v>
      </c>
      <c r="BQ178" s="30"/>
      <c r="BR178" s="30"/>
      <c r="BS178" s="30">
        <v>0.85799999999999998</v>
      </c>
      <c r="BT178" s="30"/>
      <c r="BU178" s="30">
        <v>117.04</v>
      </c>
      <c r="BV178" s="30"/>
      <c r="BW178" s="30">
        <v>14.63</v>
      </c>
      <c r="BX178" s="30"/>
      <c r="BY178" s="30"/>
      <c r="BZ178" s="30"/>
      <c r="CA178" s="30"/>
      <c r="CB178" s="30"/>
      <c r="CC178" s="30"/>
      <c r="CD178" s="30"/>
      <c r="CE178" s="30"/>
      <c r="CF178" s="30"/>
      <c r="CG178" s="30">
        <v>4.84</v>
      </c>
      <c r="CH178" s="30"/>
      <c r="CI178" s="30"/>
      <c r="CJ178" s="29" t="str">
        <f>IFERROR(SUMPRODUCT(G178:CI178,'🏭 원료 마스터'!$C$4:$C$84),"")</f>
        <v/>
      </c>
      <c r="CL178" t="s">
        <v>238</v>
      </c>
    </row>
    <row r="179" spans="1:90" ht="18" customHeight="1">
      <c r="A179" s="7">
        <v>175</v>
      </c>
      <c r="B179" s="25">
        <v>46042</v>
      </c>
      <c r="C179" s="26" t="s">
        <v>151</v>
      </c>
      <c r="D179" s="27">
        <v>220</v>
      </c>
      <c r="E179" s="7"/>
      <c r="F179" s="7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>
        <v>6.5119999999999996</v>
      </c>
      <c r="V179" s="28"/>
      <c r="W179" s="28"/>
      <c r="X179" s="28"/>
      <c r="Y179" s="28"/>
      <c r="Z179" s="28">
        <v>15.708</v>
      </c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>
        <v>11.946</v>
      </c>
      <c r="AT179" s="28"/>
      <c r="AU179" s="28"/>
      <c r="AV179" s="28"/>
      <c r="AW179" s="28"/>
      <c r="AX179" s="28">
        <v>14.564</v>
      </c>
      <c r="AY179" s="28"/>
      <c r="AZ179" s="28">
        <v>3.1240000000000001</v>
      </c>
      <c r="BA179" s="28"/>
      <c r="BB179" s="28"/>
      <c r="BC179" s="28"/>
      <c r="BD179" s="28"/>
      <c r="BE179" s="28"/>
      <c r="BF179" s="28"/>
      <c r="BG179" s="28"/>
      <c r="BH179" s="28">
        <v>1.0780000000000001</v>
      </c>
      <c r="BI179" s="28"/>
      <c r="BJ179" s="28"/>
      <c r="BK179" s="28"/>
      <c r="BL179" s="28"/>
      <c r="BM179" s="28"/>
      <c r="BN179" s="28">
        <v>6.82</v>
      </c>
      <c r="BO179" s="28">
        <v>0.52800000000000002</v>
      </c>
      <c r="BP179" s="28">
        <v>22.352</v>
      </c>
      <c r="BQ179" s="28"/>
      <c r="BR179" s="28"/>
      <c r="BS179" s="28">
        <v>0.85799999999999998</v>
      </c>
      <c r="BT179" s="28"/>
      <c r="BU179" s="28">
        <v>117.04</v>
      </c>
      <c r="BV179" s="28"/>
      <c r="BW179" s="28">
        <v>14.63</v>
      </c>
      <c r="BX179" s="28"/>
      <c r="BY179" s="28"/>
      <c r="BZ179" s="28"/>
      <c r="CA179" s="28"/>
      <c r="CB179" s="28"/>
      <c r="CC179" s="28"/>
      <c r="CD179" s="28"/>
      <c r="CE179" s="28"/>
      <c r="CF179" s="28"/>
      <c r="CG179" s="28">
        <v>4.84</v>
      </c>
      <c r="CH179" s="28"/>
      <c r="CI179" s="28"/>
      <c r="CJ179" s="29" t="str">
        <f>IFERROR(SUMPRODUCT(G179:CI179,'🏭 원료 마스터'!$C$4:$C$84),"")</f>
        <v/>
      </c>
      <c r="CL179" t="s">
        <v>238</v>
      </c>
    </row>
    <row r="180" spans="1:90" ht="18" customHeight="1">
      <c r="A180" s="11">
        <v>176</v>
      </c>
      <c r="B180" s="25">
        <v>46042</v>
      </c>
      <c r="C180" s="26" t="s">
        <v>150</v>
      </c>
      <c r="D180" s="27">
        <v>220</v>
      </c>
      <c r="E180" s="11"/>
      <c r="F180" s="1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>
        <v>6.5119999999999996</v>
      </c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>
        <v>7.8540000000000001</v>
      </c>
      <c r="AN180" s="30"/>
      <c r="AO180" s="30"/>
      <c r="AP180" s="30"/>
      <c r="AQ180" s="30"/>
      <c r="AR180" s="30"/>
      <c r="AS180" s="30">
        <v>11.946</v>
      </c>
      <c r="AT180" s="30"/>
      <c r="AU180" s="30"/>
      <c r="AV180" s="30"/>
      <c r="AW180" s="30"/>
      <c r="AX180" s="30">
        <v>14.564</v>
      </c>
      <c r="AY180" s="30"/>
      <c r="AZ180" s="30">
        <v>3.1240000000000001</v>
      </c>
      <c r="BA180" s="30">
        <v>7.8540000000000001</v>
      </c>
      <c r="BB180" s="30"/>
      <c r="BC180" s="30"/>
      <c r="BD180" s="30"/>
      <c r="BE180" s="30"/>
      <c r="BF180" s="30"/>
      <c r="BG180" s="30"/>
      <c r="BH180" s="30">
        <v>1.0780000000000001</v>
      </c>
      <c r="BI180" s="30"/>
      <c r="BJ180" s="30"/>
      <c r="BK180" s="30"/>
      <c r="BL180" s="30"/>
      <c r="BM180" s="30"/>
      <c r="BN180" s="30">
        <v>6.82</v>
      </c>
      <c r="BO180" s="30">
        <v>0.52800000000000002</v>
      </c>
      <c r="BP180" s="30">
        <v>22.352</v>
      </c>
      <c r="BQ180" s="30"/>
      <c r="BR180" s="30"/>
      <c r="BS180" s="30">
        <v>0.85799999999999998</v>
      </c>
      <c r="BT180" s="30"/>
      <c r="BU180" s="30">
        <v>117.04</v>
      </c>
      <c r="BV180" s="30"/>
      <c r="BW180" s="30">
        <v>14.63</v>
      </c>
      <c r="BX180" s="30"/>
      <c r="BY180" s="30"/>
      <c r="BZ180" s="30"/>
      <c r="CA180" s="30"/>
      <c r="CB180" s="30"/>
      <c r="CC180" s="30"/>
      <c r="CD180" s="30"/>
      <c r="CE180" s="30"/>
      <c r="CF180" s="30"/>
      <c r="CG180" s="30">
        <v>4.84</v>
      </c>
      <c r="CH180" s="30"/>
      <c r="CI180" s="30"/>
      <c r="CJ180" s="29" t="str">
        <f>IFERROR(SUMPRODUCT(G180:CI180,'🏭 원료 마스터'!$C$4:$C$84),"")</f>
        <v/>
      </c>
      <c r="CL180" t="s">
        <v>238</v>
      </c>
    </row>
    <row r="181" spans="1:90" ht="18" customHeight="1">
      <c r="A181" s="7">
        <v>177</v>
      </c>
      <c r="B181" s="25">
        <v>46044</v>
      </c>
      <c r="C181" s="26" t="s">
        <v>144</v>
      </c>
      <c r="D181" s="27">
        <v>140</v>
      </c>
      <c r="E181" s="7"/>
      <c r="F181" s="7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>
        <v>4.2</v>
      </c>
      <c r="AL181" s="28"/>
      <c r="AM181" s="28"/>
      <c r="AN181" s="28"/>
      <c r="AO181" s="28"/>
      <c r="AP181" s="28"/>
      <c r="AQ181" s="28"/>
      <c r="AR181" s="28"/>
      <c r="AS181" s="28">
        <v>6.58</v>
      </c>
      <c r="AT181" s="28"/>
      <c r="AU181" s="28"/>
      <c r="AV181" s="28"/>
      <c r="AW181" s="28"/>
      <c r="AX181" s="28"/>
      <c r="AY181" s="28"/>
      <c r="AZ181" s="28">
        <v>6.58</v>
      </c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>
        <v>53.06</v>
      </c>
      <c r="BO181" s="28"/>
      <c r="BP181" s="28"/>
      <c r="BQ181" s="28"/>
      <c r="BR181" s="28"/>
      <c r="BS181" s="28">
        <v>1.26</v>
      </c>
      <c r="BT181" s="28"/>
      <c r="BU181" s="28">
        <v>66.5</v>
      </c>
      <c r="BV181" s="28">
        <v>1.26</v>
      </c>
      <c r="BW181" s="28"/>
      <c r="BX181" s="28"/>
      <c r="BY181" s="28"/>
      <c r="BZ181" s="28"/>
      <c r="CA181" s="28"/>
      <c r="CB181" s="28"/>
      <c r="CC181" s="28"/>
      <c r="CD181" s="28"/>
      <c r="CE181" s="28">
        <v>0.56000000000000005</v>
      </c>
      <c r="CF181" s="28"/>
      <c r="CG181" s="28"/>
      <c r="CH181" s="28"/>
      <c r="CI181" s="28"/>
      <c r="CJ181" s="29" t="str">
        <f>IFERROR(SUMPRODUCT(G181:CI181,'🏭 원료 마스터'!$C$4:$C$84),"")</f>
        <v/>
      </c>
      <c r="CL181" t="s">
        <v>238</v>
      </c>
    </row>
    <row r="182" spans="1:90" ht="18" customHeight="1">
      <c r="A182" s="11">
        <v>178</v>
      </c>
      <c r="B182" s="25">
        <v>46044</v>
      </c>
      <c r="C182" s="26" t="s">
        <v>191</v>
      </c>
      <c r="D182" s="27">
        <v>550</v>
      </c>
      <c r="E182" s="11"/>
      <c r="F182" s="1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>
        <v>11</v>
      </c>
      <c r="AR182" s="30"/>
      <c r="AS182" s="30"/>
      <c r="AT182" s="30"/>
      <c r="AU182" s="30"/>
      <c r="AV182" s="30"/>
      <c r="AW182" s="30"/>
      <c r="AX182" s="30"/>
      <c r="AY182" s="30"/>
      <c r="AZ182" s="30">
        <v>104.5</v>
      </c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>
        <v>16.5</v>
      </c>
      <c r="BO182" s="30"/>
      <c r="BP182" s="30"/>
      <c r="BQ182" s="30">
        <v>99</v>
      </c>
      <c r="BR182" s="30"/>
      <c r="BS182" s="30">
        <v>11</v>
      </c>
      <c r="BT182" s="30"/>
      <c r="BU182" s="30">
        <v>236.5</v>
      </c>
      <c r="BV182" s="30">
        <v>11</v>
      </c>
      <c r="BW182" s="30"/>
      <c r="BX182" s="30"/>
      <c r="BY182" s="30"/>
      <c r="BZ182" s="30"/>
      <c r="CA182" s="30"/>
      <c r="CB182" s="30"/>
      <c r="CC182" s="30"/>
      <c r="CD182" s="30"/>
      <c r="CE182" s="30">
        <v>11</v>
      </c>
      <c r="CF182" s="30"/>
      <c r="CG182" s="30"/>
      <c r="CH182" s="30"/>
      <c r="CI182" s="30">
        <v>49.5</v>
      </c>
      <c r="CJ182" s="29" t="str">
        <f>IFERROR(SUMPRODUCT(G182:CI182,'🏭 원료 마스터'!$C$4:$C$84),"")</f>
        <v/>
      </c>
      <c r="CL182" t="s">
        <v>238</v>
      </c>
    </row>
    <row r="183" spans="1:90" ht="18" customHeight="1">
      <c r="A183" s="7">
        <v>179</v>
      </c>
      <c r="B183" s="25">
        <v>46045</v>
      </c>
      <c r="C183" s="26" t="s">
        <v>191</v>
      </c>
      <c r="D183" s="27">
        <v>550</v>
      </c>
      <c r="E183" s="7"/>
      <c r="F183" s="7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>
        <v>11</v>
      </c>
      <c r="AR183" s="28"/>
      <c r="AS183" s="28"/>
      <c r="AT183" s="28"/>
      <c r="AU183" s="28"/>
      <c r="AV183" s="28"/>
      <c r="AW183" s="28"/>
      <c r="AX183" s="28"/>
      <c r="AY183" s="28"/>
      <c r="AZ183" s="28">
        <v>104.5</v>
      </c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>
        <v>16.5</v>
      </c>
      <c r="BO183" s="28"/>
      <c r="BP183" s="28"/>
      <c r="BQ183" s="28">
        <v>99</v>
      </c>
      <c r="BR183" s="28"/>
      <c r="BS183" s="28">
        <v>11</v>
      </c>
      <c r="BT183" s="28"/>
      <c r="BU183" s="28">
        <v>236.5</v>
      </c>
      <c r="BV183" s="28">
        <v>11</v>
      </c>
      <c r="BW183" s="28"/>
      <c r="BX183" s="28"/>
      <c r="BY183" s="28"/>
      <c r="BZ183" s="28"/>
      <c r="CA183" s="28"/>
      <c r="CB183" s="28"/>
      <c r="CC183" s="28"/>
      <c r="CD183" s="28"/>
      <c r="CE183" s="28">
        <v>11</v>
      </c>
      <c r="CF183" s="28"/>
      <c r="CG183" s="28"/>
      <c r="CH183" s="28"/>
      <c r="CI183" s="28">
        <v>49.5</v>
      </c>
      <c r="CJ183" s="29" t="str">
        <f>IFERROR(SUMPRODUCT(G183:CI183,'🏭 원료 마스터'!$C$4:$C$84),"")</f>
        <v/>
      </c>
      <c r="CL183" t="s">
        <v>238</v>
      </c>
    </row>
    <row r="184" spans="1:90" ht="18" customHeight="1">
      <c r="A184" s="11">
        <v>180</v>
      </c>
      <c r="B184" s="25">
        <v>46048</v>
      </c>
      <c r="C184" s="26" t="s">
        <v>191</v>
      </c>
      <c r="D184" s="27">
        <v>660</v>
      </c>
      <c r="E184" s="11"/>
      <c r="F184" s="1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>
        <v>13.2</v>
      </c>
      <c r="AR184" s="30"/>
      <c r="AS184" s="30"/>
      <c r="AT184" s="30"/>
      <c r="AU184" s="30"/>
      <c r="AV184" s="30"/>
      <c r="AW184" s="30"/>
      <c r="AX184" s="30"/>
      <c r="AY184" s="30"/>
      <c r="AZ184" s="30">
        <v>125.4</v>
      </c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>
        <v>19.8</v>
      </c>
      <c r="BO184" s="30"/>
      <c r="BP184" s="30"/>
      <c r="BQ184" s="30">
        <v>118.8</v>
      </c>
      <c r="BR184" s="30"/>
      <c r="BS184" s="30">
        <v>13.2</v>
      </c>
      <c r="BT184" s="30"/>
      <c r="BU184" s="30">
        <v>283.8</v>
      </c>
      <c r="BV184" s="30">
        <v>13.2</v>
      </c>
      <c r="BW184" s="30"/>
      <c r="BX184" s="30"/>
      <c r="BY184" s="30"/>
      <c r="BZ184" s="30"/>
      <c r="CA184" s="30"/>
      <c r="CB184" s="30"/>
      <c r="CC184" s="30"/>
      <c r="CD184" s="30"/>
      <c r="CE184" s="30">
        <v>13.2</v>
      </c>
      <c r="CF184" s="30"/>
      <c r="CG184" s="30"/>
      <c r="CH184" s="30"/>
      <c r="CI184" s="30">
        <v>59.4</v>
      </c>
      <c r="CJ184" s="29" t="str">
        <f>IFERROR(SUMPRODUCT(G184:CI184,'🏭 원료 마스터'!$C$4:$C$84),"")</f>
        <v/>
      </c>
      <c r="CL184" t="s">
        <v>238</v>
      </c>
    </row>
    <row r="185" spans="1:90" ht="18" customHeight="1">
      <c r="A185" s="7">
        <v>181</v>
      </c>
      <c r="B185" s="25">
        <v>46048</v>
      </c>
      <c r="C185" s="26" t="s">
        <v>183</v>
      </c>
      <c r="D185" s="27">
        <v>220</v>
      </c>
      <c r="E185" s="7"/>
      <c r="F185" s="7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>
        <v>5.28</v>
      </c>
      <c r="AT185" s="28"/>
      <c r="AU185" s="28"/>
      <c r="AV185" s="28"/>
      <c r="AW185" s="28"/>
      <c r="AX185" s="28"/>
      <c r="AY185" s="28"/>
      <c r="AZ185" s="28">
        <v>5.28</v>
      </c>
      <c r="BA185" s="28"/>
      <c r="BB185" s="28"/>
      <c r="BC185" s="28"/>
      <c r="BD185" s="28"/>
      <c r="BE185" s="28"/>
      <c r="BF185" s="28"/>
      <c r="BG185" s="28"/>
      <c r="BH185" s="28"/>
      <c r="BI185" s="28">
        <v>2.64</v>
      </c>
      <c r="BJ185" s="28"/>
      <c r="BK185" s="28"/>
      <c r="BL185" s="28"/>
      <c r="BM185" s="28"/>
      <c r="BN185" s="28"/>
      <c r="BO185" s="28"/>
      <c r="BP185" s="28"/>
      <c r="BQ185" s="28">
        <v>98.56</v>
      </c>
      <c r="BR185" s="28"/>
      <c r="BS185" s="28">
        <v>0.44</v>
      </c>
      <c r="BT185" s="28"/>
      <c r="BU185" s="28">
        <v>105.16</v>
      </c>
      <c r="BV185" s="28">
        <v>1.76</v>
      </c>
      <c r="BW185" s="28"/>
      <c r="BX185" s="28"/>
      <c r="BY185" s="28"/>
      <c r="BZ185" s="28"/>
      <c r="CA185" s="28"/>
      <c r="CB185" s="28"/>
      <c r="CC185" s="28"/>
      <c r="CD185" s="28"/>
      <c r="CE185" s="28">
        <v>0.88</v>
      </c>
      <c r="CF185" s="28"/>
      <c r="CG185" s="28"/>
      <c r="CH185" s="28"/>
      <c r="CI185" s="28"/>
      <c r="CJ185" s="29" t="str">
        <f>IFERROR(SUMPRODUCT(G185:CI185,'🏭 원료 마스터'!$C$4:$C$84),"")</f>
        <v/>
      </c>
      <c r="CL185" t="s">
        <v>238</v>
      </c>
    </row>
    <row r="186" spans="1:90" ht="18" customHeight="1">
      <c r="A186" s="11">
        <v>182</v>
      </c>
      <c r="B186" s="25">
        <v>46048</v>
      </c>
      <c r="C186" s="26" t="s">
        <v>205</v>
      </c>
      <c r="D186" s="27">
        <v>110</v>
      </c>
      <c r="E186" s="11"/>
      <c r="F186" s="1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>
        <v>2.2000000000000002</v>
      </c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>
        <v>13.64</v>
      </c>
      <c r="AJ186" s="30"/>
      <c r="AK186" s="30">
        <v>2.97</v>
      </c>
      <c r="AL186" s="30"/>
      <c r="AM186" s="30"/>
      <c r="AN186" s="30"/>
      <c r="AO186" s="30"/>
      <c r="AP186" s="30"/>
      <c r="AQ186" s="30"/>
      <c r="AR186" s="30"/>
      <c r="AS186" s="30">
        <v>2.2000000000000002</v>
      </c>
      <c r="AT186" s="30"/>
      <c r="AU186" s="30"/>
      <c r="AV186" s="30"/>
      <c r="AW186" s="30"/>
      <c r="AX186" s="30"/>
      <c r="AY186" s="30"/>
      <c r="AZ186" s="30">
        <v>2.2000000000000002</v>
      </c>
      <c r="BA186" s="30"/>
      <c r="BB186" s="30"/>
      <c r="BC186" s="30"/>
      <c r="BD186" s="30"/>
      <c r="BE186" s="30">
        <v>1.1000000000000001</v>
      </c>
      <c r="BF186" s="30"/>
      <c r="BG186" s="30"/>
      <c r="BH186" s="30"/>
      <c r="BI186" s="30"/>
      <c r="BJ186" s="30"/>
      <c r="BK186" s="30"/>
      <c r="BL186" s="30"/>
      <c r="BM186" s="30"/>
      <c r="BN186" s="30">
        <v>12.76</v>
      </c>
      <c r="BO186" s="30"/>
      <c r="BP186" s="30">
        <v>27.28</v>
      </c>
      <c r="BQ186" s="30"/>
      <c r="BR186" s="30"/>
      <c r="BS186" s="30">
        <v>0.99</v>
      </c>
      <c r="BT186" s="30"/>
      <c r="BU186" s="30">
        <v>43.56</v>
      </c>
      <c r="BV186" s="30">
        <v>0.77</v>
      </c>
      <c r="BW186" s="30"/>
      <c r="BX186" s="30"/>
      <c r="BY186" s="30"/>
      <c r="BZ186" s="30"/>
      <c r="CA186" s="30"/>
      <c r="CB186" s="30"/>
      <c r="CC186" s="30"/>
      <c r="CD186" s="30"/>
      <c r="CE186" s="30">
        <v>0.33</v>
      </c>
      <c r="CF186" s="30"/>
      <c r="CG186" s="30"/>
      <c r="CH186" s="30"/>
      <c r="CI186" s="30"/>
      <c r="CJ186" s="29" t="str">
        <f>IFERROR(SUMPRODUCT(G186:CI186,'🏭 원료 마스터'!$C$4:$C$84),"")</f>
        <v/>
      </c>
      <c r="CL186" t="s">
        <v>238</v>
      </c>
    </row>
    <row r="187" spans="1:90" ht="18" customHeight="1">
      <c r="A187" s="7">
        <v>183</v>
      </c>
      <c r="B187" s="25">
        <v>46048</v>
      </c>
      <c r="C187" s="26" t="s">
        <v>204</v>
      </c>
      <c r="D187" s="27">
        <v>110</v>
      </c>
      <c r="E187" s="7"/>
      <c r="F187" s="7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>
        <v>3.63</v>
      </c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>
        <v>3.3</v>
      </c>
      <c r="AL187" s="28"/>
      <c r="AM187" s="28"/>
      <c r="AN187" s="28"/>
      <c r="AO187" s="28"/>
      <c r="AP187" s="28"/>
      <c r="AQ187" s="28"/>
      <c r="AR187" s="28"/>
      <c r="AS187" s="28">
        <v>2.42</v>
      </c>
      <c r="AT187" s="28"/>
      <c r="AU187" s="28"/>
      <c r="AV187" s="28"/>
      <c r="AW187" s="28"/>
      <c r="AX187" s="28"/>
      <c r="AY187" s="28"/>
      <c r="AZ187" s="28">
        <v>2.42</v>
      </c>
      <c r="BA187" s="28"/>
      <c r="BB187" s="28"/>
      <c r="BC187" s="28"/>
      <c r="BD187" s="28"/>
      <c r="BE187" s="28">
        <v>1.21</v>
      </c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>
        <v>45.76</v>
      </c>
      <c r="BR187" s="28"/>
      <c r="BS187" s="28">
        <v>1.1000000000000001</v>
      </c>
      <c r="BT187" s="28"/>
      <c r="BU187" s="28">
        <v>48.84</v>
      </c>
      <c r="BV187" s="28">
        <v>0.88</v>
      </c>
      <c r="BW187" s="28"/>
      <c r="BX187" s="28"/>
      <c r="BY187" s="28"/>
      <c r="BZ187" s="28"/>
      <c r="CA187" s="28"/>
      <c r="CB187" s="28"/>
      <c r="CC187" s="28"/>
      <c r="CD187" s="28"/>
      <c r="CE187" s="28">
        <v>0.44</v>
      </c>
      <c r="CF187" s="28"/>
      <c r="CG187" s="28"/>
      <c r="CH187" s="28"/>
      <c r="CI187" s="28"/>
      <c r="CJ187" s="29" t="str">
        <f>IFERROR(SUMPRODUCT(G187:CI187,'🏭 원료 마스터'!$C$4:$C$84),"")</f>
        <v/>
      </c>
      <c r="CL187" t="s">
        <v>238</v>
      </c>
    </row>
    <row r="188" spans="1:90" ht="18" customHeight="1">
      <c r="A188" s="11">
        <v>184</v>
      </c>
      <c r="B188" s="25">
        <v>46049</v>
      </c>
      <c r="C188" s="26" t="s">
        <v>191</v>
      </c>
      <c r="D188" s="27">
        <v>990</v>
      </c>
      <c r="E188" s="11"/>
      <c r="F188" s="1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>
        <v>19.8</v>
      </c>
      <c r="AR188" s="30"/>
      <c r="AS188" s="30"/>
      <c r="AT188" s="30"/>
      <c r="AU188" s="30"/>
      <c r="AV188" s="30"/>
      <c r="AW188" s="30"/>
      <c r="AX188" s="30"/>
      <c r="AY188" s="30"/>
      <c r="AZ188" s="30">
        <v>188.1</v>
      </c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>
        <v>29.7</v>
      </c>
      <c r="BO188" s="30"/>
      <c r="BP188" s="30"/>
      <c r="BQ188" s="30">
        <v>178.2</v>
      </c>
      <c r="BR188" s="30"/>
      <c r="BS188" s="30">
        <v>19.8</v>
      </c>
      <c r="BT188" s="30"/>
      <c r="BU188" s="30">
        <v>425.7</v>
      </c>
      <c r="BV188" s="30">
        <v>19.8</v>
      </c>
      <c r="BW188" s="30"/>
      <c r="BX188" s="30"/>
      <c r="BY188" s="30"/>
      <c r="BZ188" s="30"/>
      <c r="CA188" s="30"/>
      <c r="CB188" s="30"/>
      <c r="CC188" s="30"/>
      <c r="CD188" s="30"/>
      <c r="CE188" s="30">
        <v>19.8</v>
      </c>
      <c r="CF188" s="30"/>
      <c r="CG188" s="30"/>
      <c r="CH188" s="30"/>
      <c r="CI188" s="30">
        <v>89.1</v>
      </c>
      <c r="CJ188" s="29" t="str">
        <f>IFERROR(SUMPRODUCT(G188:CI188,'🏭 원료 마스터'!$C$4:$C$84),"")</f>
        <v/>
      </c>
      <c r="CL188" t="s">
        <v>238</v>
      </c>
    </row>
    <row r="189" spans="1:90" ht="18" customHeight="1">
      <c r="A189" s="7">
        <v>185</v>
      </c>
      <c r="B189" s="25">
        <v>46049</v>
      </c>
      <c r="C189" s="26" t="s">
        <v>205</v>
      </c>
      <c r="D189" s="27">
        <v>110</v>
      </c>
      <c r="E189" s="7"/>
      <c r="F189" s="7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>
        <v>2.2000000000000002</v>
      </c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>
        <v>13.64</v>
      </c>
      <c r="AJ189" s="28"/>
      <c r="AK189" s="28">
        <v>2.97</v>
      </c>
      <c r="AL189" s="28"/>
      <c r="AM189" s="28"/>
      <c r="AN189" s="28"/>
      <c r="AO189" s="28"/>
      <c r="AP189" s="28"/>
      <c r="AQ189" s="28"/>
      <c r="AR189" s="28"/>
      <c r="AS189" s="28">
        <v>2.2000000000000002</v>
      </c>
      <c r="AT189" s="28"/>
      <c r="AU189" s="28"/>
      <c r="AV189" s="28"/>
      <c r="AW189" s="28"/>
      <c r="AX189" s="28"/>
      <c r="AY189" s="28"/>
      <c r="AZ189" s="28">
        <v>2.2000000000000002</v>
      </c>
      <c r="BA189" s="28"/>
      <c r="BB189" s="28"/>
      <c r="BC189" s="28"/>
      <c r="BD189" s="28"/>
      <c r="BE189" s="28">
        <v>1.1000000000000001</v>
      </c>
      <c r="BF189" s="28"/>
      <c r="BG189" s="28"/>
      <c r="BH189" s="28"/>
      <c r="BI189" s="28"/>
      <c r="BJ189" s="28"/>
      <c r="BK189" s="28"/>
      <c r="BL189" s="28"/>
      <c r="BM189" s="28"/>
      <c r="BN189" s="28">
        <v>12.76</v>
      </c>
      <c r="BO189" s="28"/>
      <c r="BP189" s="28">
        <v>27.28</v>
      </c>
      <c r="BQ189" s="28"/>
      <c r="BR189" s="28"/>
      <c r="BS189" s="28">
        <v>0.99</v>
      </c>
      <c r="BT189" s="28"/>
      <c r="BU189" s="28">
        <v>43.56</v>
      </c>
      <c r="BV189" s="28">
        <v>0.77</v>
      </c>
      <c r="BW189" s="28"/>
      <c r="BX189" s="28"/>
      <c r="BY189" s="28"/>
      <c r="BZ189" s="28"/>
      <c r="CA189" s="28"/>
      <c r="CB189" s="28"/>
      <c r="CC189" s="28"/>
      <c r="CD189" s="28"/>
      <c r="CE189" s="28">
        <v>0.33</v>
      </c>
      <c r="CF189" s="28"/>
      <c r="CG189" s="28"/>
      <c r="CH189" s="28"/>
      <c r="CI189" s="28"/>
      <c r="CJ189" s="29" t="str">
        <f>IFERROR(SUMPRODUCT(G189:CI189,'🏭 원료 마스터'!$C$4:$C$84),"")</f>
        <v/>
      </c>
      <c r="CL189" t="s">
        <v>238</v>
      </c>
    </row>
    <row r="190" spans="1:90" ht="18" customHeight="1">
      <c r="A190" s="11">
        <v>186</v>
      </c>
      <c r="B190" s="25">
        <v>46050</v>
      </c>
      <c r="C190" s="26" t="s">
        <v>155</v>
      </c>
      <c r="D190" s="27">
        <v>110</v>
      </c>
      <c r="E190" s="11"/>
      <c r="F190" s="1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>
        <v>4.7300000000000004</v>
      </c>
      <c r="AQ190" s="30"/>
      <c r="AR190" s="30"/>
      <c r="AS190" s="30">
        <v>2.31</v>
      </c>
      <c r="AT190" s="30">
        <v>0.88</v>
      </c>
      <c r="AU190" s="30"/>
      <c r="AV190" s="30"/>
      <c r="AW190" s="30"/>
      <c r="AX190" s="30"/>
      <c r="AY190" s="30"/>
      <c r="AZ190" s="30">
        <v>2.31</v>
      </c>
      <c r="BA190" s="30"/>
      <c r="BB190" s="30"/>
      <c r="BC190" s="30"/>
      <c r="BD190" s="30"/>
      <c r="BE190" s="30"/>
      <c r="BF190" s="30"/>
      <c r="BG190" s="30"/>
      <c r="BH190" s="30"/>
      <c r="BI190" s="30">
        <v>3.52</v>
      </c>
      <c r="BJ190" s="30"/>
      <c r="BK190" s="30"/>
      <c r="BL190" s="30"/>
      <c r="BM190" s="30"/>
      <c r="BN190" s="30"/>
      <c r="BO190" s="30"/>
      <c r="BP190" s="30"/>
      <c r="BQ190" s="30">
        <v>44.11</v>
      </c>
      <c r="BR190" s="30"/>
      <c r="BS190" s="30">
        <v>0.22</v>
      </c>
      <c r="BT190" s="30"/>
      <c r="BU190" s="30">
        <v>47.3</v>
      </c>
      <c r="BV190" s="30">
        <v>0.77</v>
      </c>
      <c r="BW190" s="30"/>
      <c r="BX190" s="30"/>
      <c r="BY190" s="30"/>
      <c r="BZ190" s="30"/>
      <c r="CA190" s="30"/>
      <c r="CB190" s="30"/>
      <c r="CC190" s="30">
        <v>3.52</v>
      </c>
      <c r="CD190" s="30"/>
      <c r="CE190" s="30">
        <v>0.33</v>
      </c>
      <c r="CF190" s="30"/>
      <c r="CG190" s="30"/>
      <c r="CH190" s="30"/>
      <c r="CI190" s="30"/>
      <c r="CJ190" s="29" t="str">
        <f>IFERROR(SUMPRODUCT(G190:CI190,'🏭 원료 마스터'!$C$4:$C$84),"")</f>
        <v/>
      </c>
      <c r="CL190" t="s">
        <v>238</v>
      </c>
    </row>
    <row r="191" spans="1:90" ht="18" customHeight="1">
      <c r="A191" s="7">
        <v>187</v>
      </c>
      <c r="B191" s="25">
        <v>46050</v>
      </c>
      <c r="C191" s="26" t="s">
        <v>191</v>
      </c>
      <c r="D191" s="27">
        <v>990</v>
      </c>
      <c r="E191" s="7"/>
      <c r="F191" s="7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>
        <v>19.8</v>
      </c>
      <c r="AR191" s="28"/>
      <c r="AS191" s="28"/>
      <c r="AT191" s="28"/>
      <c r="AU191" s="28"/>
      <c r="AV191" s="28"/>
      <c r="AW191" s="28"/>
      <c r="AX191" s="28"/>
      <c r="AY191" s="28"/>
      <c r="AZ191" s="28">
        <v>188.1</v>
      </c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>
        <v>29.7</v>
      </c>
      <c r="BO191" s="28"/>
      <c r="BP191" s="28"/>
      <c r="BQ191" s="28">
        <v>178.2</v>
      </c>
      <c r="BR191" s="28"/>
      <c r="BS191" s="28">
        <v>19.8</v>
      </c>
      <c r="BT191" s="28"/>
      <c r="BU191" s="28">
        <v>425.7</v>
      </c>
      <c r="BV191" s="28">
        <v>19.8</v>
      </c>
      <c r="BW191" s="28"/>
      <c r="BX191" s="28"/>
      <c r="BY191" s="28"/>
      <c r="BZ191" s="28"/>
      <c r="CA191" s="28"/>
      <c r="CB191" s="28"/>
      <c r="CC191" s="28"/>
      <c r="CD191" s="28"/>
      <c r="CE191" s="28">
        <v>19.8</v>
      </c>
      <c r="CF191" s="28"/>
      <c r="CG191" s="28"/>
      <c r="CH191" s="28"/>
      <c r="CI191" s="28">
        <v>89.1</v>
      </c>
      <c r="CJ191" s="29" t="str">
        <f>IFERROR(SUMPRODUCT(G191:CI191,'🏭 원료 마스터'!$C$4:$C$84),"")</f>
        <v/>
      </c>
      <c r="CL191" t="s">
        <v>238</v>
      </c>
    </row>
    <row r="192" spans="1:90" ht="18" customHeight="1">
      <c r="A192" s="11">
        <v>188</v>
      </c>
      <c r="B192" s="25">
        <v>46051</v>
      </c>
      <c r="C192" s="26" t="s">
        <v>204</v>
      </c>
      <c r="D192" s="27">
        <v>110</v>
      </c>
      <c r="E192" s="11"/>
      <c r="F192" s="1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>
        <v>3.63</v>
      </c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>
        <v>3.3</v>
      </c>
      <c r="AL192" s="30"/>
      <c r="AM192" s="30"/>
      <c r="AN192" s="30"/>
      <c r="AO192" s="30"/>
      <c r="AP192" s="30"/>
      <c r="AQ192" s="30"/>
      <c r="AR192" s="30"/>
      <c r="AS192" s="30">
        <v>2.42</v>
      </c>
      <c r="AT192" s="30"/>
      <c r="AU192" s="30"/>
      <c r="AV192" s="30"/>
      <c r="AW192" s="30"/>
      <c r="AX192" s="30"/>
      <c r="AY192" s="30"/>
      <c r="AZ192" s="30">
        <v>2.42</v>
      </c>
      <c r="BA192" s="30"/>
      <c r="BB192" s="30"/>
      <c r="BC192" s="30"/>
      <c r="BD192" s="30"/>
      <c r="BE192" s="30">
        <v>1.21</v>
      </c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>
        <v>45.76</v>
      </c>
      <c r="BR192" s="30"/>
      <c r="BS192" s="30">
        <v>1.1000000000000001</v>
      </c>
      <c r="BT192" s="30"/>
      <c r="BU192" s="30">
        <v>48.84</v>
      </c>
      <c r="BV192" s="30">
        <v>0.88</v>
      </c>
      <c r="BW192" s="30"/>
      <c r="BX192" s="30"/>
      <c r="BY192" s="30"/>
      <c r="BZ192" s="30"/>
      <c r="CA192" s="30"/>
      <c r="CB192" s="30"/>
      <c r="CC192" s="30"/>
      <c r="CD192" s="30"/>
      <c r="CE192" s="30">
        <v>0.44</v>
      </c>
      <c r="CF192" s="30"/>
      <c r="CG192" s="30"/>
      <c r="CH192" s="30"/>
      <c r="CI192" s="30"/>
      <c r="CJ192" s="29" t="str">
        <f>IFERROR(SUMPRODUCT(G192:CI192,'🏭 원료 마스터'!$C$4:$C$84),"")</f>
        <v/>
      </c>
      <c r="CL192" t="s">
        <v>238</v>
      </c>
    </row>
    <row r="193" spans="1:90" ht="18" customHeight="1">
      <c r="A193" s="7">
        <v>189</v>
      </c>
      <c r="B193" s="25">
        <v>46051</v>
      </c>
      <c r="C193" s="26" t="s">
        <v>191</v>
      </c>
      <c r="D193" s="27">
        <v>990</v>
      </c>
      <c r="E193" s="7"/>
      <c r="F193" s="7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>
        <v>19.8</v>
      </c>
      <c r="AR193" s="28"/>
      <c r="AS193" s="28"/>
      <c r="AT193" s="28"/>
      <c r="AU193" s="28"/>
      <c r="AV193" s="28"/>
      <c r="AW193" s="28"/>
      <c r="AX193" s="28"/>
      <c r="AY193" s="28"/>
      <c r="AZ193" s="28">
        <v>188.1</v>
      </c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>
        <v>29.7</v>
      </c>
      <c r="BO193" s="28"/>
      <c r="BP193" s="28"/>
      <c r="BQ193" s="28">
        <v>178.2</v>
      </c>
      <c r="BR193" s="28"/>
      <c r="BS193" s="28">
        <v>19.8</v>
      </c>
      <c r="BT193" s="28"/>
      <c r="BU193" s="28">
        <v>425.7</v>
      </c>
      <c r="BV193" s="28">
        <v>19.8</v>
      </c>
      <c r="BW193" s="28"/>
      <c r="BX193" s="28"/>
      <c r="BY193" s="28"/>
      <c r="BZ193" s="28"/>
      <c r="CA193" s="28"/>
      <c r="CB193" s="28"/>
      <c r="CC193" s="28"/>
      <c r="CD193" s="28"/>
      <c r="CE193" s="28">
        <v>19.8</v>
      </c>
      <c r="CF193" s="28"/>
      <c r="CG193" s="28"/>
      <c r="CH193" s="28"/>
      <c r="CI193" s="28">
        <v>89.1</v>
      </c>
      <c r="CJ193" s="29" t="str">
        <f>IFERROR(SUMPRODUCT(G193:CI193,'🏭 원료 마스터'!$C$4:$C$84),"")</f>
        <v/>
      </c>
      <c r="CL193" t="s">
        <v>238</v>
      </c>
    </row>
    <row r="194" spans="1:90" ht="18" customHeight="1">
      <c r="A194" s="11">
        <v>190</v>
      </c>
      <c r="B194" s="25">
        <v>46052</v>
      </c>
      <c r="C194" s="26" t="s">
        <v>204</v>
      </c>
      <c r="D194" s="27">
        <v>110</v>
      </c>
      <c r="E194" s="11"/>
      <c r="F194" s="1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>
        <v>3.63</v>
      </c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>
        <v>3.3</v>
      </c>
      <c r="AL194" s="30"/>
      <c r="AM194" s="30"/>
      <c r="AN194" s="30"/>
      <c r="AO194" s="30"/>
      <c r="AP194" s="30"/>
      <c r="AQ194" s="30"/>
      <c r="AR194" s="30"/>
      <c r="AS194" s="30">
        <v>2.42</v>
      </c>
      <c r="AT194" s="30"/>
      <c r="AU194" s="30"/>
      <c r="AV194" s="30"/>
      <c r="AW194" s="30"/>
      <c r="AX194" s="30"/>
      <c r="AY194" s="30"/>
      <c r="AZ194" s="30">
        <v>2.42</v>
      </c>
      <c r="BA194" s="30"/>
      <c r="BB194" s="30"/>
      <c r="BC194" s="30"/>
      <c r="BD194" s="30"/>
      <c r="BE194" s="30">
        <v>1.21</v>
      </c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>
        <v>45.76</v>
      </c>
      <c r="BR194" s="30"/>
      <c r="BS194" s="30">
        <v>1.1000000000000001</v>
      </c>
      <c r="BT194" s="30"/>
      <c r="BU194" s="30">
        <v>48.84</v>
      </c>
      <c r="BV194" s="30">
        <v>0.88</v>
      </c>
      <c r="BW194" s="30"/>
      <c r="BX194" s="30"/>
      <c r="BY194" s="30"/>
      <c r="BZ194" s="30"/>
      <c r="CA194" s="30"/>
      <c r="CB194" s="30"/>
      <c r="CC194" s="30"/>
      <c r="CD194" s="30"/>
      <c r="CE194" s="30">
        <v>0.44</v>
      </c>
      <c r="CF194" s="30"/>
      <c r="CG194" s="30"/>
      <c r="CH194" s="30"/>
      <c r="CI194" s="30"/>
      <c r="CJ194" s="29" t="str">
        <f>IFERROR(SUMPRODUCT(G194:CI194,'🏭 원료 마스터'!$C$4:$C$84),"")</f>
        <v/>
      </c>
      <c r="CL194" t="s">
        <v>238</v>
      </c>
    </row>
    <row r="195" spans="1:90" ht="18" customHeight="1">
      <c r="A195" s="7">
        <v>191</v>
      </c>
      <c r="B195" s="25">
        <v>46052</v>
      </c>
      <c r="C195" s="26" t="s">
        <v>183</v>
      </c>
      <c r="D195" s="27">
        <v>990</v>
      </c>
      <c r="E195" s="7"/>
      <c r="F195" s="7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>
        <v>23.76</v>
      </c>
      <c r="AT195" s="28"/>
      <c r="AU195" s="28"/>
      <c r="AV195" s="28"/>
      <c r="AW195" s="28"/>
      <c r="AX195" s="28"/>
      <c r="AY195" s="28"/>
      <c r="AZ195" s="28">
        <v>23.76</v>
      </c>
      <c r="BA195" s="28"/>
      <c r="BB195" s="28"/>
      <c r="BC195" s="28"/>
      <c r="BD195" s="28"/>
      <c r="BE195" s="28"/>
      <c r="BF195" s="28"/>
      <c r="BG195" s="28"/>
      <c r="BH195" s="28"/>
      <c r="BI195" s="28">
        <v>11.88</v>
      </c>
      <c r="BJ195" s="28"/>
      <c r="BK195" s="28"/>
      <c r="BL195" s="28"/>
      <c r="BM195" s="28"/>
      <c r="BN195" s="28"/>
      <c r="BO195" s="28"/>
      <c r="BP195" s="28"/>
      <c r="BQ195" s="28">
        <v>443.52</v>
      </c>
      <c r="BR195" s="28"/>
      <c r="BS195" s="28">
        <v>1.98</v>
      </c>
      <c r="BT195" s="28"/>
      <c r="BU195" s="28">
        <v>473.22</v>
      </c>
      <c r="BV195" s="28">
        <v>7.92</v>
      </c>
      <c r="BW195" s="28"/>
      <c r="BX195" s="28"/>
      <c r="BY195" s="28"/>
      <c r="BZ195" s="28"/>
      <c r="CA195" s="28"/>
      <c r="CB195" s="28"/>
      <c r="CC195" s="28"/>
      <c r="CD195" s="28"/>
      <c r="CE195" s="28">
        <v>3.96</v>
      </c>
      <c r="CF195" s="28"/>
      <c r="CG195" s="28"/>
      <c r="CH195" s="28"/>
      <c r="CI195" s="28"/>
      <c r="CJ195" s="29" t="str">
        <f>IFERROR(SUMPRODUCT(G195:CI195,'🏭 원료 마스터'!$C$4:$C$84),"")</f>
        <v/>
      </c>
      <c r="CL195" t="s">
        <v>238</v>
      </c>
    </row>
    <row r="196" spans="1:90" ht="18" customHeight="1">
      <c r="A196" s="11">
        <v>192</v>
      </c>
      <c r="B196" s="25">
        <v>46055</v>
      </c>
      <c r="C196" s="26" t="s">
        <v>191</v>
      </c>
      <c r="D196" s="27">
        <v>1100</v>
      </c>
      <c r="E196" s="11"/>
      <c r="F196" s="1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>
        <v>22</v>
      </c>
      <c r="AR196" s="30"/>
      <c r="AS196" s="30"/>
      <c r="AT196" s="30"/>
      <c r="AU196" s="30"/>
      <c r="AV196" s="30"/>
      <c r="AW196" s="30"/>
      <c r="AX196" s="30"/>
      <c r="AY196" s="30"/>
      <c r="AZ196" s="30">
        <v>209</v>
      </c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>
        <v>33</v>
      </c>
      <c r="BO196" s="30"/>
      <c r="BP196" s="30"/>
      <c r="BQ196" s="30">
        <v>198</v>
      </c>
      <c r="BR196" s="30"/>
      <c r="BS196" s="30">
        <v>22</v>
      </c>
      <c r="BT196" s="30"/>
      <c r="BU196" s="30">
        <v>473</v>
      </c>
      <c r="BV196" s="30">
        <v>22</v>
      </c>
      <c r="BW196" s="30"/>
      <c r="BX196" s="30"/>
      <c r="BY196" s="30"/>
      <c r="BZ196" s="30"/>
      <c r="CA196" s="30"/>
      <c r="CB196" s="30"/>
      <c r="CC196" s="30"/>
      <c r="CD196" s="30"/>
      <c r="CE196" s="30">
        <v>22</v>
      </c>
      <c r="CF196" s="30"/>
      <c r="CG196" s="30"/>
      <c r="CH196" s="30"/>
      <c r="CI196" s="30">
        <v>99</v>
      </c>
      <c r="CJ196" s="29" t="str">
        <f>IFERROR(SUMPRODUCT(G196:CI196,'🏭 원료 마스터'!$C$4:$C$84),"")</f>
        <v/>
      </c>
      <c r="CL196" t="s">
        <v>239</v>
      </c>
    </row>
    <row r="197" spans="1:90" ht="18" customHeight="1">
      <c r="A197" s="7">
        <v>193</v>
      </c>
      <c r="B197" s="25">
        <v>46056</v>
      </c>
      <c r="C197" s="26" t="s">
        <v>205</v>
      </c>
      <c r="D197" s="27">
        <v>110</v>
      </c>
      <c r="E197" s="7"/>
      <c r="F197" s="7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>
        <v>2.2000000000000002</v>
      </c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>
        <v>13.64</v>
      </c>
      <c r="AJ197" s="28"/>
      <c r="AK197" s="28">
        <v>2.97</v>
      </c>
      <c r="AL197" s="28"/>
      <c r="AM197" s="28"/>
      <c r="AN197" s="28"/>
      <c r="AO197" s="28"/>
      <c r="AP197" s="28"/>
      <c r="AQ197" s="28"/>
      <c r="AR197" s="28"/>
      <c r="AS197" s="28">
        <v>2.2000000000000002</v>
      </c>
      <c r="AT197" s="28"/>
      <c r="AU197" s="28"/>
      <c r="AV197" s="28"/>
      <c r="AW197" s="28"/>
      <c r="AX197" s="28"/>
      <c r="AY197" s="28"/>
      <c r="AZ197" s="28">
        <v>2.2000000000000002</v>
      </c>
      <c r="BA197" s="28"/>
      <c r="BB197" s="28"/>
      <c r="BC197" s="28"/>
      <c r="BD197" s="28"/>
      <c r="BE197" s="28">
        <v>1.1000000000000001</v>
      </c>
      <c r="BF197" s="28"/>
      <c r="BG197" s="28"/>
      <c r="BH197" s="28"/>
      <c r="BI197" s="28"/>
      <c r="BJ197" s="28"/>
      <c r="BK197" s="28"/>
      <c r="BL197" s="28"/>
      <c r="BM197" s="28"/>
      <c r="BN197" s="28">
        <v>12.76</v>
      </c>
      <c r="BO197" s="28"/>
      <c r="BP197" s="28">
        <v>27.28</v>
      </c>
      <c r="BQ197" s="28"/>
      <c r="BR197" s="28"/>
      <c r="BS197" s="28">
        <v>0.99</v>
      </c>
      <c r="BT197" s="28"/>
      <c r="BU197" s="28">
        <v>43.56</v>
      </c>
      <c r="BV197" s="28">
        <v>0.77</v>
      </c>
      <c r="BW197" s="28"/>
      <c r="BX197" s="28"/>
      <c r="BY197" s="28"/>
      <c r="BZ197" s="28"/>
      <c r="CA197" s="28"/>
      <c r="CB197" s="28"/>
      <c r="CC197" s="28"/>
      <c r="CD197" s="28"/>
      <c r="CE197" s="28">
        <v>0.33</v>
      </c>
      <c r="CF197" s="28"/>
      <c r="CG197" s="28"/>
      <c r="CH197" s="28"/>
      <c r="CI197" s="28"/>
      <c r="CJ197" s="29" t="str">
        <f>IFERROR(SUMPRODUCT(G197:CI197,'🏭 원료 마스터'!$C$4:$C$84),"")</f>
        <v/>
      </c>
      <c r="CL197" t="s">
        <v>239</v>
      </c>
    </row>
    <row r="198" spans="1:90" ht="18" customHeight="1">
      <c r="A198" s="11">
        <v>194</v>
      </c>
      <c r="B198" s="25">
        <v>46056</v>
      </c>
      <c r="C198" s="26" t="s">
        <v>191</v>
      </c>
      <c r="D198" s="27">
        <v>990</v>
      </c>
      <c r="E198" s="11"/>
      <c r="F198" s="1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>
        <v>19.8</v>
      </c>
      <c r="AR198" s="30"/>
      <c r="AS198" s="30"/>
      <c r="AT198" s="30"/>
      <c r="AU198" s="30"/>
      <c r="AV198" s="30"/>
      <c r="AW198" s="30"/>
      <c r="AX198" s="30"/>
      <c r="AY198" s="30"/>
      <c r="AZ198" s="30">
        <v>188.1</v>
      </c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>
        <v>29.7</v>
      </c>
      <c r="BO198" s="30"/>
      <c r="BP198" s="30"/>
      <c r="BQ198" s="30">
        <v>178.2</v>
      </c>
      <c r="BR198" s="30"/>
      <c r="BS198" s="30">
        <v>19.8</v>
      </c>
      <c r="BT198" s="30"/>
      <c r="BU198" s="30">
        <v>425.7</v>
      </c>
      <c r="BV198" s="30">
        <v>19.8</v>
      </c>
      <c r="BW198" s="30"/>
      <c r="BX198" s="30"/>
      <c r="BY198" s="30"/>
      <c r="BZ198" s="30"/>
      <c r="CA198" s="30"/>
      <c r="CB198" s="30"/>
      <c r="CC198" s="30"/>
      <c r="CD198" s="30"/>
      <c r="CE198" s="30">
        <v>19.8</v>
      </c>
      <c r="CF198" s="30"/>
      <c r="CG198" s="30"/>
      <c r="CH198" s="30"/>
      <c r="CI198" s="30">
        <v>89.1</v>
      </c>
      <c r="CJ198" s="29" t="str">
        <f>IFERROR(SUMPRODUCT(G198:CI198,'🏭 원료 마스터'!$C$4:$C$84),"")</f>
        <v/>
      </c>
      <c r="CL198" t="s">
        <v>239</v>
      </c>
    </row>
    <row r="199" spans="1:90" ht="18" customHeight="1">
      <c r="A199" s="7">
        <v>195</v>
      </c>
      <c r="B199" s="25">
        <v>46057</v>
      </c>
      <c r="C199" s="26" t="s">
        <v>205</v>
      </c>
      <c r="D199" s="27">
        <v>110</v>
      </c>
      <c r="E199" s="7"/>
      <c r="F199" s="7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>
        <v>2.2000000000000002</v>
      </c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>
        <v>13.64</v>
      </c>
      <c r="AJ199" s="28"/>
      <c r="AK199" s="28">
        <v>2.97</v>
      </c>
      <c r="AL199" s="28"/>
      <c r="AM199" s="28"/>
      <c r="AN199" s="28"/>
      <c r="AO199" s="28"/>
      <c r="AP199" s="28"/>
      <c r="AQ199" s="28"/>
      <c r="AR199" s="28"/>
      <c r="AS199" s="28">
        <v>2.2000000000000002</v>
      </c>
      <c r="AT199" s="28"/>
      <c r="AU199" s="28"/>
      <c r="AV199" s="28"/>
      <c r="AW199" s="28"/>
      <c r="AX199" s="28"/>
      <c r="AY199" s="28"/>
      <c r="AZ199" s="28">
        <v>2.2000000000000002</v>
      </c>
      <c r="BA199" s="28"/>
      <c r="BB199" s="28"/>
      <c r="BC199" s="28"/>
      <c r="BD199" s="28"/>
      <c r="BE199" s="28">
        <v>1.1000000000000001</v>
      </c>
      <c r="BF199" s="28"/>
      <c r="BG199" s="28"/>
      <c r="BH199" s="28"/>
      <c r="BI199" s="28"/>
      <c r="BJ199" s="28"/>
      <c r="BK199" s="28"/>
      <c r="BL199" s="28"/>
      <c r="BM199" s="28"/>
      <c r="BN199" s="28">
        <v>12.76</v>
      </c>
      <c r="BO199" s="28"/>
      <c r="BP199" s="28">
        <v>27.28</v>
      </c>
      <c r="BQ199" s="28"/>
      <c r="BR199" s="28"/>
      <c r="BS199" s="28">
        <v>0.99</v>
      </c>
      <c r="BT199" s="28"/>
      <c r="BU199" s="28">
        <v>43.56</v>
      </c>
      <c r="BV199" s="28">
        <v>0.77</v>
      </c>
      <c r="BW199" s="28"/>
      <c r="BX199" s="28"/>
      <c r="BY199" s="28"/>
      <c r="BZ199" s="28"/>
      <c r="CA199" s="28"/>
      <c r="CB199" s="28"/>
      <c r="CC199" s="28"/>
      <c r="CD199" s="28"/>
      <c r="CE199" s="28">
        <v>0.33</v>
      </c>
      <c r="CF199" s="28"/>
      <c r="CG199" s="28"/>
      <c r="CH199" s="28"/>
      <c r="CI199" s="28"/>
      <c r="CJ199" s="29" t="str">
        <f>IFERROR(SUMPRODUCT(G199:CI199,'🏭 원료 마스터'!$C$4:$C$84),"")</f>
        <v/>
      </c>
      <c r="CL199" t="s">
        <v>239</v>
      </c>
    </row>
    <row r="200" spans="1:90" ht="18" customHeight="1">
      <c r="A200" s="11">
        <v>196</v>
      </c>
      <c r="B200" s="25">
        <v>46057</v>
      </c>
      <c r="C200" s="26" t="s">
        <v>204</v>
      </c>
      <c r="D200" s="27">
        <v>220</v>
      </c>
      <c r="E200" s="11"/>
      <c r="F200" s="1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>
        <v>7.26</v>
      </c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>
        <v>6.6</v>
      </c>
      <c r="AL200" s="30"/>
      <c r="AM200" s="30"/>
      <c r="AN200" s="30"/>
      <c r="AO200" s="30"/>
      <c r="AP200" s="30"/>
      <c r="AQ200" s="30"/>
      <c r="AR200" s="30"/>
      <c r="AS200" s="30">
        <v>4.84</v>
      </c>
      <c r="AT200" s="30"/>
      <c r="AU200" s="30"/>
      <c r="AV200" s="30"/>
      <c r="AW200" s="30"/>
      <c r="AX200" s="30"/>
      <c r="AY200" s="30"/>
      <c r="AZ200" s="30">
        <v>4.84</v>
      </c>
      <c r="BA200" s="30"/>
      <c r="BB200" s="30"/>
      <c r="BC200" s="30"/>
      <c r="BD200" s="30"/>
      <c r="BE200" s="30">
        <v>2.42</v>
      </c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>
        <v>91.52</v>
      </c>
      <c r="BR200" s="30"/>
      <c r="BS200" s="30">
        <v>2.2000000000000002</v>
      </c>
      <c r="BT200" s="30"/>
      <c r="BU200" s="30">
        <v>97.68</v>
      </c>
      <c r="BV200" s="30">
        <v>1.76</v>
      </c>
      <c r="BW200" s="30"/>
      <c r="BX200" s="30"/>
      <c r="BY200" s="30"/>
      <c r="BZ200" s="30"/>
      <c r="CA200" s="30"/>
      <c r="CB200" s="30"/>
      <c r="CC200" s="30"/>
      <c r="CD200" s="30"/>
      <c r="CE200" s="30">
        <v>0.88</v>
      </c>
      <c r="CF200" s="30"/>
      <c r="CG200" s="30"/>
      <c r="CH200" s="30"/>
      <c r="CI200" s="30"/>
      <c r="CJ200" s="29" t="str">
        <f>IFERROR(SUMPRODUCT(G200:CI200,'🏭 원료 마스터'!$C$4:$C$84),"")</f>
        <v/>
      </c>
      <c r="CL200" t="s">
        <v>239</v>
      </c>
    </row>
    <row r="201" spans="1:90" ht="18" customHeight="1">
      <c r="A201" s="7">
        <v>197</v>
      </c>
      <c r="B201" s="25">
        <v>46057</v>
      </c>
      <c r="C201" s="26" t="s">
        <v>191</v>
      </c>
      <c r="D201" s="27">
        <v>1100</v>
      </c>
      <c r="E201" s="7"/>
      <c r="F201" s="7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>
        <v>22</v>
      </c>
      <c r="AR201" s="28"/>
      <c r="AS201" s="28"/>
      <c r="AT201" s="28"/>
      <c r="AU201" s="28"/>
      <c r="AV201" s="28"/>
      <c r="AW201" s="28"/>
      <c r="AX201" s="28"/>
      <c r="AY201" s="28"/>
      <c r="AZ201" s="28">
        <v>209</v>
      </c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>
        <v>33</v>
      </c>
      <c r="BO201" s="28"/>
      <c r="BP201" s="28"/>
      <c r="BQ201" s="28">
        <v>198</v>
      </c>
      <c r="BR201" s="28"/>
      <c r="BS201" s="28">
        <v>22</v>
      </c>
      <c r="BT201" s="28"/>
      <c r="BU201" s="28">
        <v>473</v>
      </c>
      <c r="BV201" s="28">
        <v>22</v>
      </c>
      <c r="BW201" s="28"/>
      <c r="BX201" s="28"/>
      <c r="BY201" s="28"/>
      <c r="BZ201" s="28"/>
      <c r="CA201" s="28"/>
      <c r="CB201" s="28"/>
      <c r="CC201" s="28"/>
      <c r="CD201" s="28"/>
      <c r="CE201" s="28">
        <v>22</v>
      </c>
      <c r="CF201" s="28"/>
      <c r="CG201" s="28"/>
      <c r="CH201" s="28"/>
      <c r="CI201" s="28">
        <v>99</v>
      </c>
      <c r="CJ201" s="29" t="str">
        <f>IFERROR(SUMPRODUCT(G201:CI201,'🏭 원료 마스터'!$C$4:$C$84),"")</f>
        <v/>
      </c>
      <c r="CL201" t="s">
        <v>239</v>
      </c>
    </row>
    <row r="202" spans="1:90" ht="18" customHeight="1">
      <c r="A202" s="11">
        <v>198</v>
      </c>
      <c r="B202" s="25">
        <v>46058</v>
      </c>
      <c r="C202" s="26" t="s">
        <v>204</v>
      </c>
      <c r="D202" s="27">
        <v>220</v>
      </c>
      <c r="E202" s="11"/>
      <c r="F202" s="1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>
        <v>7.26</v>
      </c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>
        <v>6.6</v>
      </c>
      <c r="AL202" s="30"/>
      <c r="AM202" s="30"/>
      <c r="AN202" s="30"/>
      <c r="AO202" s="30"/>
      <c r="AP202" s="30"/>
      <c r="AQ202" s="30"/>
      <c r="AR202" s="30"/>
      <c r="AS202" s="30">
        <v>4.84</v>
      </c>
      <c r="AT202" s="30"/>
      <c r="AU202" s="30"/>
      <c r="AV202" s="30"/>
      <c r="AW202" s="30"/>
      <c r="AX202" s="30"/>
      <c r="AY202" s="30"/>
      <c r="AZ202" s="30">
        <v>4.84</v>
      </c>
      <c r="BA202" s="30"/>
      <c r="BB202" s="30"/>
      <c r="BC202" s="30"/>
      <c r="BD202" s="30"/>
      <c r="BE202" s="30">
        <v>2.42</v>
      </c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>
        <v>91.52</v>
      </c>
      <c r="BR202" s="30"/>
      <c r="BS202" s="30">
        <v>2.2000000000000002</v>
      </c>
      <c r="BT202" s="30"/>
      <c r="BU202" s="30">
        <v>97.68</v>
      </c>
      <c r="BV202" s="30">
        <v>1.76</v>
      </c>
      <c r="BW202" s="30"/>
      <c r="BX202" s="30"/>
      <c r="BY202" s="30"/>
      <c r="BZ202" s="30"/>
      <c r="CA202" s="30"/>
      <c r="CB202" s="30"/>
      <c r="CC202" s="30"/>
      <c r="CD202" s="30"/>
      <c r="CE202" s="30">
        <v>0.88</v>
      </c>
      <c r="CF202" s="30"/>
      <c r="CG202" s="30"/>
      <c r="CH202" s="30"/>
      <c r="CI202" s="30"/>
      <c r="CJ202" s="29" t="str">
        <f>IFERROR(SUMPRODUCT(G202:CI202,'🏭 원료 마스터'!$C$4:$C$84),"")</f>
        <v/>
      </c>
      <c r="CL202" t="s">
        <v>239</v>
      </c>
    </row>
    <row r="203" spans="1:90" ht="18" customHeight="1">
      <c r="A203" s="7">
        <v>199</v>
      </c>
      <c r="B203" s="25">
        <v>46058</v>
      </c>
      <c r="C203" s="26" t="s">
        <v>155</v>
      </c>
      <c r="D203" s="27">
        <v>220</v>
      </c>
      <c r="E203" s="7"/>
      <c r="F203" s="7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>
        <v>9.4600000000000009</v>
      </c>
      <c r="AQ203" s="28"/>
      <c r="AR203" s="28"/>
      <c r="AS203" s="28">
        <v>4.62</v>
      </c>
      <c r="AT203" s="28">
        <v>1.76</v>
      </c>
      <c r="AU203" s="28"/>
      <c r="AV203" s="28"/>
      <c r="AW203" s="28"/>
      <c r="AX203" s="28"/>
      <c r="AY203" s="28"/>
      <c r="AZ203" s="28">
        <v>4.62</v>
      </c>
      <c r="BA203" s="28"/>
      <c r="BB203" s="28"/>
      <c r="BC203" s="28"/>
      <c r="BD203" s="28"/>
      <c r="BE203" s="28"/>
      <c r="BF203" s="28"/>
      <c r="BG203" s="28"/>
      <c r="BH203" s="28"/>
      <c r="BI203" s="28">
        <v>7.04</v>
      </c>
      <c r="BJ203" s="28"/>
      <c r="BK203" s="28"/>
      <c r="BL203" s="28"/>
      <c r="BM203" s="28"/>
      <c r="BN203" s="28"/>
      <c r="BO203" s="28"/>
      <c r="BP203" s="28"/>
      <c r="BQ203" s="28">
        <v>88.22</v>
      </c>
      <c r="BR203" s="28"/>
      <c r="BS203" s="28">
        <v>0.44</v>
      </c>
      <c r="BT203" s="28"/>
      <c r="BU203" s="28">
        <v>94.6</v>
      </c>
      <c r="BV203" s="28">
        <v>1.54</v>
      </c>
      <c r="BW203" s="28"/>
      <c r="BX203" s="28"/>
      <c r="BY203" s="28"/>
      <c r="BZ203" s="28"/>
      <c r="CA203" s="28"/>
      <c r="CB203" s="28"/>
      <c r="CC203" s="28">
        <v>7.04</v>
      </c>
      <c r="CD203" s="28"/>
      <c r="CE203" s="28">
        <v>0.66</v>
      </c>
      <c r="CF203" s="28"/>
      <c r="CG203" s="28"/>
      <c r="CH203" s="28"/>
      <c r="CI203" s="28"/>
      <c r="CJ203" s="29" t="str">
        <f>IFERROR(SUMPRODUCT(G203:CI203,'🏭 원료 마스터'!$C$4:$C$84),"")</f>
        <v/>
      </c>
      <c r="CL203" t="s">
        <v>239</v>
      </c>
    </row>
    <row r="204" spans="1:90" ht="18" customHeight="1">
      <c r="A204" s="11">
        <v>200</v>
      </c>
      <c r="B204" s="25">
        <v>46058</v>
      </c>
      <c r="C204" s="26" t="s">
        <v>183</v>
      </c>
      <c r="D204" s="27">
        <v>110</v>
      </c>
      <c r="E204" s="11"/>
      <c r="F204" s="1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>
        <v>2.64</v>
      </c>
      <c r="AT204" s="30"/>
      <c r="AU204" s="30"/>
      <c r="AV204" s="30"/>
      <c r="AW204" s="30"/>
      <c r="AX204" s="30"/>
      <c r="AY204" s="30"/>
      <c r="AZ204" s="30">
        <v>2.64</v>
      </c>
      <c r="BA204" s="30"/>
      <c r="BB204" s="30"/>
      <c r="BC204" s="30"/>
      <c r="BD204" s="30"/>
      <c r="BE204" s="30"/>
      <c r="BF204" s="30"/>
      <c r="BG204" s="30"/>
      <c r="BH204" s="30"/>
      <c r="BI204" s="30">
        <v>1.32</v>
      </c>
      <c r="BJ204" s="30"/>
      <c r="BK204" s="30"/>
      <c r="BL204" s="30"/>
      <c r="BM204" s="30"/>
      <c r="BN204" s="30"/>
      <c r="BO204" s="30"/>
      <c r="BP204" s="30"/>
      <c r="BQ204" s="30">
        <v>49.28</v>
      </c>
      <c r="BR204" s="30"/>
      <c r="BS204" s="30">
        <v>0.22</v>
      </c>
      <c r="BT204" s="30"/>
      <c r="BU204" s="30">
        <v>52.58</v>
      </c>
      <c r="BV204" s="30">
        <v>0.88</v>
      </c>
      <c r="BW204" s="30"/>
      <c r="BX204" s="30"/>
      <c r="BY204" s="30"/>
      <c r="BZ204" s="30"/>
      <c r="CA204" s="30"/>
      <c r="CB204" s="30"/>
      <c r="CC204" s="30"/>
      <c r="CD204" s="30"/>
      <c r="CE204" s="30">
        <v>0.44</v>
      </c>
      <c r="CF204" s="30"/>
      <c r="CG204" s="30"/>
      <c r="CH204" s="30"/>
      <c r="CI204" s="30"/>
      <c r="CJ204" s="29" t="str">
        <f>IFERROR(SUMPRODUCT(G204:CI204,'🏭 원료 마스터'!$C$4:$C$84),"")</f>
        <v/>
      </c>
      <c r="CL204" t="s">
        <v>239</v>
      </c>
    </row>
    <row r="205" spans="1:90" ht="18" customHeight="1">
      <c r="A205" s="7">
        <v>201</v>
      </c>
      <c r="B205" s="25">
        <v>46058</v>
      </c>
      <c r="C205" s="26" t="s">
        <v>191</v>
      </c>
      <c r="D205" s="27">
        <v>990</v>
      </c>
      <c r="E205" s="7"/>
      <c r="F205" s="7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>
        <v>19.8</v>
      </c>
      <c r="AR205" s="28"/>
      <c r="AS205" s="28"/>
      <c r="AT205" s="28"/>
      <c r="AU205" s="28"/>
      <c r="AV205" s="28"/>
      <c r="AW205" s="28"/>
      <c r="AX205" s="28"/>
      <c r="AY205" s="28"/>
      <c r="AZ205" s="28">
        <v>188.1</v>
      </c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>
        <v>29.7</v>
      </c>
      <c r="BO205" s="28"/>
      <c r="BP205" s="28"/>
      <c r="BQ205" s="28">
        <v>178.2</v>
      </c>
      <c r="BR205" s="28"/>
      <c r="BS205" s="28">
        <v>19.8</v>
      </c>
      <c r="BT205" s="28"/>
      <c r="BU205" s="28">
        <v>425.7</v>
      </c>
      <c r="BV205" s="28">
        <v>19.8</v>
      </c>
      <c r="BW205" s="28"/>
      <c r="BX205" s="28"/>
      <c r="BY205" s="28"/>
      <c r="BZ205" s="28"/>
      <c r="CA205" s="28"/>
      <c r="CB205" s="28"/>
      <c r="CC205" s="28"/>
      <c r="CD205" s="28"/>
      <c r="CE205" s="28">
        <v>19.8</v>
      </c>
      <c r="CF205" s="28"/>
      <c r="CG205" s="28"/>
      <c r="CH205" s="28"/>
      <c r="CI205" s="28">
        <v>89.1</v>
      </c>
      <c r="CJ205" s="29" t="str">
        <f>IFERROR(SUMPRODUCT(G205:CI205,'🏭 원료 마스터'!$C$4:$C$84),"")</f>
        <v/>
      </c>
      <c r="CL205" t="s">
        <v>239</v>
      </c>
    </row>
    <row r="206" spans="1:90" ht="18" customHeight="1">
      <c r="A206" s="11">
        <v>202</v>
      </c>
      <c r="B206" s="25">
        <v>46059</v>
      </c>
      <c r="C206" s="26" t="s">
        <v>205</v>
      </c>
      <c r="D206" s="27">
        <v>220</v>
      </c>
      <c r="E206" s="11"/>
      <c r="F206" s="1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>
        <v>4.4000000000000004</v>
      </c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>
        <v>27.28</v>
      </c>
      <c r="AJ206" s="30"/>
      <c r="AK206" s="30">
        <v>5.94</v>
      </c>
      <c r="AL206" s="30"/>
      <c r="AM206" s="30"/>
      <c r="AN206" s="30"/>
      <c r="AO206" s="30"/>
      <c r="AP206" s="30"/>
      <c r="AQ206" s="30"/>
      <c r="AR206" s="30"/>
      <c r="AS206" s="30">
        <v>4.4000000000000004</v>
      </c>
      <c r="AT206" s="30"/>
      <c r="AU206" s="30"/>
      <c r="AV206" s="30"/>
      <c r="AW206" s="30"/>
      <c r="AX206" s="30"/>
      <c r="AY206" s="30"/>
      <c r="AZ206" s="30">
        <v>4.4000000000000004</v>
      </c>
      <c r="BA206" s="30"/>
      <c r="BB206" s="30"/>
      <c r="BC206" s="30"/>
      <c r="BD206" s="30"/>
      <c r="BE206" s="30">
        <v>2.2000000000000002</v>
      </c>
      <c r="BF206" s="30"/>
      <c r="BG206" s="30"/>
      <c r="BH206" s="30"/>
      <c r="BI206" s="30"/>
      <c r="BJ206" s="30"/>
      <c r="BK206" s="30"/>
      <c r="BL206" s="30"/>
      <c r="BM206" s="30"/>
      <c r="BN206" s="30">
        <v>25.52</v>
      </c>
      <c r="BO206" s="30"/>
      <c r="BP206" s="30">
        <v>54.56</v>
      </c>
      <c r="BQ206" s="30"/>
      <c r="BR206" s="30"/>
      <c r="BS206" s="30">
        <v>1.98</v>
      </c>
      <c r="BT206" s="30"/>
      <c r="BU206" s="30">
        <v>87.12</v>
      </c>
      <c r="BV206" s="30">
        <v>1.54</v>
      </c>
      <c r="BW206" s="30"/>
      <c r="BX206" s="30"/>
      <c r="BY206" s="30"/>
      <c r="BZ206" s="30"/>
      <c r="CA206" s="30"/>
      <c r="CB206" s="30"/>
      <c r="CC206" s="30"/>
      <c r="CD206" s="30"/>
      <c r="CE206" s="30">
        <v>0.66</v>
      </c>
      <c r="CF206" s="30"/>
      <c r="CG206" s="30"/>
      <c r="CH206" s="30"/>
      <c r="CI206" s="30"/>
      <c r="CJ206" s="29" t="str">
        <f>IFERROR(SUMPRODUCT(G206:CI206,'🏭 원료 마스터'!$C$4:$C$84),"")</f>
        <v/>
      </c>
      <c r="CL206" t="s">
        <v>239</v>
      </c>
    </row>
    <row r="207" spans="1:90" ht="18" customHeight="1">
      <c r="A207" s="7">
        <v>203</v>
      </c>
      <c r="B207" s="25">
        <v>46059</v>
      </c>
      <c r="C207" s="26" t="s">
        <v>157</v>
      </c>
      <c r="D207" s="27">
        <v>110</v>
      </c>
      <c r="E207" s="7"/>
      <c r="F207" s="7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>
        <v>1.21</v>
      </c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>
        <v>5.39</v>
      </c>
      <c r="AQ207" s="28"/>
      <c r="AR207" s="28"/>
      <c r="AS207" s="28"/>
      <c r="AT207" s="28">
        <v>1.21</v>
      </c>
      <c r="AU207" s="28"/>
      <c r="AV207" s="28"/>
      <c r="AW207" s="28"/>
      <c r="AX207" s="28"/>
      <c r="AY207" s="28"/>
      <c r="AZ207" s="28">
        <v>1.54</v>
      </c>
      <c r="BA207" s="28"/>
      <c r="BB207" s="28"/>
      <c r="BC207" s="28"/>
      <c r="BD207" s="28"/>
      <c r="BE207" s="28"/>
      <c r="BF207" s="28"/>
      <c r="BG207" s="28"/>
      <c r="BH207" s="28"/>
      <c r="BI207" s="28">
        <v>1.43</v>
      </c>
      <c r="BJ207" s="28"/>
      <c r="BK207" s="28"/>
      <c r="BL207" s="28"/>
      <c r="BM207" s="28"/>
      <c r="BN207" s="28">
        <v>19.36</v>
      </c>
      <c r="BO207" s="28"/>
      <c r="BP207" s="28"/>
      <c r="BQ207" s="28">
        <v>36.630000000000003</v>
      </c>
      <c r="BR207" s="28"/>
      <c r="BS207" s="28"/>
      <c r="BT207" s="28"/>
      <c r="BU207" s="28">
        <v>39.049999999999997</v>
      </c>
      <c r="BV207" s="28">
        <v>0.99</v>
      </c>
      <c r="BW207" s="28"/>
      <c r="BX207" s="28"/>
      <c r="BY207" s="28"/>
      <c r="BZ207" s="28"/>
      <c r="CA207" s="28"/>
      <c r="CB207" s="28"/>
      <c r="CC207" s="28">
        <v>2.97</v>
      </c>
      <c r="CD207" s="28"/>
      <c r="CE207" s="28">
        <v>0.22</v>
      </c>
      <c r="CF207" s="28"/>
      <c r="CG207" s="28"/>
      <c r="CH207" s="28"/>
      <c r="CI207" s="28"/>
      <c r="CJ207" s="29" t="str">
        <f>IFERROR(SUMPRODUCT(G207:CI207,'🏭 원료 마스터'!$C$4:$C$84),"")</f>
        <v/>
      </c>
      <c r="CL207" t="s">
        <v>239</v>
      </c>
    </row>
    <row r="208" spans="1:90" ht="18" customHeight="1">
      <c r="A208" s="11">
        <v>204</v>
      </c>
      <c r="B208" s="25">
        <v>46059</v>
      </c>
      <c r="C208" s="26" t="s">
        <v>156</v>
      </c>
      <c r="D208" s="27">
        <v>110</v>
      </c>
      <c r="E208" s="11"/>
      <c r="F208" s="1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>
        <v>1.21</v>
      </c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>
        <v>5.39</v>
      </c>
      <c r="AQ208" s="30"/>
      <c r="AR208" s="30"/>
      <c r="AS208" s="30"/>
      <c r="AT208" s="30">
        <v>1.21</v>
      </c>
      <c r="AU208" s="30"/>
      <c r="AV208" s="30"/>
      <c r="AW208" s="30"/>
      <c r="AX208" s="30"/>
      <c r="AY208" s="30"/>
      <c r="AZ208" s="30">
        <v>1.54</v>
      </c>
      <c r="BA208" s="30"/>
      <c r="BB208" s="30"/>
      <c r="BC208" s="30"/>
      <c r="BD208" s="30"/>
      <c r="BE208" s="30"/>
      <c r="BF208" s="30"/>
      <c r="BG208" s="30"/>
      <c r="BH208" s="30"/>
      <c r="BI208" s="30">
        <v>1.43</v>
      </c>
      <c r="BJ208" s="30"/>
      <c r="BK208" s="30"/>
      <c r="BL208" s="30"/>
      <c r="BM208" s="30"/>
      <c r="BN208" s="30">
        <v>19.36</v>
      </c>
      <c r="BO208" s="30"/>
      <c r="BP208" s="30"/>
      <c r="BQ208" s="30">
        <v>36.630000000000003</v>
      </c>
      <c r="BR208" s="30"/>
      <c r="BS208" s="30"/>
      <c r="BT208" s="30"/>
      <c r="BU208" s="30">
        <v>39.049999999999997</v>
      </c>
      <c r="BV208" s="30">
        <v>0.99</v>
      </c>
      <c r="BW208" s="30"/>
      <c r="BX208" s="30"/>
      <c r="BY208" s="30"/>
      <c r="BZ208" s="30"/>
      <c r="CA208" s="30"/>
      <c r="CB208" s="30"/>
      <c r="CC208" s="30">
        <v>2.97</v>
      </c>
      <c r="CD208" s="30"/>
      <c r="CE208" s="30">
        <v>0.22</v>
      </c>
      <c r="CF208" s="30"/>
      <c r="CG208" s="30"/>
      <c r="CH208" s="30"/>
      <c r="CI208" s="30"/>
      <c r="CJ208" s="29" t="str">
        <f>IFERROR(SUMPRODUCT(G208:CI208,'🏭 원료 마스터'!$C$4:$C$84),"")</f>
        <v/>
      </c>
      <c r="CL208" t="s">
        <v>239</v>
      </c>
    </row>
    <row r="209" spans="1:90" ht="18" customHeight="1">
      <c r="A209" s="7">
        <v>205</v>
      </c>
      <c r="B209" s="25">
        <v>46059</v>
      </c>
      <c r="C209" s="26" t="s">
        <v>183</v>
      </c>
      <c r="D209" s="27">
        <v>110</v>
      </c>
      <c r="E209" s="7"/>
      <c r="F209" s="7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>
        <v>2.64</v>
      </c>
      <c r="AT209" s="28"/>
      <c r="AU209" s="28"/>
      <c r="AV209" s="28"/>
      <c r="AW209" s="28"/>
      <c r="AX209" s="28"/>
      <c r="AY209" s="28"/>
      <c r="AZ209" s="28">
        <v>2.64</v>
      </c>
      <c r="BA209" s="28"/>
      <c r="BB209" s="28"/>
      <c r="BC209" s="28"/>
      <c r="BD209" s="28"/>
      <c r="BE209" s="28"/>
      <c r="BF209" s="28"/>
      <c r="BG209" s="28"/>
      <c r="BH209" s="28"/>
      <c r="BI209" s="28">
        <v>1.32</v>
      </c>
      <c r="BJ209" s="28"/>
      <c r="BK209" s="28"/>
      <c r="BL209" s="28"/>
      <c r="BM209" s="28"/>
      <c r="BN209" s="28"/>
      <c r="BO209" s="28"/>
      <c r="BP209" s="28"/>
      <c r="BQ209" s="28">
        <v>49.28</v>
      </c>
      <c r="BR209" s="28"/>
      <c r="BS209" s="28">
        <v>0.22</v>
      </c>
      <c r="BT209" s="28"/>
      <c r="BU209" s="28">
        <v>52.58</v>
      </c>
      <c r="BV209" s="28">
        <v>0.88</v>
      </c>
      <c r="BW209" s="28"/>
      <c r="BX209" s="28"/>
      <c r="BY209" s="28"/>
      <c r="BZ209" s="28"/>
      <c r="CA209" s="28"/>
      <c r="CB209" s="28"/>
      <c r="CC209" s="28"/>
      <c r="CD209" s="28"/>
      <c r="CE209" s="28">
        <v>0.44</v>
      </c>
      <c r="CF209" s="28"/>
      <c r="CG209" s="28"/>
      <c r="CH209" s="28"/>
      <c r="CI209" s="28"/>
      <c r="CJ209" s="29" t="str">
        <f>IFERROR(SUMPRODUCT(G209:CI209,'🏭 원료 마스터'!$C$4:$C$84),"")</f>
        <v/>
      </c>
      <c r="CL209" t="s">
        <v>239</v>
      </c>
    </row>
    <row r="210" spans="1:90" ht="18" customHeight="1">
      <c r="A210" s="11">
        <v>206</v>
      </c>
      <c r="B210" s="25">
        <v>46059</v>
      </c>
      <c r="C210" s="26" t="s">
        <v>191</v>
      </c>
      <c r="D210" s="27">
        <v>880</v>
      </c>
      <c r="E210" s="11"/>
      <c r="F210" s="1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>
        <v>17.600000000000001</v>
      </c>
      <c r="AR210" s="30"/>
      <c r="AS210" s="30"/>
      <c r="AT210" s="30"/>
      <c r="AU210" s="30"/>
      <c r="AV210" s="30"/>
      <c r="AW210" s="30"/>
      <c r="AX210" s="30"/>
      <c r="AY210" s="30"/>
      <c r="AZ210" s="30">
        <v>167.2</v>
      </c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>
        <v>26.4</v>
      </c>
      <c r="BO210" s="30"/>
      <c r="BP210" s="30"/>
      <c r="BQ210" s="30">
        <v>158.4</v>
      </c>
      <c r="BR210" s="30"/>
      <c r="BS210" s="30">
        <v>17.600000000000001</v>
      </c>
      <c r="BT210" s="30"/>
      <c r="BU210" s="30">
        <v>378.4</v>
      </c>
      <c r="BV210" s="30">
        <v>17.600000000000001</v>
      </c>
      <c r="BW210" s="30"/>
      <c r="BX210" s="30"/>
      <c r="BY210" s="30"/>
      <c r="BZ210" s="30"/>
      <c r="CA210" s="30"/>
      <c r="CB210" s="30"/>
      <c r="CC210" s="30"/>
      <c r="CD210" s="30"/>
      <c r="CE210" s="30">
        <v>17.600000000000001</v>
      </c>
      <c r="CF210" s="30"/>
      <c r="CG210" s="30"/>
      <c r="CH210" s="30"/>
      <c r="CI210" s="30">
        <v>79.2</v>
      </c>
      <c r="CJ210" s="29" t="str">
        <f>IFERROR(SUMPRODUCT(G210:CI210,'🏭 원료 마스터'!$C$4:$C$84),"")</f>
        <v/>
      </c>
      <c r="CL210" t="s">
        <v>239</v>
      </c>
    </row>
    <row r="211" spans="1:90" ht="18" customHeight="1">
      <c r="A211" s="7">
        <v>207</v>
      </c>
      <c r="B211" s="25">
        <v>46061</v>
      </c>
      <c r="C211" s="26" t="s">
        <v>152</v>
      </c>
      <c r="D211" s="27">
        <v>220</v>
      </c>
      <c r="E211" s="7"/>
      <c r="F211" s="7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>
        <v>6.5119999999999996</v>
      </c>
      <c r="V211" s="28"/>
      <c r="W211" s="28"/>
      <c r="X211" s="28"/>
      <c r="Y211" s="28"/>
      <c r="Z211" s="28"/>
      <c r="AA211" s="28">
        <v>7.8540000000000001</v>
      </c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>
        <v>11.946</v>
      </c>
      <c r="AT211" s="28"/>
      <c r="AU211" s="28"/>
      <c r="AV211" s="28"/>
      <c r="AW211" s="28"/>
      <c r="AX211" s="28">
        <v>14.564</v>
      </c>
      <c r="AY211" s="28"/>
      <c r="AZ211" s="28">
        <v>3.1240000000000001</v>
      </c>
      <c r="BA211" s="28"/>
      <c r="BB211" s="28"/>
      <c r="BC211" s="28"/>
      <c r="BD211" s="28"/>
      <c r="BE211" s="28"/>
      <c r="BF211" s="28"/>
      <c r="BG211" s="28"/>
      <c r="BH211" s="28">
        <v>1.0780000000000001</v>
      </c>
      <c r="BI211" s="28"/>
      <c r="BJ211" s="28"/>
      <c r="BK211" s="28"/>
      <c r="BL211" s="28"/>
      <c r="BM211" s="28"/>
      <c r="BN211" s="28">
        <v>6.82</v>
      </c>
      <c r="BO211" s="28">
        <v>0.52800000000000002</v>
      </c>
      <c r="BP211" s="28">
        <v>22.352</v>
      </c>
      <c r="BQ211" s="28"/>
      <c r="BR211" s="28"/>
      <c r="BS211" s="28">
        <v>0.85799999999999998</v>
      </c>
      <c r="BT211" s="28"/>
      <c r="BU211" s="28">
        <v>117.04</v>
      </c>
      <c r="BV211" s="28"/>
      <c r="BW211" s="28">
        <v>14.63</v>
      </c>
      <c r="BX211" s="28">
        <v>7.8540000000000001</v>
      </c>
      <c r="BY211" s="28"/>
      <c r="BZ211" s="28"/>
      <c r="CA211" s="28"/>
      <c r="CB211" s="28"/>
      <c r="CC211" s="28"/>
      <c r="CD211" s="28"/>
      <c r="CE211" s="28"/>
      <c r="CF211" s="28"/>
      <c r="CG211" s="28">
        <v>4.84</v>
      </c>
      <c r="CH211" s="28"/>
      <c r="CI211" s="28"/>
      <c r="CJ211" s="29" t="str">
        <f>IFERROR(SUMPRODUCT(G211:CI211,'🏭 원료 마스터'!$C$4:$C$84),"")</f>
        <v/>
      </c>
      <c r="CL211" t="s">
        <v>239</v>
      </c>
    </row>
    <row r="212" spans="1:90" ht="18" customHeight="1">
      <c r="A212" s="11">
        <v>208</v>
      </c>
      <c r="B212" s="25">
        <v>46061</v>
      </c>
      <c r="C212" s="26" t="s">
        <v>150</v>
      </c>
      <c r="D212" s="27">
        <v>110</v>
      </c>
      <c r="E212" s="11"/>
      <c r="F212" s="1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>
        <v>3.2559999999999998</v>
      </c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>
        <v>3.927</v>
      </c>
      <c r="AN212" s="30"/>
      <c r="AO212" s="30"/>
      <c r="AP212" s="30"/>
      <c r="AQ212" s="30"/>
      <c r="AR212" s="30"/>
      <c r="AS212" s="30">
        <v>5.9729999999999999</v>
      </c>
      <c r="AT212" s="30"/>
      <c r="AU212" s="30"/>
      <c r="AV212" s="30"/>
      <c r="AW212" s="30"/>
      <c r="AX212" s="30">
        <v>7.282</v>
      </c>
      <c r="AY212" s="30"/>
      <c r="AZ212" s="30">
        <v>1.5620000000000001</v>
      </c>
      <c r="BA212" s="30">
        <v>3.927</v>
      </c>
      <c r="BB212" s="30"/>
      <c r="BC212" s="30"/>
      <c r="BD212" s="30"/>
      <c r="BE212" s="30"/>
      <c r="BF212" s="30"/>
      <c r="BG212" s="30"/>
      <c r="BH212" s="30">
        <v>0.53900000000000003</v>
      </c>
      <c r="BI212" s="30"/>
      <c r="BJ212" s="30"/>
      <c r="BK212" s="30"/>
      <c r="BL212" s="30"/>
      <c r="BM212" s="30"/>
      <c r="BN212" s="30">
        <v>3.41</v>
      </c>
      <c r="BO212" s="30">
        <v>0.26400000000000001</v>
      </c>
      <c r="BP212" s="30">
        <v>11.176</v>
      </c>
      <c r="BQ212" s="30"/>
      <c r="BR212" s="30"/>
      <c r="BS212" s="30">
        <v>0.42899999999999999</v>
      </c>
      <c r="BT212" s="30"/>
      <c r="BU212" s="30">
        <v>58.52</v>
      </c>
      <c r="BV212" s="30"/>
      <c r="BW212" s="30">
        <v>7.3150000000000004</v>
      </c>
      <c r="BX212" s="30"/>
      <c r="BY212" s="30"/>
      <c r="BZ212" s="30"/>
      <c r="CA212" s="30"/>
      <c r="CB212" s="30"/>
      <c r="CC212" s="30"/>
      <c r="CD212" s="30"/>
      <c r="CE212" s="30"/>
      <c r="CF212" s="30"/>
      <c r="CG212" s="30">
        <v>2.42</v>
      </c>
      <c r="CH212" s="30"/>
      <c r="CI212" s="30"/>
      <c r="CJ212" s="29" t="str">
        <f>IFERROR(SUMPRODUCT(G212:CI212,'🏭 원료 마스터'!$C$4:$C$84),"")</f>
        <v/>
      </c>
      <c r="CL212" t="s">
        <v>239</v>
      </c>
    </row>
    <row r="213" spans="1:90" ht="18" customHeight="1">
      <c r="A213" s="7">
        <v>209</v>
      </c>
      <c r="B213" s="25">
        <v>46061</v>
      </c>
      <c r="C213" s="26" t="s">
        <v>149</v>
      </c>
      <c r="D213" s="27">
        <v>110</v>
      </c>
      <c r="E213" s="7"/>
      <c r="F213" s="7"/>
      <c r="G213" s="28"/>
      <c r="H213" s="28"/>
      <c r="I213" s="28"/>
      <c r="J213" s="28"/>
      <c r="K213" s="28"/>
      <c r="L213" s="28"/>
      <c r="M213" s="28"/>
      <c r="N213" s="28"/>
      <c r="O213" s="28">
        <v>2.75</v>
      </c>
      <c r="P213" s="28">
        <v>5.1040000000000001</v>
      </c>
      <c r="Q213" s="28"/>
      <c r="R213" s="28"/>
      <c r="S213" s="28"/>
      <c r="T213" s="28"/>
      <c r="U213" s="28">
        <v>3.2559999999999998</v>
      </c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>
        <v>5.9729999999999999</v>
      </c>
      <c r="AT213" s="28"/>
      <c r="AU213" s="28"/>
      <c r="AV213" s="28"/>
      <c r="AW213" s="28"/>
      <c r="AX213" s="28">
        <v>7.282</v>
      </c>
      <c r="AY213" s="28"/>
      <c r="AZ213" s="28">
        <v>1.5620000000000001</v>
      </c>
      <c r="BA213" s="28"/>
      <c r="BB213" s="28"/>
      <c r="BC213" s="28"/>
      <c r="BD213" s="28"/>
      <c r="BE213" s="28"/>
      <c r="BF213" s="28"/>
      <c r="BG213" s="28"/>
      <c r="BH213" s="28">
        <v>0.53900000000000003</v>
      </c>
      <c r="BI213" s="28"/>
      <c r="BJ213" s="28"/>
      <c r="BK213" s="28"/>
      <c r="BL213" s="28"/>
      <c r="BM213" s="28"/>
      <c r="BN213" s="28">
        <v>3.41</v>
      </c>
      <c r="BO213" s="28">
        <v>0.26400000000000001</v>
      </c>
      <c r="BP213" s="28">
        <v>11.176</v>
      </c>
      <c r="BQ213" s="28"/>
      <c r="BR213" s="28"/>
      <c r="BS213" s="28">
        <v>0.42899999999999999</v>
      </c>
      <c r="BT213" s="28"/>
      <c r="BU213" s="28">
        <v>58.52</v>
      </c>
      <c r="BV213" s="28"/>
      <c r="BW213" s="28">
        <v>7.3150000000000004</v>
      </c>
      <c r="BX213" s="28"/>
      <c r="BY213" s="28"/>
      <c r="BZ213" s="28"/>
      <c r="CA213" s="28"/>
      <c r="CB213" s="28"/>
      <c r="CC213" s="28"/>
      <c r="CD213" s="28"/>
      <c r="CE213" s="28"/>
      <c r="CF213" s="28"/>
      <c r="CG213" s="28">
        <v>2.42</v>
      </c>
      <c r="CH213" s="28"/>
      <c r="CI213" s="28"/>
      <c r="CJ213" s="29" t="str">
        <f>IFERROR(SUMPRODUCT(G213:CI213,'🏭 원료 마스터'!$C$4:$C$84),"")</f>
        <v/>
      </c>
      <c r="CL213" t="s">
        <v>239</v>
      </c>
    </row>
    <row r="214" spans="1:90" ht="18" customHeight="1">
      <c r="A214" s="11">
        <v>210</v>
      </c>
      <c r="B214" s="25">
        <v>46061</v>
      </c>
      <c r="C214" s="26" t="s">
        <v>153</v>
      </c>
      <c r="D214" s="27">
        <v>110</v>
      </c>
      <c r="E214" s="11"/>
      <c r="F214" s="1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>
        <v>3.2559999999999998</v>
      </c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>
        <v>7.8540000000000001</v>
      </c>
      <c r="AP214" s="30"/>
      <c r="AQ214" s="30"/>
      <c r="AR214" s="30"/>
      <c r="AS214" s="30">
        <v>5.9729999999999999</v>
      </c>
      <c r="AT214" s="30"/>
      <c r="AU214" s="30"/>
      <c r="AV214" s="30"/>
      <c r="AW214" s="30"/>
      <c r="AX214" s="30">
        <v>7.282</v>
      </c>
      <c r="AY214" s="30"/>
      <c r="AZ214" s="30">
        <v>1.5620000000000001</v>
      </c>
      <c r="BA214" s="30"/>
      <c r="BB214" s="30"/>
      <c r="BC214" s="30"/>
      <c r="BD214" s="30"/>
      <c r="BE214" s="30"/>
      <c r="BF214" s="30"/>
      <c r="BG214" s="30"/>
      <c r="BH214" s="30">
        <v>0.53900000000000003</v>
      </c>
      <c r="BI214" s="30"/>
      <c r="BJ214" s="30"/>
      <c r="BK214" s="30"/>
      <c r="BL214" s="30"/>
      <c r="BM214" s="30"/>
      <c r="BN214" s="30">
        <v>3.41</v>
      </c>
      <c r="BO214" s="30">
        <v>0.26400000000000001</v>
      </c>
      <c r="BP214" s="30">
        <v>11.176</v>
      </c>
      <c r="BQ214" s="30"/>
      <c r="BR214" s="30"/>
      <c r="BS214" s="30">
        <v>0.42899999999999999</v>
      </c>
      <c r="BT214" s="30"/>
      <c r="BU214" s="30">
        <v>58.52</v>
      </c>
      <c r="BV214" s="30"/>
      <c r="BW214" s="30">
        <v>7.3150000000000004</v>
      </c>
      <c r="BX214" s="30"/>
      <c r="BY214" s="30"/>
      <c r="BZ214" s="30"/>
      <c r="CA214" s="30"/>
      <c r="CB214" s="30"/>
      <c r="CC214" s="30"/>
      <c r="CD214" s="30"/>
      <c r="CE214" s="30"/>
      <c r="CF214" s="30"/>
      <c r="CG214" s="30">
        <v>2.42</v>
      </c>
      <c r="CH214" s="30"/>
      <c r="CI214" s="30"/>
      <c r="CJ214" s="29" t="str">
        <f>IFERROR(SUMPRODUCT(G214:CI214,'🏭 원료 마스터'!$C$4:$C$84),"")</f>
        <v/>
      </c>
      <c r="CL214" t="s">
        <v>239</v>
      </c>
    </row>
    <row r="215" spans="1:90" ht="18" customHeight="1">
      <c r="A215" s="7">
        <v>211</v>
      </c>
      <c r="B215" s="25">
        <v>46062</v>
      </c>
      <c r="C215" s="26" t="s">
        <v>204</v>
      </c>
      <c r="D215" s="27">
        <v>220</v>
      </c>
      <c r="E215" s="7"/>
      <c r="F215" s="7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>
        <v>7.26</v>
      </c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>
        <v>6.6</v>
      </c>
      <c r="AL215" s="28"/>
      <c r="AM215" s="28"/>
      <c r="AN215" s="28"/>
      <c r="AO215" s="28"/>
      <c r="AP215" s="28"/>
      <c r="AQ215" s="28"/>
      <c r="AR215" s="28"/>
      <c r="AS215" s="28">
        <v>4.84</v>
      </c>
      <c r="AT215" s="28"/>
      <c r="AU215" s="28"/>
      <c r="AV215" s="28"/>
      <c r="AW215" s="28"/>
      <c r="AX215" s="28"/>
      <c r="AY215" s="28"/>
      <c r="AZ215" s="28">
        <v>4.84</v>
      </c>
      <c r="BA215" s="28"/>
      <c r="BB215" s="28"/>
      <c r="BC215" s="28"/>
      <c r="BD215" s="28"/>
      <c r="BE215" s="28">
        <v>2.42</v>
      </c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>
        <v>91.52</v>
      </c>
      <c r="BR215" s="28"/>
      <c r="BS215" s="28">
        <v>2.2000000000000002</v>
      </c>
      <c r="BT215" s="28"/>
      <c r="BU215" s="28">
        <v>97.68</v>
      </c>
      <c r="BV215" s="28">
        <v>1.76</v>
      </c>
      <c r="BW215" s="28"/>
      <c r="BX215" s="28"/>
      <c r="BY215" s="28"/>
      <c r="BZ215" s="28"/>
      <c r="CA215" s="28"/>
      <c r="CB215" s="28"/>
      <c r="CC215" s="28"/>
      <c r="CD215" s="28"/>
      <c r="CE215" s="28">
        <v>0.88</v>
      </c>
      <c r="CF215" s="28"/>
      <c r="CG215" s="28"/>
      <c r="CH215" s="28"/>
      <c r="CI215" s="28"/>
      <c r="CJ215" s="29" t="str">
        <f>IFERROR(SUMPRODUCT(G215:CI215,'🏭 원료 마스터'!$C$4:$C$84),"")</f>
        <v/>
      </c>
      <c r="CL215" t="s">
        <v>239</v>
      </c>
    </row>
    <row r="216" spans="1:90" ht="18" customHeight="1">
      <c r="A216" s="11">
        <v>212</v>
      </c>
      <c r="B216" s="25">
        <v>46062</v>
      </c>
      <c r="C216" s="26" t="s">
        <v>144</v>
      </c>
      <c r="D216" s="27">
        <v>70</v>
      </c>
      <c r="E216" s="11"/>
      <c r="F216" s="1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>
        <v>2.1</v>
      </c>
      <c r="AL216" s="30"/>
      <c r="AM216" s="30"/>
      <c r="AN216" s="30"/>
      <c r="AO216" s="30"/>
      <c r="AP216" s="30"/>
      <c r="AQ216" s="30"/>
      <c r="AR216" s="30"/>
      <c r="AS216" s="30">
        <v>3.29</v>
      </c>
      <c r="AT216" s="30"/>
      <c r="AU216" s="30"/>
      <c r="AV216" s="30"/>
      <c r="AW216" s="30"/>
      <c r="AX216" s="30"/>
      <c r="AY216" s="30"/>
      <c r="AZ216" s="30">
        <v>3.29</v>
      </c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>
        <v>26.53</v>
      </c>
      <c r="BO216" s="30"/>
      <c r="BP216" s="30"/>
      <c r="BQ216" s="30"/>
      <c r="BR216" s="30"/>
      <c r="BS216" s="30">
        <v>0.63</v>
      </c>
      <c r="BT216" s="30"/>
      <c r="BU216" s="30">
        <v>33.25</v>
      </c>
      <c r="BV216" s="30">
        <v>0.63</v>
      </c>
      <c r="BW216" s="30"/>
      <c r="BX216" s="30"/>
      <c r="BY216" s="30"/>
      <c r="BZ216" s="30"/>
      <c r="CA216" s="30"/>
      <c r="CB216" s="30"/>
      <c r="CC216" s="30"/>
      <c r="CD216" s="30"/>
      <c r="CE216" s="30">
        <v>0.28000000000000003</v>
      </c>
      <c r="CF216" s="30"/>
      <c r="CG216" s="30"/>
      <c r="CH216" s="30"/>
      <c r="CI216" s="30"/>
      <c r="CJ216" s="29" t="str">
        <f>IFERROR(SUMPRODUCT(G216:CI216,'🏭 원료 마스터'!$C$4:$C$84),"")</f>
        <v/>
      </c>
      <c r="CL216" t="s">
        <v>239</v>
      </c>
    </row>
    <row r="217" spans="1:90" ht="18" customHeight="1">
      <c r="A217" s="7">
        <v>213</v>
      </c>
      <c r="B217" s="25">
        <v>46062</v>
      </c>
      <c r="C217" s="26" t="s">
        <v>183</v>
      </c>
      <c r="D217" s="27">
        <v>440</v>
      </c>
      <c r="E217" s="7"/>
      <c r="F217" s="7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>
        <v>10.56</v>
      </c>
      <c r="AT217" s="28"/>
      <c r="AU217" s="28"/>
      <c r="AV217" s="28"/>
      <c r="AW217" s="28"/>
      <c r="AX217" s="28"/>
      <c r="AY217" s="28"/>
      <c r="AZ217" s="28">
        <v>10.56</v>
      </c>
      <c r="BA217" s="28"/>
      <c r="BB217" s="28"/>
      <c r="BC217" s="28"/>
      <c r="BD217" s="28"/>
      <c r="BE217" s="28"/>
      <c r="BF217" s="28"/>
      <c r="BG217" s="28"/>
      <c r="BH217" s="28"/>
      <c r="BI217" s="28">
        <v>5.28</v>
      </c>
      <c r="BJ217" s="28"/>
      <c r="BK217" s="28"/>
      <c r="BL217" s="28"/>
      <c r="BM217" s="28"/>
      <c r="BN217" s="28"/>
      <c r="BO217" s="28"/>
      <c r="BP217" s="28"/>
      <c r="BQ217" s="28">
        <v>197.12</v>
      </c>
      <c r="BR217" s="28"/>
      <c r="BS217" s="28">
        <v>0.88</v>
      </c>
      <c r="BT217" s="28"/>
      <c r="BU217" s="28">
        <v>210.32</v>
      </c>
      <c r="BV217" s="28">
        <v>3.52</v>
      </c>
      <c r="BW217" s="28"/>
      <c r="BX217" s="28"/>
      <c r="BY217" s="28"/>
      <c r="BZ217" s="28"/>
      <c r="CA217" s="28"/>
      <c r="CB217" s="28"/>
      <c r="CC217" s="28"/>
      <c r="CD217" s="28"/>
      <c r="CE217" s="28">
        <v>1.76</v>
      </c>
      <c r="CF217" s="28"/>
      <c r="CG217" s="28"/>
      <c r="CH217" s="28"/>
      <c r="CI217" s="28"/>
      <c r="CJ217" s="29" t="str">
        <f>IFERROR(SUMPRODUCT(G217:CI217,'🏭 원료 마스터'!$C$4:$C$84),"")</f>
        <v/>
      </c>
      <c r="CL217" t="s">
        <v>239</v>
      </c>
    </row>
    <row r="218" spans="1:90" ht="18" customHeight="1">
      <c r="A218" s="11">
        <v>214</v>
      </c>
      <c r="B218" s="25">
        <v>46062</v>
      </c>
      <c r="C218" s="26" t="s">
        <v>191</v>
      </c>
      <c r="D218" s="27">
        <v>660</v>
      </c>
      <c r="E218" s="11"/>
      <c r="F218" s="1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>
        <v>13.2</v>
      </c>
      <c r="AR218" s="30"/>
      <c r="AS218" s="30"/>
      <c r="AT218" s="30"/>
      <c r="AU218" s="30"/>
      <c r="AV218" s="30"/>
      <c r="AW218" s="30"/>
      <c r="AX218" s="30"/>
      <c r="AY218" s="30"/>
      <c r="AZ218" s="30">
        <v>125.4</v>
      </c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>
        <v>19.8</v>
      </c>
      <c r="BO218" s="30"/>
      <c r="BP218" s="30"/>
      <c r="BQ218" s="30">
        <v>118.8</v>
      </c>
      <c r="BR218" s="30"/>
      <c r="BS218" s="30">
        <v>13.2</v>
      </c>
      <c r="BT218" s="30"/>
      <c r="BU218" s="30">
        <v>283.8</v>
      </c>
      <c r="BV218" s="30">
        <v>13.2</v>
      </c>
      <c r="BW218" s="30"/>
      <c r="BX218" s="30"/>
      <c r="BY218" s="30"/>
      <c r="BZ218" s="30"/>
      <c r="CA218" s="30"/>
      <c r="CB218" s="30"/>
      <c r="CC218" s="30"/>
      <c r="CD218" s="30"/>
      <c r="CE218" s="30">
        <v>13.2</v>
      </c>
      <c r="CF218" s="30"/>
      <c r="CG218" s="30"/>
      <c r="CH218" s="30"/>
      <c r="CI218" s="30">
        <v>59.4</v>
      </c>
      <c r="CJ218" s="29" t="str">
        <f>IFERROR(SUMPRODUCT(G218:CI218,'🏭 원료 마스터'!$C$4:$C$84),"")</f>
        <v/>
      </c>
      <c r="CL218" t="s">
        <v>239</v>
      </c>
    </row>
    <row r="219" spans="1:90" ht="18" customHeight="1">
      <c r="A219" s="7">
        <v>215</v>
      </c>
      <c r="B219" s="25">
        <v>46063</v>
      </c>
      <c r="C219" s="26" t="s">
        <v>204</v>
      </c>
      <c r="D219" s="27">
        <v>440</v>
      </c>
      <c r="E219" s="7"/>
      <c r="F219" s="7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>
        <v>14.52</v>
      </c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>
        <v>13.2</v>
      </c>
      <c r="AL219" s="28"/>
      <c r="AM219" s="28"/>
      <c r="AN219" s="28"/>
      <c r="AO219" s="28"/>
      <c r="AP219" s="28"/>
      <c r="AQ219" s="28"/>
      <c r="AR219" s="28"/>
      <c r="AS219" s="28">
        <v>9.68</v>
      </c>
      <c r="AT219" s="28"/>
      <c r="AU219" s="28"/>
      <c r="AV219" s="28"/>
      <c r="AW219" s="28"/>
      <c r="AX219" s="28"/>
      <c r="AY219" s="28"/>
      <c r="AZ219" s="28">
        <v>9.68</v>
      </c>
      <c r="BA219" s="28"/>
      <c r="BB219" s="28"/>
      <c r="BC219" s="28"/>
      <c r="BD219" s="28"/>
      <c r="BE219" s="28">
        <v>4.84</v>
      </c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>
        <v>183.04</v>
      </c>
      <c r="BR219" s="28"/>
      <c r="BS219" s="28">
        <v>4.4000000000000004</v>
      </c>
      <c r="BT219" s="28"/>
      <c r="BU219" s="28">
        <v>195.36</v>
      </c>
      <c r="BV219" s="28">
        <v>3.52</v>
      </c>
      <c r="BW219" s="28"/>
      <c r="BX219" s="28"/>
      <c r="BY219" s="28"/>
      <c r="BZ219" s="28"/>
      <c r="CA219" s="28"/>
      <c r="CB219" s="28"/>
      <c r="CC219" s="28"/>
      <c r="CD219" s="28"/>
      <c r="CE219" s="28">
        <v>1.76</v>
      </c>
      <c r="CF219" s="28"/>
      <c r="CG219" s="28"/>
      <c r="CH219" s="28"/>
      <c r="CI219" s="28"/>
      <c r="CJ219" s="29" t="str">
        <f>IFERROR(SUMPRODUCT(G219:CI219,'🏭 원료 마스터'!$C$4:$C$84),"")</f>
        <v/>
      </c>
      <c r="CL219" t="s">
        <v>239</v>
      </c>
    </row>
    <row r="220" spans="1:90" ht="18" customHeight="1">
      <c r="A220" s="11">
        <v>216</v>
      </c>
      <c r="B220" s="25">
        <v>46063</v>
      </c>
      <c r="C220" s="26" t="s">
        <v>205</v>
      </c>
      <c r="D220" s="27">
        <v>220</v>
      </c>
      <c r="E220" s="11"/>
      <c r="F220" s="1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>
        <v>4.4000000000000004</v>
      </c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>
        <v>27.28</v>
      </c>
      <c r="AJ220" s="30"/>
      <c r="AK220" s="30">
        <v>5.94</v>
      </c>
      <c r="AL220" s="30"/>
      <c r="AM220" s="30"/>
      <c r="AN220" s="30"/>
      <c r="AO220" s="30"/>
      <c r="AP220" s="30"/>
      <c r="AQ220" s="30"/>
      <c r="AR220" s="30"/>
      <c r="AS220" s="30">
        <v>4.4000000000000004</v>
      </c>
      <c r="AT220" s="30"/>
      <c r="AU220" s="30"/>
      <c r="AV220" s="30"/>
      <c r="AW220" s="30"/>
      <c r="AX220" s="30"/>
      <c r="AY220" s="30"/>
      <c r="AZ220" s="30">
        <v>4.4000000000000004</v>
      </c>
      <c r="BA220" s="30"/>
      <c r="BB220" s="30"/>
      <c r="BC220" s="30"/>
      <c r="BD220" s="30"/>
      <c r="BE220" s="30">
        <v>2.2000000000000002</v>
      </c>
      <c r="BF220" s="30"/>
      <c r="BG220" s="30"/>
      <c r="BH220" s="30"/>
      <c r="BI220" s="30"/>
      <c r="BJ220" s="30"/>
      <c r="BK220" s="30"/>
      <c r="BL220" s="30"/>
      <c r="BM220" s="30"/>
      <c r="BN220" s="30">
        <v>25.52</v>
      </c>
      <c r="BO220" s="30"/>
      <c r="BP220" s="30">
        <v>54.56</v>
      </c>
      <c r="BQ220" s="30"/>
      <c r="BR220" s="30"/>
      <c r="BS220" s="30">
        <v>1.98</v>
      </c>
      <c r="BT220" s="30"/>
      <c r="BU220" s="30">
        <v>87.12</v>
      </c>
      <c r="BV220" s="30">
        <v>1.54</v>
      </c>
      <c r="BW220" s="30"/>
      <c r="BX220" s="30"/>
      <c r="BY220" s="30"/>
      <c r="BZ220" s="30"/>
      <c r="CA220" s="30"/>
      <c r="CB220" s="30"/>
      <c r="CC220" s="30"/>
      <c r="CD220" s="30"/>
      <c r="CE220" s="30">
        <v>0.66</v>
      </c>
      <c r="CF220" s="30"/>
      <c r="CG220" s="30"/>
      <c r="CH220" s="30"/>
      <c r="CI220" s="30"/>
      <c r="CJ220" s="29" t="str">
        <f>IFERROR(SUMPRODUCT(G220:CI220,'🏭 원료 마스터'!$C$4:$C$84),"")</f>
        <v/>
      </c>
      <c r="CL220" t="s">
        <v>239</v>
      </c>
    </row>
    <row r="221" spans="1:90" ht="18" customHeight="1">
      <c r="A221" s="7">
        <v>217</v>
      </c>
      <c r="B221" s="25">
        <v>46063</v>
      </c>
      <c r="C221" s="26" t="s">
        <v>191</v>
      </c>
      <c r="D221" s="27">
        <v>770</v>
      </c>
      <c r="E221" s="7"/>
      <c r="F221" s="7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>
        <v>15.4</v>
      </c>
      <c r="AR221" s="28"/>
      <c r="AS221" s="28"/>
      <c r="AT221" s="28"/>
      <c r="AU221" s="28"/>
      <c r="AV221" s="28"/>
      <c r="AW221" s="28"/>
      <c r="AX221" s="28"/>
      <c r="AY221" s="28"/>
      <c r="AZ221" s="28">
        <v>146.30000000000001</v>
      </c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>
        <v>23.1</v>
      </c>
      <c r="BO221" s="28"/>
      <c r="BP221" s="28"/>
      <c r="BQ221" s="28">
        <v>138.6</v>
      </c>
      <c r="BR221" s="28"/>
      <c r="BS221" s="28">
        <v>15.4</v>
      </c>
      <c r="BT221" s="28"/>
      <c r="BU221" s="28">
        <v>331.1</v>
      </c>
      <c r="BV221" s="28">
        <v>15.4</v>
      </c>
      <c r="BW221" s="28"/>
      <c r="BX221" s="28"/>
      <c r="BY221" s="28"/>
      <c r="BZ221" s="28"/>
      <c r="CA221" s="28"/>
      <c r="CB221" s="28"/>
      <c r="CC221" s="28"/>
      <c r="CD221" s="28"/>
      <c r="CE221" s="28">
        <v>15.4</v>
      </c>
      <c r="CF221" s="28"/>
      <c r="CG221" s="28"/>
      <c r="CH221" s="28"/>
      <c r="CI221" s="28">
        <v>69.3</v>
      </c>
      <c r="CJ221" s="29" t="str">
        <f>IFERROR(SUMPRODUCT(G221:CI221,'🏭 원료 마스터'!$C$4:$C$84),"")</f>
        <v/>
      </c>
      <c r="CL221" t="s">
        <v>239</v>
      </c>
    </row>
    <row r="222" spans="1:90" ht="18" customHeight="1">
      <c r="A222" s="11">
        <v>218</v>
      </c>
      <c r="B222" s="25">
        <v>46064</v>
      </c>
      <c r="C222" s="26" t="s">
        <v>206</v>
      </c>
      <c r="D222" s="27">
        <v>70</v>
      </c>
      <c r="E222" s="11"/>
      <c r="F222" s="1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>
        <v>3.339</v>
      </c>
      <c r="AT222" s="30"/>
      <c r="AU222" s="30"/>
      <c r="AV222" s="30"/>
      <c r="AW222" s="30"/>
      <c r="AX222" s="30"/>
      <c r="AY222" s="30"/>
      <c r="AZ222" s="30">
        <v>3.339</v>
      </c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>
        <v>28.427</v>
      </c>
      <c r="BO222" s="30"/>
      <c r="BP222" s="30"/>
      <c r="BQ222" s="30"/>
      <c r="BR222" s="30"/>
      <c r="BS222" s="30">
        <v>0.67900000000000005</v>
      </c>
      <c r="BT222" s="30"/>
      <c r="BU222" s="30">
        <v>33.334000000000003</v>
      </c>
      <c r="BV222" s="30">
        <v>0.60199999999999998</v>
      </c>
      <c r="BW222" s="30"/>
      <c r="BX222" s="30"/>
      <c r="BY222" s="30"/>
      <c r="BZ222" s="30"/>
      <c r="CA222" s="30"/>
      <c r="CB222" s="30"/>
      <c r="CC222" s="30"/>
      <c r="CD222" s="30"/>
      <c r="CE222" s="30">
        <v>0.28000000000000003</v>
      </c>
      <c r="CF222" s="30"/>
      <c r="CG222" s="30"/>
      <c r="CH222" s="30"/>
      <c r="CI222" s="30"/>
      <c r="CJ222" s="29" t="str">
        <f>IFERROR(SUMPRODUCT(G222:CI222,'🏭 원료 마스터'!$C$4:$C$84),"")</f>
        <v/>
      </c>
      <c r="CL222" t="s">
        <v>239</v>
      </c>
    </row>
    <row r="223" spans="1:90" ht="18" customHeight="1">
      <c r="A223" s="7">
        <v>219</v>
      </c>
      <c r="B223" s="25">
        <v>46064</v>
      </c>
      <c r="C223" s="26" t="s">
        <v>191</v>
      </c>
      <c r="D223" s="27">
        <v>1100</v>
      </c>
      <c r="E223" s="7"/>
      <c r="F223" s="7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>
        <v>22</v>
      </c>
      <c r="AR223" s="28"/>
      <c r="AS223" s="28"/>
      <c r="AT223" s="28"/>
      <c r="AU223" s="28"/>
      <c r="AV223" s="28"/>
      <c r="AW223" s="28"/>
      <c r="AX223" s="28"/>
      <c r="AY223" s="28"/>
      <c r="AZ223" s="28">
        <v>209</v>
      </c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>
        <v>33</v>
      </c>
      <c r="BO223" s="28"/>
      <c r="BP223" s="28"/>
      <c r="BQ223" s="28">
        <v>198</v>
      </c>
      <c r="BR223" s="28"/>
      <c r="BS223" s="28">
        <v>22</v>
      </c>
      <c r="BT223" s="28"/>
      <c r="BU223" s="28">
        <v>473</v>
      </c>
      <c r="BV223" s="28">
        <v>22</v>
      </c>
      <c r="BW223" s="28"/>
      <c r="BX223" s="28"/>
      <c r="BY223" s="28"/>
      <c r="BZ223" s="28"/>
      <c r="CA223" s="28"/>
      <c r="CB223" s="28"/>
      <c r="CC223" s="28"/>
      <c r="CD223" s="28"/>
      <c r="CE223" s="28">
        <v>22</v>
      </c>
      <c r="CF223" s="28"/>
      <c r="CG223" s="28"/>
      <c r="CH223" s="28"/>
      <c r="CI223" s="28">
        <v>99</v>
      </c>
      <c r="CJ223" s="29" t="str">
        <f>IFERROR(SUMPRODUCT(G223:CI223,'🏭 원료 마스터'!$C$4:$C$84),"")</f>
        <v/>
      </c>
      <c r="CL223" t="s">
        <v>239</v>
      </c>
    </row>
    <row r="224" spans="1:90" ht="18" customHeight="1">
      <c r="A224" s="11">
        <v>220</v>
      </c>
      <c r="B224" s="25">
        <v>46072</v>
      </c>
      <c r="C224" s="26" t="s">
        <v>144</v>
      </c>
      <c r="D224" s="27">
        <v>70</v>
      </c>
      <c r="E224" s="11"/>
      <c r="F224" s="1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>
        <v>2.1</v>
      </c>
      <c r="AL224" s="30"/>
      <c r="AM224" s="30"/>
      <c r="AN224" s="30"/>
      <c r="AO224" s="30"/>
      <c r="AP224" s="30"/>
      <c r="AQ224" s="30"/>
      <c r="AR224" s="30"/>
      <c r="AS224" s="30">
        <v>3.29</v>
      </c>
      <c r="AT224" s="30"/>
      <c r="AU224" s="30"/>
      <c r="AV224" s="30"/>
      <c r="AW224" s="30"/>
      <c r="AX224" s="30"/>
      <c r="AY224" s="30"/>
      <c r="AZ224" s="30">
        <v>3.29</v>
      </c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>
        <v>26.53</v>
      </c>
      <c r="BO224" s="30"/>
      <c r="BP224" s="30"/>
      <c r="BQ224" s="30"/>
      <c r="BR224" s="30"/>
      <c r="BS224" s="30">
        <v>0.63</v>
      </c>
      <c r="BT224" s="30"/>
      <c r="BU224" s="30">
        <v>33.25</v>
      </c>
      <c r="BV224" s="30">
        <v>0.63</v>
      </c>
      <c r="BW224" s="30"/>
      <c r="BX224" s="30"/>
      <c r="BY224" s="30"/>
      <c r="BZ224" s="30"/>
      <c r="CA224" s="30"/>
      <c r="CB224" s="30"/>
      <c r="CC224" s="30"/>
      <c r="CD224" s="30"/>
      <c r="CE224" s="30">
        <v>0.28000000000000003</v>
      </c>
      <c r="CF224" s="30"/>
      <c r="CG224" s="30"/>
      <c r="CH224" s="30"/>
      <c r="CI224" s="30"/>
      <c r="CJ224" s="29" t="str">
        <f>IFERROR(SUMPRODUCT(G224:CI224,'🏭 원료 마스터'!$C$4:$C$84),"")</f>
        <v/>
      </c>
      <c r="CL224" t="s">
        <v>239</v>
      </c>
    </row>
    <row r="225" spans="1:90" ht="18" customHeight="1">
      <c r="A225" s="7">
        <v>221</v>
      </c>
      <c r="B225" s="25">
        <v>46072</v>
      </c>
      <c r="C225" s="26" t="s">
        <v>204</v>
      </c>
      <c r="D225" s="27">
        <v>220</v>
      </c>
      <c r="E225" s="7"/>
      <c r="F225" s="7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>
        <v>7.26</v>
      </c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>
        <v>6.6</v>
      </c>
      <c r="AL225" s="28"/>
      <c r="AM225" s="28"/>
      <c r="AN225" s="28"/>
      <c r="AO225" s="28"/>
      <c r="AP225" s="28"/>
      <c r="AQ225" s="28"/>
      <c r="AR225" s="28"/>
      <c r="AS225" s="28">
        <v>4.84</v>
      </c>
      <c r="AT225" s="28"/>
      <c r="AU225" s="28"/>
      <c r="AV225" s="28"/>
      <c r="AW225" s="28"/>
      <c r="AX225" s="28"/>
      <c r="AY225" s="28"/>
      <c r="AZ225" s="28">
        <v>4.84</v>
      </c>
      <c r="BA225" s="28"/>
      <c r="BB225" s="28"/>
      <c r="BC225" s="28"/>
      <c r="BD225" s="28"/>
      <c r="BE225" s="28">
        <v>2.42</v>
      </c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>
        <v>91.52</v>
      </c>
      <c r="BR225" s="28"/>
      <c r="BS225" s="28">
        <v>2.2000000000000002</v>
      </c>
      <c r="BT225" s="28"/>
      <c r="BU225" s="28">
        <v>97.68</v>
      </c>
      <c r="BV225" s="28">
        <v>1.76</v>
      </c>
      <c r="BW225" s="28"/>
      <c r="BX225" s="28"/>
      <c r="BY225" s="28"/>
      <c r="BZ225" s="28"/>
      <c r="CA225" s="28"/>
      <c r="CB225" s="28"/>
      <c r="CC225" s="28"/>
      <c r="CD225" s="28"/>
      <c r="CE225" s="28">
        <v>0.88</v>
      </c>
      <c r="CF225" s="28"/>
      <c r="CG225" s="28"/>
      <c r="CH225" s="28"/>
      <c r="CI225" s="28"/>
      <c r="CJ225" s="29" t="str">
        <f>IFERROR(SUMPRODUCT(G225:CI225,'🏭 원료 마스터'!$C$4:$C$84),"")</f>
        <v/>
      </c>
      <c r="CL225" t="s">
        <v>239</v>
      </c>
    </row>
    <row r="226" spans="1:90" ht="18" customHeight="1">
      <c r="A226" s="11">
        <v>222</v>
      </c>
      <c r="B226" s="25">
        <v>46072</v>
      </c>
      <c r="C226" s="26" t="s">
        <v>191</v>
      </c>
      <c r="D226" s="27">
        <v>1100</v>
      </c>
      <c r="E226" s="11"/>
      <c r="F226" s="1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>
        <v>22</v>
      </c>
      <c r="AR226" s="30"/>
      <c r="AS226" s="30"/>
      <c r="AT226" s="30"/>
      <c r="AU226" s="30"/>
      <c r="AV226" s="30"/>
      <c r="AW226" s="30"/>
      <c r="AX226" s="30"/>
      <c r="AY226" s="30"/>
      <c r="AZ226" s="30">
        <v>209</v>
      </c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>
        <v>33</v>
      </c>
      <c r="BO226" s="30"/>
      <c r="BP226" s="30"/>
      <c r="BQ226" s="30">
        <v>198</v>
      </c>
      <c r="BR226" s="30"/>
      <c r="BS226" s="30">
        <v>22</v>
      </c>
      <c r="BT226" s="30"/>
      <c r="BU226" s="30">
        <v>473</v>
      </c>
      <c r="BV226" s="30">
        <v>22</v>
      </c>
      <c r="BW226" s="30"/>
      <c r="BX226" s="30"/>
      <c r="BY226" s="30"/>
      <c r="BZ226" s="30"/>
      <c r="CA226" s="30"/>
      <c r="CB226" s="30"/>
      <c r="CC226" s="30"/>
      <c r="CD226" s="30"/>
      <c r="CE226" s="30">
        <v>22</v>
      </c>
      <c r="CF226" s="30"/>
      <c r="CG226" s="30"/>
      <c r="CH226" s="30"/>
      <c r="CI226" s="30">
        <v>99</v>
      </c>
      <c r="CJ226" s="29" t="str">
        <f>IFERROR(SUMPRODUCT(G226:CI226,'🏭 원료 마스터'!$C$4:$C$84),"")</f>
        <v/>
      </c>
      <c r="CL226" t="s">
        <v>239</v>
      </c>
    </row>
    <row r="227" spans="1:90" ht="18" customHeight="1">
      <c r="A227" s="7">
        <v>223</v>
      </c>
      <c r="B227" s="25">
        <v>46073</v>
      </c>
      <c r="C227" s="26" t="s">
        <v>207</v>
      </c>
      <c r="D227" s="27">
        <v>70</v>
      </c>
      <c r="E227" s="7"/>
      <c r="F227" s="7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>
        <v>2.1</v>
      </c>
      <c r="AL227" s="28"/>
      <c r="AM227" s="28"/>
      <c r="AN227" s="28"/>
      <c r="AO227" s="28"/>
      <c r="AP227" s="28"/>
      <c r="AQ227" s="28"/>
      <c r="AR227" s="28"/>
      <c r="AS227" s="28">
        <v>3.29</v>
      </c>
      <c r="AT227" s="28"/>
      <c r="AU227" s="28"/>
      <c r="AV227" s="28"/>
      <c r="AW227" s="28"/>
      <c r="AX227" s="28"/>
      <c r="AY227" s="28"/>
      <c r="AZ227" s="28">
        <v>3.29</v>
      </c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>
        <v>26.53</v>
      </c>
      <c r="BO227" s="28"/>
      <c r="BP227" s="28"/>
      <c r="BQ227" s="28"/>
      <c r="BR227" s="28"/>
      <c r="BS227" s="28">
        <v>0.63</v>
      </c>
      <c r="BT227" s="28"/>
      <c r="BU227" s="28">
        <v>33.25</v>
      </c>
      <c r="BV227" s="28">
        <v>0.63</v>
      </c>
      <c r="BW227" s="28"/>
      <c r="BX227" s="28"/>
      <c r="BY227" s="28"/>
      <c r="BZ227" s="28"/>
      <c r="CA227" s="28"/>
      <c r="CB227" s="28"/>
      <c r="CC227" s="28"/>
      <c r="CD227" s="28"/>
      <c r="CE227" s="28">
        <v>0.28000000000000003</v>
      </c>
      <c r="CF227" s="28"/>
      <c r="CG227" s="28"/>
      <c r="CH227" s="28"/>
      <c r="CI227" s="28"/>
      <c r="CJ227" s="29" t="str">
        <f>IFERROR(SUMPRODUCT(G227:CI227,'🏭 원료 마스터'!$C$4:$C$84),"")</f>
        <v/>
      </c>
      <c r="CL227" t="s">
        <v>239</v>
      </c>
    </row>
    <row r="228" spans="1:90" ht="18" customHeight="1">
      <c r="A228" s="11">
        <v>224</v>
      </c>
      <c r="B228" s="25">
        <v>46073</v>
      </c>
      <c r="C228" s="26" t="s">
        <v>179</v>
      </c>
      <c r="D228" s="27">
        <v>70</v>
      </c>
      <c r="E228" s="11"/>
      <c r="F228" s="1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>
        <v>6.16</v>
      </c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>
        <v>3.08</v>
      </c>
      <c r="AT228" s="30"/>
      <c r="AU228" s="30"/>
      <c r="AV228" s="30"/>
      <c r="AW228" s="30"/>
      <c r="AX228" s="30"/>
      <c r="AY228" s="30"/>
      <c r="AZ228" s="30">
        <v>3.08</v>
      </c>
      <c r="BA228" s="30"/>
      <c r="BB228" s="30"/>
      <c r="BC228" s="30"/>
      <c r="BD228" s="30"/>
      <c r="BE228" s="30">
        <v>0.32900000000000001</v>
      </c>
      <c r="BF228" s="30"/>
      <c r="BG228" s="30"/>
      <c r="BH228" s="30"/>
      <c r="BI228" s="30"/>
      <c r="BJ228" s="30"/>
      <c r="BK228" s="30"/>
      <c r="BL228" s="30"/>
      <c r="BM228" s="30"/>
      <c r="BN228" s="30">
        <v>25.123000000000001</v>
      </c>
      <c r="BO228" s="30"/>
      <c r="BP228" s="30"/>
      <c r="BQ228" s="30"/>
      <c r="BR228" s="30"/>
      <c r="BS228" s="30">
        <v>0.63</v>
      </c>
      <c r="BT228" s="30"/>
      <c r="BU228" s="30">
        <v>30.771999999999998</v>
      </c>
      <c r="BV228" s="30">
        <v>0.56000000000000005</v>
      </c>
      <c r="BW228" s="30"/>
      <c r="BX228" s="30"/>
      <c r="BY228" s="30"/>
      <c r="BZ228" s="30"/>
      <c r="CA228" s="30"/>
      <c r="CB228" s="30"/>
      <c r="CC228" s="30"/>
      <c r="CD228" s="30"/>
      <c r="CE228" s="30">
        <v>0.26600000000000001</v>
      </c>
      <c r="CF228" s="30"/>
      <c r="CG228" s="30"/>
      <c r="CH228" s="30"/>
      <c r="CI228" s="30"/>
      <c r="CJ228" s="29" t="str">
        <f>IFERROR(SUMPRODUCT(G228:CI228,'🏭 원료 마스터'!$C$4:$C$84),"")</f>
        <v/>
      </c>
      <c r="CL228" t="s">
        <v>239</v>
      </c>
    </row>
    <row r="229" spans="1:90" ht="18" customHeight="1">
      <c r="A229" s="7">
        <v>225</v>
      </c>
      <c r="B229" s="25">
        <v>46073</v>
      </c>
      <c r="C229" s="26" t="s">
        <v>206</v>
      </c>
      <c r="D229" s="27">
        <v>70</v>
      </c>
      <c r="E229" s="7"/>
      <c r="F229" s="7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>
        <v>3.339</v>
      </c>
      <c r="AT229" s="28"/>
      <c r="AU229" s="28"/>
      <c r="AV229" s="28"/>
      <c r="AW229" s="28"/>
      <c r="AX229" s="28"/>
      <c r="AY229" s="28"/>
      <c r="AZ229" s="28">
        <v>3.339</v>
      </c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>
        <v>28.427</v>
      </c>
      <c r="BO229" s="28"/>
      <c r="BP229" s="28"/>
      <c r="BQ229" s="28"/>
      <c r="BR229" s="28"/>
      <c r="BS229" s="28">
        <v>0.67900000000000005</v>
      </c>
      <c r="BT229" s="28"/>
      <c r="BU229" s="28">
        <v>33.334000000000003</v>
      </c>
      <c r="BV229" s="28">
        <v>0.60199999999999998</v>
      </c>
      <c r="BW229" s="28"/>
      <c r="BX229" s="28"/>
      <c r="BY229" s="28"/>
      <c r="BZ229" s="28"/>
      <c r="CA229" s="28"/>
      <c r="CB229" s="28"/>
      <c r="CC229" s="28"/>
      <c r="CD229" s="28"/>
      <c r="CE229" s="28">
        <v>0.28000000000000003</v>
      </c>
      <c r="CF229" s="28"/>
      <c r="CG229" s="28"/>
      <c r="CH229" s="28"/>
      <c r="CI229" s="28"/>
      <c r="CJ229" s="29" t="str">
        <f>IFERROR(SUMPRODUCT(G229:CI229,'🏭 원료 마스터'!$C$4:$C$84),"")</f>
        <v/>
      </c>
      <c r="CL229" t="s">
        <v>239</v>
      </c>
    </row>
    <row r="230" spans="1:90" ht="18" customHeight="1">
      <c r="A230" s="11">
        <v>226</v>
      </c>
      <c r="B230" s="25">
        <v>46073</v>
      </c>
      <c r="C230" s="26" t="s">
        <v>191</v>
      </c>
      <c r="D230" s="27">
        <v>1100</v>
      </c>
      <c r="E230" s="11"/>
      <c r="F230" s="1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>
        <v>22</v>
      </c>
      <c r="AR230" s="30"/>
      <c r="AS230" s="30"/>
      <c r="AT230" s="30"/>
      <c r="AU230" s="30"/>
      <c r="AV230" s="30"/>
      <c r="AW230" s="30"/>
      <c r="AX230" s="30"/>
      <c r="AY230" s="30"/>
      <c r="AZ230" s="30">
        <v>209</v>
      </c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>
        <v>33</v>
      </c>
      <c r="BO230" s="30"/>
      <c r="BP230" s="30"/>
      <c r="BQ230" s="30">
        <v>198</v>
      </c>
      <c r="BR230" s="30"/>
      <c r="BS230" s="30">
        <v>22</v>
      </c>
      <c r="BT230" s="30"/>
      <c r="BU230" s="30">
        <v>473</v>
      </c>
      <c r="BV230" s="30">
        <v>22</v>
      </c>
      <c r="BW230" s="30"/>
      <c r="BX230" s="30"/>
      <c r="BY230" s="30"/>
      <c r="BZ230" s="30"/>
      <c r="CA230" s="30"/>
      <c r="CB230" s="30"/>
      <c r="CC230" s="30"/>
      <c r="CD230" s="30"/>
      <c r="CE230" s="30">
        <v>22</v>
      </c>
      <c r="CF230" s="30"/>
      <c r="CG230" s="30"/>
      <c r="CH230" s="30"/>
      <c r="CI230" s="30">
        <v>99</v>
      </c>
      <c r="CJ230" s="29" t="str">
        <f>IFERROR(SUMPRODUCT(G230:CI230,'🏭 원료 마스터'!$C$4:$C$84),"")</f>
        <v/>
      </c>
      <c r="CL230" t="s">
        <v>239</v>
      </c>
    </row>
    <row r="231" spans="1:90" ht="18" customHeight="1">
      <c r="A231" s="7">
        <v>227</v>
      </c>
      <c r="B231" s="25">
        <v>46076</v>
      </c>
      <c r="C231" s="26" t="s">
        <v>191</v>
      </c>
      <c r="D231" s="27">
        <v>1100</v>
      </c>
      <c r="E231" s="7"/>
      <c r="F231" s="7"/>
      <c r="G231" s="28">
        <f>IFERROR(IF($C231="","",IF($D231="","",IFERROR($D231*INDEX('🔖 배합비 참조'!$B$2:$CE$83,MATCH("간장",'🔖 배합비 참조'!$A$2:$A$83,0),MATCH($C231,'🔖 배합비 참조'!$B$1:$CE$1,0))/100,""))),"")</f>
        <v>0</v>
      </c>
      <c r="H231" s="28">
        <f>IFERROR(IF($C231="","",IF($D231="","",IFERROR($D231*INDEX('🔖 배합비 참조'!$B$2:$CE$83,MATCH("강낭콩((울타리콩))",'🔖 배합비 참조'!$A$2:$A$83,0),MATCH($C231,'🔖 배합비 참조'!$B$1:$CE$1,0))/100,""))),"")</f>
        <v>0</v>
      </c>
      <c r="I231" s="28">
        <f>IFERROR(IF($C231="","",IF($D231="","",IFERROR($D231*INDEX('🔖 배합비 참조'!$B$2:$CE$83,MATCH("건조딸기다이스(외국산)",'🔖 배합비 참조'!$A$2:$A$83,0),MATCH($C231,'🔖 배합비 참조'!$B$1:$CE$1,0))/100,""))),"")</f>
        <v>0</v>
      </c>
      <c r="J231" s="28">
        <f>IFERROR(IF($C231="","",IF($D231="","",IFERROR($D231*INDEX('🔖 배합비 참조'!$B$2:$CE$83,MATCH("건포도",'🔖 배합비 참조'!$A$2:$A$83,0),MATCH($C231,'🔖 배합비 참조'!$B$1:$CE$1,0))/100,""))),"")</f>
        <v>0</v>
      </c>
      <c r="K231" s="28">
        <f>IFERROR(IF($C231="","",IF($D231="","",IFERROR($D231*INDEX('🔖 배합비 참조'!$B$2:$CE$83,MATCH("건호박채(중국산)",'🔖 배합비 참조'!$A$2:$A$83,0),MATCH($C231,'🔖 배합비 참조'!$B$1:$CE$1,0))/100,""))),"")</f>
        <v>0</v>
      </c>
      <c r="L231" s="28">
        <f>IFERROR(IF($C231="","",IF($D231="","",IFERROR($D231*INDEX('🔖 배합비 참조'!$B$2:$CE$83,MATCH("검정깨(흑임자)",'🔖 배합비 참조'!$A$2:$A$83,0),MATCH($C231,'🔖 배합비 참조'!$B$1:$CE$1,0))/100,""))),"")</f>
        <v>0</v>
      </c>
      <c r="M231" s="28">
        <f>IFERROR(IF($C231="","",IF($D231="","",IFERROR($D231*INDEX('🔖 배합비 참조'!$B$2:$CE$83,MATCH("검정콩",'🔖 배합비 참조'!$A$2:$A$83,0),MATCH($C231,'🔖 배합비 참조'!$B$1:$CE$1,0))/100,""))),"")</f>
        <v>0</v>
      </c>
      <c r="N231" s="28">
        <f>IFERROR(IF($C231="","",IF($D231="","",IFERROR($D231*INDEX('🔖 배합비 참조'!$B$2:$CE$83,MATCH("계피가루",'🔖 배합비 참조'!$A$2:$A$83,0),MATCH($C231,'🔖 배합비 참조'!$B$1:$CE$1,0))/100,""))),"")</f>
        <v>0</v>
      </c>
      <c r="O231" s="28">
        <f>IFERROR(IF($C231="","",IF($D231="","",IFERROR($D231*INDEX('🔖 배합비 참조'!$B$2:$CE$83,MATCH("고구마가루",'🔖 배합비 참조'!$A$2:$A$83,0),MATCH($C231,'🔖 배합비 참조'!$B$1:$CE$1,0))/100,""))),"")</f>
        <v>0</v>
      </c>
      <c r="P231" s="28">
        <f>IFERROR(IF($C231="","",IF($D231="","",IFERROR($D231*INDEX('🔖 배합비 참조'!$B$2:$CE$83,MATCH("고구마무스",'🔖 배합비 참조'!$A$2:$A$83,0),MATCH($C231,'🔖 배합비 참조'!$B$1:$CE$1,0))/100,""))),"")</f>
        <v>0</v>
      </c>
      <c r="Q231" s="28">
        <f>IFERROR(IF($C231="","",IF($D231="","",IFERROR($D231*INDEX('🔖 배합비 참조'!$B$2:$CE$83,MATCH("고려엉겅퀴((곤드레)국내산)",'🔖 배합비 참조'!$A$2:$A$83,0),MATCH($C231,'🔖 배합비 참조'!$B$1:$CE$1,0))/100,""))),"")</f>
        <v>0</v>
      </c>
      <c r="R231" s="28">
        <f>IFERROR(IF($C231="","",IF($D231="","",IFERROR($D231*INDEX('🔖 배합비 참조'!$B$2:$CE$83,MATCH("기타가공품(복분자가루)",'🔖 배합비 참조'!$A$2:$A$83,0),MATCH($C231,'🔖 배합비 참조'!$B$1:$CE$1,0))/100,""))),"")</f>
        <v>0</v>
      </c>
      <c r="S231" s="28">
        <f>IFERROR(IF($C231="","",IF($D231="","",IFERROR($D231*INDEX('🔖 배합비 참조'!$B$2:$CE$83,MATCH("기타가공품(슈퍼소프트엠)",'🔖 배합비 참조'!$A$2:$A$83,0),MATCH($C231,'🔖 배합비 참조'!$B$1:$CE$1,0))/100,""))),"")</f>
        <v>0</v>
      </c>
      <c r="T231" s="28">
        <f>IFERROR(IF($C231="","",IF($D231="","",IFERROR($D231*INDEX('🔖 배합비 참조'!$B$2:$CE$83,MATCH("기타가공품(파인소프트 E-티)",'🔖 배합비 참조'!$A$2:$A$83,0),MATCH($C231,'🔖 배합비 참조'!$B$1:$CE$1,0))/100,""))),"")</f>
        <v>0</v>
      </c>
      <c r="U231" s="28">
        <f>IFERROR(IF($C231="","",IF($D231="","",IFERROR($D231*INDEX('🔖 배합비 참조'!$B$2:$CE$83,MATCH("기타가공품(프리미엄카스테라가루)",'🔖 배합비 참조'!$A$2:$A$83,0),MATCH($C231,'🔖 배합비 참조'!$B$1:$CE$1,0))/100,""))),"")</f>
        <v>0</v>
      </c>
      <c r="V231" s="28">
        <f>IFERROR(IF($C231="","",IF($D231="","",IFERROR($D231*INDEX('🔖 배합비 참조'!$B$2:$CE$83,MATCH("기타가공품(흑임자가루)",'🔖 배합비 참조'!$A$2:$A$83,0),MATCH($C231,'🔖 배합비 참조'!$B$1:$CE$1,0))/100,""))),"")</f>
        <v>0</v>
      </c>
      <c r="W231" s="28">
        <f>IFERROR(IF($C231="","",IF($D231="","",IFERROR($D231*INDEX('🔖 배합비 참조'!$B$2:$CE$83,MATCH("기타설탕(흑설탕)",'🔖 배합비 참조'!$A$2:$A$83,0),MATCH($C231,'🔖 배합비 참조'!$B$1:$CE$1,0))/100,""))),"")</f>
        <v>0</v>
      </c>
      <c r="X231" s="28">
        <f>IFERROR(IF($C231="","",IF($D231="","",IFERROR($D231*INDEX('🔖 배합비 참조'!$B$2:$CE$83,MATCH("냉동쑥(국내산)",'🔖 배합비 참조'!$A$2:$A$83,0),MATCH($C231,'🔖 배합비 참조'!$B$1:$CE$1,0))/100,""))),"")</f>
        <v>0</v>
      </c>
      <c r="Y231" s="28">
        <f>IFERROR(IF($C231="","",IF($D231="","",IFERROR($D231*INDEX('🔖 배합비 참조'!$B$2:$CE$83,MATCH("냉동증숙고구마(중국산)",'🔖 배합비 참조'!$A$2:$A$83,0),MATCH($C231,'🔖 배합비 참조'!$B$1:$CE$1,0))/100,""))),"")</f>
        <v>0</v>
      </c>
      <c r="Z231" s="28">
        <f>IFERROR(IF($C231="","",IF($D231="","",IFERROR($D231*INDEX('🔖 배합비 참조'!$B$2:$CE$83,MATCH("녹차가루",'🔖 배합비 참조'!$A$2:$A$83,0),MATCH($C231,'🔖 배합비 참조'!$B$1:$CE$1,0))/100,""))),"")</f>
        <v>0</v>
      </c>
      <c r="AA231" s="28">
        <f>IFERROR(IF($C231="","",IF($D231="","",IFERROR($D231*INDEX('🔖 배합비 참조'!$B$2:$CE$83,MATCH("다크초콜릿 컴파운드칩",'🔖 배합비 참조'!$A$2:$A$83,0),MATCH($C231,'🔖 배합비 참조'!$B$1:$CE$1,0))/100,""))),"")</f>
        <v>0</v>
      </c>
      <c r="AB231" s="28">
        <f>IFERROR(IF($C231="","",IF($D231="","",IFERROR($D231*INDEX('🔖 배합비 참조'!$B$2:$CE$83,MATCH("단호박분말(중국산)",'🔖 배합비 참조'!$A$2:$A$83,0),MATCH($C231,'🔖 배합비 참조'!$B$1:$CE$1,0))/100,""))),"")</f>
        <v>0</v>
      </c>
      <c r="AC231" s="28">
        <f>IFERROR(IF($C231="","",IF($D231="","",IFERROR($D231*INDEX('🔖 배합비 참조'!$B$2:$CE$83,MATCH("당류가공품(단호박농축액)",'🔖 배합비 참조'!$A$2:$A$83,0),MATCH($C231,'🔖 배합비 참조'!$B$1:$CE$1,0))/100,""))),"")</f>
        <v>0</v>
      </c>
      <c r="AD231" s="28">
        <f>IFERROR(IF($C231="","",IF($D231="","",IFERROR($D231*INDEX('🔖 배합비 참조'!$B$2:$CE$83,MATCH("당류가공품(알룰로스,에리스리톨,스테비올배당체혼합)",'🔖 배합비 참조'!$A$2:$A$83,0),MATCH($C231,'🔖 배합비 참조'!$B$1:$CE$1,0))/100,""))),"")</f>
        <v>0</v>
      </c>
      <c r="AE231" s="28">
        <f>IFERROR(IF($C231="","",IF($D231="","",IFERROR($D231*INDEX('🔖 배합비 참조'!$B$2:$CE$83,MATCH("당류가공품(알룰로스제로파우더)",'🔖 배합비 참조'!$A$2:$A$83,0),MATCH($C231,'🔖 배합비 참조'!$B$1:$CE$1,0))/100,""))),"")</f>
        <v>0</v>
      </c>
      <c r="AF231" s="28">
        <f>IFERROR(IF($C231="","",IF($D231="","",IFERROR($D231*INDEX('🔖 배합비 참조'!$B$2:$CE$83,MATCH("당절임(완두배기)",'🔖 배합비 참조'!$A$2:$A$83,0),MATCH($C231,'🔖 배합비 참조'!$B$1:$CE$1,0))/100,""))),"")</f>
        <v>0</v>
      </c>
      <c r="AG231" s="28">
        <f>IFERROR(IF($C231="","",IF($D231="","",IFERROR($D231*INDEX('🔖 배합비 참조'!$B$2:$CE$83,MATCH("대추농축액",'🔖 배합비 참조'!$A$2:$A$83,0),MATCH($C231,'🔖 배합비 참조'!$B$1:$CE$1,0))/100,""))),"")</f>
        <v>0</v>
      </c>
      <c r="AH231" s="28">
        <f>IFERROR(IF($C231="","",IF($D231="","",IFERROR($D231*INDEX('🔖 배합비 참조'!$B$2:$CE$83,MATCH("대추채(국내산)",'🔖 배합비 참조'!$A$2:$A$83,0),MATCH($C231,'🔖 배합비 참조'!$B$1:$CE$1,0))/100,""))),"")</f>
        <v>0</v>
      </c>
      <c r="AI231" s="28">
        <f>IFERROR(IF($C231="","",IF($D231="","",IFERROR($D231*INDEX('🔖 배합비 참조'!$B$2:$CE$83,MATCH("동부(미얀마산)",'🔖 배합비 참조'!$A$2:$A$83,0),MATCH($C231,'🔖 배합비 참조'!$B$1:$CE$1,0))/100,""))),"")</f>
        <v>0</v>
      </c>
      <c r="AJ231" s="28">
        <f>IFERROR(IF($C231="","",IF($D231="","",IFERROR($D231*INDEX('🔖 배합비 참조'!$B$2:$CE$83,MATCH("두류가공품(백옥앙금)",'🔖 배합비 참조'!$A$2:$A$83,0),MATCH($C231,'🔖 배합비 참조'!$B$1:$CE$1,0))/100,""))),"")</f>
        <v>0</v>
      </c>
      <c r="AK231" s="28">
        <f>IFERROR(IF($C231="","",IF($D231="","",IFERROR($D231*INDEX('🔖 배합비 참조'!$B$2:$CE$83,MATCH("두류가공품(콩고물)",'🔖 배합비 참조'!$A$2:$A$83,0),MATCH($C231,'🔖 배합비 참조'!$B$1:$CE$1,0))/100,""))),"")</f>
        <v>0</v>
      </c>
      <c r="AL231" s="28">
        <f>IFERROR(IF($C231="","",IF($D231="","",IFERROR($D231*INDEX('🔖 배합비 참조'!$B$2:$CE$83,MATCH("두류가공품(통팥고물)",'🔖 배합비 참조'!$A$2:$A$83,0),MATCH($C231,'🔖 배합비 참조'!$B$1:$CE$1,0))/100,""))),"")</f>
        <v>0</v>
      </c>
      <c r="AM231" s="28">
        <f>IFERROR(IF($C231="","",IF($D231="","",IFERROR($D231*INDEX('🔖 배합비 참조'!$B$2:$CE$83,MATCH("딸기레진",'🔖 배합비 참조'!$A$2:$A$83,0),MATCH($C231,'🔖 배합비 참조'!$B$1:$CE$1,0))/100,""))),"")</f>
        <v>0</v>
      </c>
      <c r="AN231" s="28">
        <f>IFERROR(IF($C231="","",IF($D231="","",IFERROR($D231*INDEX('🔖 배합비 참조'!$B$2:$CE$83,MATCH("딸기분말(스트로우베리에이드(분말))",'🔖 배합비 참조'!$A$2:$A$83,0),MATCH($C231,'🔖 배합비 참조'!$B$1:$CE$1,0))/100,""))),"")</f>
        <v>0</v>
      </c>
      <c r="AO231" s="28">
        <f>IFERROR(IF($C231="","",IF($D231="","",IFERROR($D231*INDEX('🔖 배합비 참조'!$B$2:$CE$83,MATCH("마스카포네치즈",'🔖 배합비 참조'!$A$2:$A$83,0),MATCH($C231,'🔖 배합비 참조'!$B$1:$CE$1,0))/100,""))),"")</f>
        <v>0</v>
      </c>
      <c r="AP231" s="28">
        <f>IFERROR(IF($C231="","",IF($D231="","",IFERROR($D231*INDEX('🔖 배합비 참조'!$B$2:$CE$83,MATCH("마카다미아분태(호주산)",'🔖 배합비 참조'!$A$2:$A$83,0),MATCH($C231,'🔖 배합비 참조'!$B$1:$CE$1,0))/100,""))),"")</f>
        <v>0</v>
      </c>
      <c r="AQ231" s="28">
        <f>IFERROR(IF($C231="","",IF($D231="","",IFERROR($D231*INDEX('🔖 배합비 참조'!$B$2:$CE$83,MATCH("멥쌀(국내산)",'🔖 배합비 참조'!$A$2:$A$83,0),MATCH($C231,'🔖 배합비 참조'!$B$1:$CE$1,0))/100,""))),"")</f>
        <v>22</v>
      </c>
      <c r="AR231" s="28">
        <f>IFERROR(IF($C231="","",IF($D231="","",IFERROR($D231*INDEX('🔖 배합비 참조'!$B$2:$CE$83,MATCH("모시잎(국내산)",'🔖 배합비 참조'!$A$2:$A$83,0),MATCH($C231,'🔖 배합비 참조'!$B$1:$CE$1,0))/100,""))),"")</f>
        <v>0</v>
      </c>
      <c r="AS231" s="28">
        <f>IFERROR(IF($C231="","",IF($D231="","",IFERROR($D231*INDEX('🔖 배합비 참조'!$B$2:$CE$83,MATCH("물엿(저당물엿)",'🔖 배합비 참조'!$A$2:$A$83,0),MATCH($C231,'🔖 배합비 참조'!$B$1:$CE$1,0))/100,""))),"")</f>
        <v>0</v>
      </c>
      <c r="AT231" s="28">
        <f>IFERROR(IF($C231="","",IF($D231="","",IFERROR($D231*INDEX('🔖 배합비 참조'!$B$2:$CE$83,MATCH("밤다이스",'🔖 배합비 참조'!$A$2:$A$83,0),MATCH($C231,'🔖 배합비 참조'!$B$1:$CE$1,0))/100,""))),"")</f>
        <v>0</v>
      </c>
      <c r="AU231" s="28">
        <f>IFERROR(IF($C231="","",IF($D231="","",IFERROR($D231*INDEX('🔖 배합비 참조'!$B$2:$CE$83,MATCH("변성전분(타피오카전분)",'🔖 배합비 참조'!$A$2:$A$83,0),MATCH($C231,'🔖 배합비 참조'!$B$1:$CE$1,0))/100,""))),"")</f>
        <v>0</v>
      </c>
      <c r="AV231" s="28">
        <f>IFERROR(IF($C231="","",IF($D231="","",IFERROR($D231*INDEX('🔖 배합비 참조'!$B$2:$CE$83,MATCH("복음땅콩분태",'🔖 배합비 참조'!$A$2:$A$83,0),MATCH($C231,'🔖 배합비 참조'!$B$1:$CE$1,0))/100,""))),"")</f>
        <v>0</v>
      </c>
      <c r="AW231" s="28">
        <f>IFERROR(IF($C231="","",IF($D231="","",IFERROR($D231*INDEX('🔖 배합비 참조'!$B$2:$CE$83,MATCH("사양벌꿀(국내산)",'🔖 배합비 참조'!$A$2:$A$83,0),MATCH($C231,'🔖 배합비 참조'!$B$1:$CE$1,0))/100,""))),"")</f>
        <v>0</v>
      </c>
      <c r="AX231" s="28">
        <f>IFERROR(IF($C231="","",IF($D231="","",IFERROR($D231*INDEX('🔖 배합비 참조'!$B$2:$CE$83,MATCH("생크림",'🔖 배합비 참조'!$A$2:$A$83,0),MATCH($C231,'🔖 배합비 참조'!$B$1:$CE$1,0))/100,""))),"")</f>
        <v>0</v>
      </c>
      <c r="AY231" s="28">
        <f>IFERROR(IF($C231="","",IF($D231="","",IFERROR($D231*INDEX('🔖 배합비 참조'!$B$2:$CE$83,MATCH("서양호박(국내산,뉴질랜드산)",'🔖 배합비 참조'!$A$2:$A$83,0),MATCH($C231,'🔖 배합비 참조'!$B$1:$CE$1,0))/100,""))),"")</f>
        <v>0</v>
      </c>
      <c r="AZ231" s="28">
        <f>IFERROR(IF($C231="","",IF($D231="","",IFERROR($D231*INDEX('🔖 배합비 참조'!$B$2:$CE$83,MATCH("설탕",'🔖 배합비 참조'!$A$2:$A$83,0),MATCH($C231,'🔖 배합비 참조'!$B$1:$CE$1,0))/100,""))),"")</f>
        <v>209</v>
      </c>
      <c r="BA231" s="28">
        <f>IFERROR(IF($C231="","",IF($D231="","",IFERROR($D231*INDEX('🔖 배합비 참조'!$B$2:$CE$83,MATCH("스트로우베리 에이드 후레쉬",'🔖 배합비 참조'!$A$2:$A$83,0),MATCH($C231,'🔖 배합비 참조'!$B$1:$CE$1,0))/100,""))),"")</f>
        <v>0</v>
      </c>
      <c r="BB231" s="28">
        <f>IFERROR(IF($C231="","",IF($D231="","",IFERROR($D231*INDEX('🔖 배합비 참조'!$B$2:$CE$83,MATCH("식물성기름혼합제제(분홍)",'🔖 배합비 참조'!$A$2:$A$83,0),MATCH($C231,'🔖 배합비 참조'!$B$1:$CE$1,0))/100,""))),"")</f>
        <v>0</v>
      </c>
      <c r="BC231" s="28">
        <f>IFERROR(IF($C231="","",IF($D231="","",IFERROR($D231*INDEX('🔖 배합비 참조'!$B$2:$CE$83,MATCH("식물성기름혼합제제(초록)",'🔖 배합비 참조'!$A$2:$A$83,0),MATCH($C231,'🔖 배합비 참조'!$B$1:$CE$1,0))/100,""))),"")</f>
        <v>0</v>
      </c>
      <c r="BD231" s="28">
        <f>IFERROR(IF($C231="","",IF($D231="","",IFERROR($D231*INDEX('🔖 배합비 참조'!$B$2:$CE$83,MATCH("식물성기름혼합제제(황색)",'🔖 배합비 참조'!$A$2:$A$83,0),MATCH($C231,'🔖 배합비 참조'!$B$1:$CE$1,0))/100,""))),"")</f>
        <v>0</v>
      </c>
      <c r="BE231" s="28">
        <f>IFERROR(IF($C231="","",IF($D231="","",IFERROR($D231*INDEX('🔖 배합비 참조'!$B$2:$CE$83,MATCH("쑥가루(국내산)",'🔖 배합비 참조'!$A$2:$A$83,0),MATCH($C231,'🔖 배합비 참조'!$B$1:$CE$1,0))/100,""))),"")</f>
        <v>0</v>
      </c>
      <c r="BF231" s="28">
        <f>IFERROR(IF($C231="","",IF($D231="","",IFERROR($D231*INDEX('🔖 배합비 참조'!$B$2:$CE$83,MATCH("아몬드슬라이스",'🔖 배합비 참조'!$A$2:$A$83,0),MATCH($C231,'🔖 배합비 참조'!$B$1:$CE$1,0))/100,""))),"")</f>
        <v>0</v>
      </c>
      <c r="BG231" s="28">
        <f>IFERROR(IF($C231="","",IF($D231="","",IFERROR($D231*INDEX('🔖 배합비 참조'!$B$2:$CE$83,MATCH("알룰로오스(국내산)",'🔖 배합비 참조'!$A$2:$A$83,0),MATCH($C231,'🔖 배합비 참조'!$B$1:$CE$1,0))/100,""))),"")</f>
        <v>0</v>
      </c>
      <c r="BH231" s="28">
        <f>IFERROR(IF($C231="","",IF($D231="","",IFERROR($D231*INDEX('🔖 배합비 참조'!$B$2:$CE$83,MATCH("연유",'🔖 배합비 참조'!$A$2:$A$83,0),MATCH($C231,'🔖 배합비 참조'!$B$1:$CE$1,0))/100,""))),"")</f>
        <v>0</v>
      </c>
      <c r="BI231" s="28">
        <f>IFERROR(IF($C231="","",IF($D231="","",IFERROR($D231*INDEX('🔖 배합비 참조'!$B$2:$CE$83,MATCH("옥수수전분",'🔖 배합비 참조'!$A$2:$A$83,0),MATCH($C231,'🔖 배합비 참조'!$B$1:$CE$1,0))/100,""))),"")</f>
        <v>0</v>
      </c>
      <c r="BJ231" s="28">
        <f>IFERROR(IF($C231="","",IF($D231="","",IFERROR($D231*INDEX('🔖 배합비 참조'!$B$2:$CE$83,MATCH("완두배기",'🔖 배합비 참조'!$A$2:$A$83,0),MATCH($C231,'🔖 배합비 참조'!$B$1:$CE$1,0))/100,""))),"")</f>
        <v>0</v>
      </c>
      <c r="BK231" s="28">
        <f>IFERROR(IF($C231="","",IF($D231="","",IFERROR($D231*INDEX('🔖 배합비 참조'!$B$2:$CE$83,MATCH("우유(국내산)",'🔖 배합비 참조'!$A$2:$A$83,0),MATCH($C231,'🔖 배합비 참조'!$B$1:$CE$1,0))/100,""))),"")</f>
        <v>0</v>
      </c>
      <c r="BL231" s="28">
        <f>IFERROR(IF($C231="","",IF($D231="","",IFERROR($D231*INDEX('🔖 배합비 참조'!$B$2:$CE$83,MATCH("자색고구마가루(중국산)",'🔖 배합비 참조'!$A$2:$A$83,0),MATCH($C231,'🔖 배합비 참조'!$B$1:$CE$1,0))/100,""))),"")</f>
        <v>0</v>
      </c>
      <c r="BM231" s="28">
        <f>IFERROR(IF($C231="","",IF($D231="","",IFERROR($D231*INDEX('🔖 배합비 참조'!$B$2:$CE$83,MATCH("자연치즈(체다치즈)",'🔖 배합비 참조'!$A$2:$A$83,0),MATCH($C231,'🔖 배합비 참조'!$B$1:$CE$1,0))/100,""))),"")</f>
        <v>0</v>
      </c>
      <c r="BN231" s="28">
        <f>IFERROR(IF($C231="","",IF($D231="","",IFERROR($D231*INDEX('🔖 배합비 참조'!$B$2:$CE$83,MATCH("정제수",'🔖 배합비 참조'!$A$2:$A$83,0),MATCH($C231,'🔖 배합비 참조'!$B$1:$CE$1,0))/100,""))),"")</f>
        <v>33</v>
      </c>
      <c r="BO231" s="28">
        <f>IFERROR(IF($C231="","",IF($D231="","",IFERROR($D231*INDEX('🔖 배합비 참조'!$B$2:$CE$83,MATCH("젤라틴",'🔖 배합비 참조'!$A$2:$A$83,0),MATCH($C231,'🔖 배합비 참조'!$B$1:$CE$1,0))/100,""))),"")</f>
        <v>0</v>
      </c>
      <c r="BP231" s="28">
        <f>IFERROR(IF($C231="","",IF($D231="","",IFERROR($D231*INDEX('🔖 배합비 참조'!$B$2:$CE$83,MATCH("조림류(백옥앙금)",'🔖 배합비 참조'!$A$2:$A$83,0),MATCH($C231,'🔖 배합비 참조'!$B$1:$CE$1,0))/100,""))),"")</f>
        <v>0</v>
      </c>
      <c r="BQ231" s="28">
        <f>IFERROR(IF($C231="","",IF($D231="","",IFERROR($D231*INDEX('🔖 배합비 참조'!$B$2:$CE$83,MATCH("조림류(통팥앙금)",'🔖 배합비 참조'!$A$2:$A$83,0),MATCH($C231,'🔖 배합비 참조'!$B$1:$CE$1,0))/100,""))),"")</f>
        <v>198</v>
      </c>
      <c r="BR231" s="28">
        <f>IFERROR(IF($C231="","",IF($D231="","",IFERROR($D231*INDEX('🔖 배합비 참조'!$B$2:$CE$83,MATCH("준초콜릿(외국산)",'🔖 배합비 참조'!$A$2:$A$83,0),MATCH($C231,'🔖 배합비 참조'!$B$1:$CE$1,0))/100,""))),"")</f>
        <v>0</v>
      </c>
      <c r="BS231" s="28">
        <f>IFERROR(IF($C231="","",IF($D231="","",IFERROR($D231*INDEX('🔖 배합비 참조'!$B$2:$CE$83,MATCH("중력분",'🔖 배합비 참조'!$A$2:$A$83,0),MATCH($C231,'🔖 배합비 참조'!$B$1:$CE$1,0))/100,""))),"")</f>
        <v>22</v>
      </c>
      <c r="BT231" s="28">
        <f>IFERROR(IF($C231="","",IF($D231="","",IFERROR($D231*INDEX('🔖 배합비 참조'!$B$2:$CE$83,MATCH("참깨(인도산,나이지리아산,탄자니아산,미얀마산)",'🔖 배합비 참조'!$A$2:$A$83,0),MATCH($C231,'🔖 배합비 참조'!$B$1:$CE$1,0))/100,""))),"")</f>
        <v>0</v>
      </c>
      <c r="BU231" s="28">
        <f>IFERROR(IF($C231="","",IF($D231="","",IFERROR($D231*INDEX('🔖 배합비 참조'!$B$2:$CE$83,MATCH("찹쌀(국내산)",'🔖 배합비 참조'!$A$2:$A$83,0),MATCH($C231,'🔖 배합비 참조'!$B$1:$CE$1,0))/100,""))),"")</f>
        <v>473</v>
      </c>
      <c r="BV231" s="28">
        <f>IFERROR(IF($C231="","",IF($D231="","",IFERROR($D231*INDEX('🔖 배합비 참조'!$B$2:$CE$83,MATCH("천일염",'🔖 배합비 참조'!$A$2:$A$83,0),MATCH($C231,'🔖 배합비 참조'!$B$1:$CE$1,0))/100,""))),"")</f>
        <v>22</v>
      </c>
      <c r="BW231" s="28">
        <f>IFERROR(IF($C231="","",IF($D231="","",IFERROR($D231*INDEX('🔖 배합비 참조'!$B$2:$CE$83,MATCH("치즈 [크림치즈]",'🔖 배합비 참조'!$A$2:$A$83,0),MATCH($C231,'🔖 배합비 참조'!$B$1:$CE$1,0))/100,""))),"")</f>
        <v>0</v>
      </c>
      <c r="BX231" s="28">
        <f>IFERROR(IF($C231="","",IF($D231="","",IFERROR($D231*INDEX('🔖 배합비 참조'!$B$2:$CE$83,MATCH("코코아가공품류(코코아분말)",'🔖 배합비 참조'!$A$2:$A$83,0),MATCH($C231,'🔖 배합비 참조'!$B$1:$CE$1,0))/100,""))),"")</f>
        <v>0</v>
      </c>
      <c r="BY231" s="28">
        <f>IFERROR(IF($C231="","",IF($D231="","",IFERROR($D231*INDEX('🔖 배합비 참조'!$B$2:$CE$83,MATCH("콩기름(대두유)",'🔖 배합비 참조'!$A$2:$A$83,0),MATCH($C231,'🔖 배합비 참조'!$B$1:$CE$1,0))/100,""))),"")</f>
        <v>0</v>
      </c>
      <c r="BZ231" s="28">
        <f>IFERROR(IF($C231="","",IF($D231="","",IFERROR($D231*INDEX('🔖 배합비 참조'!$B$2:$CE$83,MATCH("해바라기씨앗",'🔖 배합비 참조'!$A$2:$A$83,0),MATCH($C231,'🔖 배합비 참조'!$B$1:$CE$1,0))/100,""))),"")</f>
        <v>0</v>
      </c>
      <c r="CA231" s="28">
        <f>IFERROR(IF($C231="","",IF($D231="","",IFERROR($D231*INDEX('🔖 배합비 참조'!$B$2:$CE$83,MATCH("현미(국내산)",'🔖 배합비 참조'!$A$2:$A$83,0),MATCH($C231,'🔖 배합비 참조'!$B$1:$CE$1,0))/100,""))),"")</f>
        <v>0</v>
      </c>
      <c r="CB231" s="28">
        <f>IFERROR(IF($C231="","",IF($D231="","",IFERROR($D231*INDEX('🔖 배합비 참조'!$B$2:$CE$83,MATCH("현미멥쌀(국내산)",'🔖 배합비 참조'!$A$2:$A$83,0),MATCH($C231,'🔖 배합비 참조'!$B$1:$CE$1,0))/100,""))),"")</f>
        <v>0</v>
      </c>
      <c r="CC231" s="28">
        <f>IFERROR(IF($C231="","",IF($D231="","",IFERROR($D231*INDEX('🔖 배합비 참조'!$B$2:$CE$83,MATCH("호두분태(미국산)",'🔖 배합비 참조'!$A$2:$A$83,0),MATCH($C231,'🔖 배합비 참조'!$B$1:$CE$1,0))/100,""))),"")</f>
        <v>0</v>
      </c>
      <c r="CD231" s="28">
        <f>IFERROR(IF($C231="","",IF($D231="","",IFERROR($D231*INDEX('🔖 배합비 참조'!$B$2:$CE$83,MATCH("호박씨앗(외국산)",'🔖 배합비 참조'!$A$2:$A$83,0),MATCH($C231,'🔖 배합비 참조'!$B$1:$CE$1,0))/100,""))),"")</f>
        <v>0</v>
      </c>
      <c r="CE231" s="28">
        <f>IFERROR(IF($C231="","",IF($D231="","",IFERROR($D231*INDEX('🔖 배합비 참조'!$B$2:$CE$83,MATCH("혼합제제(떡용에스텔)",'🔖 배합비 참조'!$A$2:$A$83,0),MATCH($C231,'🔖 배합비 참조'!$B$1:$CE$1,0))/100,""))),"")</f>
        <v>22</v>
      </c>
      <c r="CF231" s="28">
        <f>IFERROR(IF($C231="","",IF($D231="","",IFERROR($D231*INDEX('🔖 배합비 참조'!$B$2:$CE$83,MATCH("혼합제제(스테비아)",'🔖 배합비 참조'!$A$2:$A$83,0),MATCH($C231,'🔖 배합비 참조'!$B$1:$CE$1,0))/100,""))),"")</f>
        <v>0</v>
      </c>
      <c r="CG231" s="28">
        <f>IFERROR(IF($C231="","",IF($D231="","",IFERROR($D231*INDEX('🔖 배합비 참조'!$B$2:$CE$83,MATCH("화이트초콜릿",'🔖 배합비 참조'!$A$2:$A$83,0),MATCH($C231,'🔖 배합비 참조'!$B$1:$CE$1,0))/100,""))),"")</f>
        <v>0</v>
      </c>
      <c r="CH231" s="28">
        <f>IFERROR(IF($C231="","",IF($D231="","",IFERROR($D231*INDEX('🔖 배합비 참조'!$B$2:$CE$83,MATCH("흑미찹쌀(국내산)",'🔖 배합비 참조'!$A$2:$A$83,0),MATCH($C231,'🔖 배합비 참조'!$B$1:$CE$1,0))/100,""))),"")</f>
        <v>0</v>
      </c>
      <c r="CI231" s="28">
        <f>IFERROR(IF($C231="","",IF($D231="","",IFERROR($D231*INDEX('🔖 배합비 참조'!$B$2:$CE$83,MATCH("흑설탕",'🔖 배합비 참조'!$A$2:$A$83,0),MATCH($C231,'🔖 배합비 참조'!$B$1:$CE$1,0))/100,""))),"")</f>
        <v>0</v>
      </c>
      <c r="CJ231" s="29" t="str">
        <f>IFERROR(SUMPRODUCT(G231:CH231,'🏭 원료 마스터'!$C$4:$C$83),"")</f>
        <v/>
      </c>
    </row>
    <row r="232" spans="1:90" ht="18" customHeight="1">
      <c r="A232" s="11">
        <v>228</v>
      </c>
      <c r="B232" s="25">
        <v>46076</v>
      </c>
      <c r="C232" s="26" t="s">
        <v>144</v>
      </c>
      <c r="D232" s="27">
        <v>140</v>
      </c>
      <c r="E232" s="11"/>
      <c r="F232" s="11"/>
      <c r="G232" s="30">
        <f>IFERROR(IF($C232="","",IF($D232="","",IFERROR($D232*INDEX('🔖 배합비 참조'!$B$2:$CE$83,MATCH("간장",'🔖 배합비 참조'!$A$2:$A$83,0),MATCH($C232,'🔖 배합비 참조'!$B$1:$CE$1,0))/100,""))),"")</f>
        <v>0</v>
      </c>
      <c r="H232" s="30">
        <f>IFERROR(IF($C232="","",IF($D232="","",IFERROR($D232*INDEX('🔖 배합비 참조'!$B$2:$CE$83,MATCH("강낭콩((울타리콩))",'🔖 배합비 참조'!$A$2:$A$83,0),MATCH($C232,'🔖 배합비 참조'!$B$1:$CE$1,0))/100,""))),"")</f>
        <v>0</v>
      </c>
      <c r="I232" s="30">
        <f>IFERROR(IF($C232="","",IF($D232="","",IFERROR($D232*INDEX('🔖 배합비 참조'!$B$2:$CE$83,MATCH("건조딸기다이스(외국산)",'🔖 배합비 참조'!$A$2:$A$83,0),MATCH($C232,'🔖 배합비 참조'!$B$1:$CE$1,0))/100,""))),"")</f>
        <v>0</v>
      </c>
      <c r="J232" s="30">
        <f>IFERROR(IF($C232="","",IF($D232="","",IFERROR($D232*INDEX('🔖 배합비 참조'!$B$2:$CE$83,MATCH("건포도",'🔖 배합비 참조'!$A$2:$A$83,0),MATCH($C232,'🔖 배합비 참조'!$B$1:$CE$1,0))/100,""))),"")</f>
        <v>0</v>
      </c>
      <c r="K232" s="30">
        <f>IFERROR(IF($C232="","",IF($D232="","",IFERROR($D232*INDEX('🔖 배합비 참조'!$B$2:$CE$83,MATCH("건호박채(중국산)",'🔖 배합비 참조'!$A$2:$A$83,0),MATCH($C232,'🔖 배합비 참조'!$B$1:$CE$1,0))/100,""))),"")</f>
        <v>0</v>
      </c>
      <c r="L232" s="30">
        <f>IFERROR(IF($C232="","",IF($D232="","",IFERROR($D232*INDEX('🔖 배합비 참조'!$B$2:$CE$83,MATCH("검정깨(흑임자)",'🔖 배합비 참조'!$A$2:$A$83,0),MATCH($C232,'🔖 배합비 참조'!$B$1:$CE$1,0))/100,""))),"")</f>
        <v>0</v>
      </c>
      <c r="M232" s="30">
        <f>IFERROR(IF($C232="","",IF($D232="","",IFERROR($D232*INDEX('🔖 배합비 참조'!$B$2:$CE$83,MATCH("검정콩",'🔖 배합비 참조'!$A$2:$A$83,0),MATCH($C232,'🔖 배합비 참조'!$B$1:$CE$1,0))/100,""))),"")</f>
        <v>0</v>
      </c>
      <c r="N232" s="30">
        <f>IFERROR(IF($C232="","",IF($D232="","",IFERROR($D232*INDEX('🔖 배합비 참조'!$B$2:$CE$83,MATCH("계피가루",'🔖 배합비 참조'!$A$2:$A$83,0),MATCH($C232,'🔖 배합비 참조'!$B$1:$CE$1,0))/100,""))),"")</f>
        <v>0</v>
      </c>
      <c r="O232" s="30">
        <f>IFERROR(IF($C232="","",IF($D232="","",IFERROR($D232*INDEX('🔖 배합비 참조'!$B$2:$CE$83,MATCH("고구마가루",'🔖 배합비 참조'!$A$2:$A$83,0),MATCH($C232,'🔖 배합비 참조'!$B$1:$CE$1,0))/100,""))),"")</f>
        <v>0</v>
      </c>
      <c r="P232" s="30">
        <f>IFERROR(IF($C232="","",IF($D232="","",IFERROR($D232*INDEX('🔖 배합비 참조'!$B$2:$CE$83,MATCH("고구마무스",'🔖 배합비 참조'!$A$2:$A$83,0),MATCH($C232,'🔖 배합비 참조'!$B$1:$CE$1,0))/100,""))),"")</f>
        <v>0</v>
      </c>
      <c r="Q232" s="30">
        <f>IFERROR(IF($C232="","",IF($D232="","",IFERROR($D232*INDEX('🔖 배합비 참조'!$B$2:$CE$83,MATCH("고려엉겅퀴((곤드레)국내산)",'🔖 배합비 참조'!$A$2:$A$83,0),MATCH($C232,'🔖 배합비 참조'!$B$1:$CE$1,0))/100,""))),"")</f>
        <v>0</v>
      </c>
      <c r="R232" s="30">
        <f>IFERROR(IF($C232="","",IF($D232="","",IFERROR($D232*INDEX('🔖 배합비 참조'!$B$2:$CE$83,MATCH("기타가공품(복분자가루)",'🔖 배합비 참조'!$A$2:$A$83,0),MATCH($C232,'🔖 배합비 참조'!$B$1:$CE$1,0))/100,""))),"")</f>
        <v>0</v>
      </c>
      <c r="S232" s="30">
        <f>IFERROR(IF($C232="","",IF($D232="","",IFERROR($D232*INDEX('🔖 배합비 참조'!$B$2:$CE$83,MATCH("기타가공품(슈퍼소프트엠)",'🔖 배합비 참조'!$A$2:$A$83,0),MATCH($C232,'🔖 배합비 참조'!$B$1:$CE$1,0))/100,""))),"")</f>
        <v>0</v>
      </c>
      <c r="T232" s="30">
        <f>IFERROR(IF($C232="","",IF($D232="","",IFERROR($D232*INDEX('🔖 배합비 참조'!$B$2:$CE$83,MATCH("기타가공품(파인소프트 E-티)",'🔖 배합비 참조'!$A$2:$A$83,0),MATCH($C232,'🔖 배합비 참조'!$B$1:$CE$1,0))/100,""))),"")</f>
        <v>0</v>
      </c>
      <c r="U232" s="30">
        <f>IFERROR(IF($C232="","",IF($D232="","",IFERROR($D232*INDEX('🔖 배합비 참조'!$B$2:$CE$83,MATCH("기타가공품(프리미엄카스테라가루)",'🔖 배합비 참조'!$A$2:$A$83,0),MATCH($C232,'🔖 배합비 참조'!$B$1:$CE$1,0))/100,""))),"")</f>
        <v>0</v>
      </c>
      <c r="V232" s="30">
        <f>IFERROR(IF($C232="","",IF($D232="","",IFERROR($D232*INDEX('🔖 배합비 참조'!$B$2:$CE$83,MATCH("기타가공품(흑임자가루)",'🔖 배합비 참조'!$A$2:$A$83,0),MATCH($C232,'🔖 배합비 참조'!$B$1:$CE$1,0))/100,""))),"")</f>
        <v>0</v>
      </c>
      <c r="W232" s="30">
        <f>IFERROR(IF($C232="","",IF($D232="","",IFERROR($D232*INDEX('🔖 배합비 참조'!$B$2:$CE$83,MATCH("기타설탕(흑설탕)",'🔖 배합비 참조'!$A$2:$A$83,0),MATCH($C232,'🔖 배합비 참조'!$B$1:$CE$1,0))/100,""))),"")</f>
        <v>0</v>
      </c>
      <c r="X232" s="30">
        <f>IFERROR(IF($C232="","",IF($D232="","",IFERROR($D232*INDEX('🔖 배합비 참조'!$B$2:$CE$83,MATCH("냉동쑥(국내산)",'🔖 배합비 참조'!$A$2:$A$83,0),MATCH($C232,'🔖 배합비 참조'!$B$1:$CE$1,0))/100,""))),"")</f>
        <v>0</v>
      </c>
      <c r="Y232" s="30">
        <f>IFERROR(IF($C232="","",IF($D232="","",IFERROR($D232*INDEX('🔖 배합비 참조'!$B$2:$CE$83,MATCH("냉동증숙고구마(중국산)",'🔖 배합비 참조'!$A$2:$A$83,0),MATCH($C232,'🔖 배합비 참조'!$B$1:$CE$1,0))/100,""))),"")</f>
        <v>0</v>
      </c>
      <c r="Z232" s="30">
        <f>IFERROR(IF($C232="","",IF($D232="","",IFERROR($D232*INDEX('🔖 배합비 참조'!$B$2:$CE$83,MATCH("녹차가루",'🔖 배합비 참조'!$A$2:$A$83,0),MATCH($C232,'🔖 배합비 참조'!$B$1:$CE$1,0))/100,""))),"")</f>
        <v>0</v>
      </c>
      <c r="AA232" s="30">
        <f>IFERROR(IF($C232="","",IF($D232="","",IFERROR($D232*INDEX('🔖 배합비 참조'!$B$2:$CE$83,MATCH("다크초콜릿 컴파운드칩",'🔖 배합비 참조'!$A$2:$A$83,0),MATCH($C232,'🔖 배합비 참조'!$B$1:$CE$1,0))/100,""))),"")</f>
        <v>0</v>
      </c>
      <c r="AB232" s="30">
        <f>IFERROR(IF($C232="","",IF($D232="","",IFERROR($D232*INDEX('🔖 배합비 참조'!$B$2:$CE$83,MATCH("단호박분말(중국산)",'🔖 배합비 참조'!$A$2:$A$83,0),MATCH($C232,'🔖 배합비 참조'!$B$1:$CE$1,0))/100,""))),"")</f>
        <v>0</v>
      </c>
      <c r="AC232" s="30">
        <f>IFERROR(IF($C232="","",IF($D232="","",IFERROR($D232*INDEX('🔖 배합비 참조'!$B$2:$CE$83,MATCH("당류가공품(단호박농축액)",'🔖 배합비 참조'!$A$2:$A$83,0),MATCH($C232,'🔖 배합비 참조'!$B$1:$CE$1,0))/100,""))),"")</f>
        <v>0</v>
      </c>
      <c r="AD232" s="30">
        <f>IFERROR(IF($C232="","",IF($D232="","",IFERROR($D232*INDEX('🔖 배합비 참조'!$B$2:$CE$83,MATCH("당류가공품(알룰로스,에리스리톨,스테비올배당체혼합)",'🔖 배합비 참조'!$A$2:$A$83,0),MATCH($C232,'🔖 배합비 참조'!$B$1:$CE$1,0))/100,""))),"")</f>
        <v>0</v>
      </c>
      <c r="AE232" s="30">
        <f>IFERROR(IF($C232="","",IF($D232="","",IFERROR($D232*INDEX('🔖 배합비 참조'!$B$2:$CE$83,MATCH("당류가공품(알룰로스제로파우더)",'🔖 배합비 참조'!$A$2:$A$83,0),MATCH($C232,'🔖 배합비 참조'!$B$1:$CE$1,0))/100,""))),"")</f>
        <v>0</v>
      </c>
      <c r="AF232" s="30">
        <f>IFERROR(IF($C232="","",IF($D232="","",IFERROR($D232*INDEX('🔖 배합비 참조'!$B$2:$CE$83,MATCH("당절임(완두배기)",'🔖 배합비 참조'!$A$2:$A$83,0),MATCH($C232,'🔖 배합비 참조'!$B$1:$CE$1,0))/100,""))),"")</f>
        <v>0</v>
      </c>
      <c r="AG232" s="30">
        <f>IFERROR(IF($C232="","",IF($D232="","",IFERROR($D232*INDEX('🔖 배합비 참조'!$B$2:$CE$83,MATCH("대추농축액",'🔖 배합비 참조'!$A$2:$A$83,0),MATCH($C232,'🔖 배합비 참조'!$B$1:$CE$1,0))/100,""))),"")</f>
        <v>0</v>
      </c>
      <c r="AH232" s="30">
        <f>IFERROR(IF($C232="","",IF($D232="","",IFERROR($D232*INDEX('🔖 배합비 참조'!$B$2:$CE$83,MATCH("대추채(국내산)",'🔖 배합비 참조'!$A$2:$A$83,0),MATCH($C232,'🔖 배합비 참조'!$B$1:$CE$1,0))/100,""))),"")</f>
        <v>0</v>
      </c>
      <c r="AI232" s="30">
        <f>IFERROR(IF($C232="","",IF($D232="","",IFERROR($D232*INDEX('🔖 배합비 참조'!$B$2:$CE$83,MATCH("동부(미얀마산)",'🔖 배합비 참조'!$A$2:$A$83,0),MATCH($C232,'🔖 배합비 참조'!$B$1:$CE$1,0))/100,""))),"")</f>
        <v>0</v>
      </c>
      <c r="AJ232" s="30">
        <f>IFERROR(IF($C232="","",IF($D232="","",IFERROR($D232*INDEX('🔖 배합비 참조'!$B$2:$CE$83,MATCH("두류가공품(백옥앙금)",'🔖 배합비 참조'!$A$2:$A$83,0),MATCH($C232,'🔖 배합비 참조'!$B$1:$CE$1,0))/100,""))),"")</f>
        <v>0</v>
      </c>
      <c r="AK232" s="30">
        <f>IFERROR(IF($C232="","",IF($D232="","",IFERROR($D232*INDEX('🔖 배합비 참조'!$B$2:$CE$83,MATCH("두류가공품(콩고물)",'🔖 배합비 참조'!$A$2:$A$83,0),MATCH($C232,'🔖 배합비 참조'!$B$1:$CE$1,0))/100,""))),"")</f>
        <v>4.2</v>
      </c>
      <c r="AL232" s="30">
        <f>IFERROR(IF($C232="","",IF($D232="","",IFERROR($D232*INDEX('🔖 배합비 참조'!$B$2:$CE$83,MATCH("두류가공품(통팥고물)",'🔖 배합비 참조'!$A$2:$A$83,0),MATCH($C232,'🔖 배합비 참조'!$B$1:$CE$1,0))/100,""))),"")</f>
        <v>0</v>
      </c>
      <c r="AM232" s="30">
        <f>IFERROR(IF($C232="","",IF($D232="","",IFERROR($D232*INDEX('🔖 배합비 참조'!$B$2:$CE$83,MATCH("딸기레진",'🔖 배합비 참조'!$A$2:$A$83,0),MATCH($C232,'🔖 배합비 참조'!$B$1:$CE$1,0))/100,""))),"")</f>
        <v>0</v>
      </c>
      <c r="AN232" s="30">
        <f>IFERROR(IF($C232="","",IF($D232="","",IFERROR($D232*INDEX('🔖 배합비 참조'!$B$2:$CE$83,MATCH("딸기분말(스트로우베리에이드(분말))",'🔖 배합비 참조'!$A$2:$A$83,0),MATCH($C232,'🔖 배합비 참조'!$B$1:$CE$1,0))/100,""))),"")</f>
        <v>0</v>
      </c>
      <c r="AO232" s="30">
        <f>IFERROR(IF($C232="","",IF($D232="","",IFERROR($D232*INDEX('🔖 배합비 참조'!$B$2:$CE$83,MATCH("마스카포네치즈",'🔖 배합비 참조'!$A$2:$A$83,0),MATCH($C232,'🔖 배합비 참조'!$B$1:$CE$1,0))/100,""))),"")</f>
        <v>0</v>
      </c>
      <c r="AP232" s="30">
        <f>IFERROR(IF($C232="","",IF($D232="","",IFERROR($D232*INDEX('🔖 배합비 참조'!$B$2:$CE$83,MATCH("마카다미아분태(호주산)",'🔖 배합비 참조'!$A$2:$A$83,0),MATCH($C232,'🔖 배합비 참조'!$B$1:$CE$1,0))/100,""))),"")</f>
        <v>0</v>
      </c>
      <c r="AQ232" s="30">
        <f>IFERROR(IF($C232="","",IF($D232="","",IFERROR($D232*INDEX('🔖 배합비 참조'!$B$2:$CE$83,MATCH("멥쌀(국내산)",'🔖 배합비 참조'!$A$2:$A$83,0),MATCH($C232,'🔖 배합비 참조'!$B$1:$CE$1,0))/100,""))),"")</f>
        <v>0</v>
      </c>
      <c r="AR232" s="30">
        <f>IFERROR(IF($C232="","",IF($D232="","",IFERROR($D232*INDEX('🔖 배합비 참조'!$B$2:$CE$83,MATCH("모시잎(국내산)",'🔖 배합비 참조'!$A$2:$A$83,0),MATCH($C232,'🔖 배합비 참조'!$B$1:$CE$1,0))/100,""))),"")</f>
        <v>0</v>
      </c>
      <c r="AS232" s="30">
        <f>IFERROR(IF($C232="","",IF($D232="","",IFERROR($D232*INDEX('🔖 배합비 참조'!$B$2:$CE$83,MATCH("물엿(저당물엿)",'🔖 배합비 참조'!$A$2:$A$83,0),MATCH($C232,'🔖 배합비 참조'!$B$1:$CE$1,0))/100,""))),"")</f>
        <v>6.58</v>
      </c>
      <c r="AT232" s="30">
        <f>IFERROR(IF($C232="","",IF($D232="","",IFERROR($D232*INDEX('🔖 배합비 참조'!$B$2:$CE$83,MATCH("밤다이스",'🔖 배합비 참조'!$A$2:$A$83,0),MATCH($C232,'🔖 배합비 참조'!$B$1:$CE$1,0))/100,""))),"")</f>
        <v>0</v>
      </c>
      <c r="AU232" s="30">
        <f>IFERROR(IF($C232="","",IF($D232="","",IFERROR($D232*INDEX('🔖 배합비 참조'!$B$2:$CE$83,MATCH("변성전분(타피오카전분)",'🔖 배합비 참조'!$A$2:$A$83,0),MATCH($C232,'🔖 배합비 참조'!$B$1:$CE$1,0))/100,""))),"")</f>
        <v>0</v>
      </c>
      <c r="AV232" s="30">
        <f>IFERROR(IF($C232="","",IF($D232="","",IFERROR($D232*INDEX('🔖 배합비 참조'!$B$2:$CE$83,MATCH("복음땅콩분태",'🔖 배합비 참조'!$A$2:$A$83,0),MATCH($C232,'🔖 배합비 참조'!$B$1:$CE$1,0))/100,""))),"")</f>
        <v>0</v>
      </c>
      <c r="AW232" s="30">
        <f>IFERROR(IF($C232="","",IF($D232="","",IFERROR($D232*INDEX('🔖 배합비 참조'!$B$2:$CE$83,MATCH("사양벌꿀(국내산)",'🔖 배합비 참조'!$A$2:$A$83,0),MATCH($C232,'🔖 배합비 참조'!$B$1:$CE$1,0))/100,""))),"")</f>
        <v>0</v>
      </c>
      <c r="AX232" s="30">
        <f>IFERROR(IF($C232="","",IF($D232="","",IFERROR($D232*INDEX('🔖 배합비 참조'!$B$2:$CE$83,MATCH("생크림",'🔖 배합비 참조'!$A$2:$A$83,0),MATCH($C232,'🔖 배합비 참조'!$B$1:$CE$1,0))/100,""))),"")</f>
        <v>0</v>
      </c>
      <c r="AY232" s="30">
        <f>IFERROR(IF($C232="","",IF($D232="","",IFERROR($D232*INDEX('🔖 배합비 참조'!$B$2:$CE$83,MATCH("서양호박(국내산,뉴질랜드산)",'🔖 배합비 참조'!$A$2:$A$83,0),MATCH($C232,'🔖 배합비 참조'!$B$1:$CE$1,0))/100,""))),"")</f>
        <v>0</v>
      </c>
      <c r="AZ232" s="30">
        <f>IFERROR(IF($C232="","",IF($D232="","",IFERROR($D232*INDEX('🔖 배합비 참조'!$B$2:$CE$83,MATCH("설탕",'🔖 배합비 참조'!$A$2:$A$83,0),MATCH($C232,'🔖 배합비 참조'!$B$1:$CE$1,0))/100,""))),"")</f>
        <v>6.58</v>
      </c>
      <c r="BA232" s="30">
        <f>IFERROR(IF($C232="","",IF($D232="","",IFERROR($D232*INDEX('🔖 배합비 참조'!$B$2:$CE$83,MATCH("스트로우베리 에이드 후레쉬",'🔖 배합비 참조'!$A$2:$A$83,0),MATCH($C232,'🔖 배합비 참조'!$B$1:$CE$1,0))/100,""))),"")</f>
        <v>0</v>
      </c>
      <c r="BB232" s="30">
        <f>IFERROR(IF($C232="","",IF($D232="","",IFERROR($D232*INDEX('🔖 배합비 참조'!$B$2:$CE$83,MATCH("식물성기름혼합제제(분홍)",'🔖 배합비 참조'!$A$2:$A$83,0),MATCH($C232,'🔖 배합비 참조'!$B$1:$CE$1,0))/100,""))),"")</f>
        <v>0</v>
      </c>
      <c r="BC232" s="30">
        <f>IFERROR(IF($C232="","",IF($D232="","",IFERROR($D232*INDEX('🔖 배합비 참조'!$B$2:$CE$83,MATCH("식물성기름혼합제제(초록)",'🔖 배합비 참조'!$A$2:$A$83,0),MATCH($C232,'🔖 배합비 참조'!$B$1:$CE$1,0))/100,""))),"")</f>
        <v>0</v>
      </c>
      <c r="BD232" s="30">
        <f>IFERROR(IF($C232="","",IF($D232="","",IFERROR($D232*INDEX('🔖 배합비 참조'!$B$2:$CE$83,MATCH("식물성기름혼합제제(황색)",'🔖 배합비 참조'!$A$2:$A$83,0),MATCH($C232,'🔖 배합비 참조'!$B$1:$CE$1,0))/100,""))),"")</f>
        <v>0</v>
      </c>
      <c r="BE232" s="30">
        <f>IFERROR(IF($C232="","",IF($D232="","",IFERROR($D232*INDEX('🔖 배합비 참조'!$B$2:$CE$83,MATCH("쑥가루(국내산)",'🔖 배합비 참조'!$A$2:$A$83,0),MATCH($C232,'🔖 배합비 참조'!$B$1:$CE$1,0))/100,""))),"")</f>
        <v>0</v>
      </c>
      <c r="BF232" s="30">
        <f>IFERROR(IF($C232="","",IF($D232="","",IFERROR($D232*INDEX('🔖 배합비 참조'!$B$2:$CE$83,MATCH("아몬드슬라이스",'🔖 배합비 참조'!$A$2:$A$83,0),MATCH($C232,'🔖 배합비 참조'!$B$1:$CE$1,0))/100,""))),"")</f>
        <v>0</v>
      </c>
      <c r="BG232" s="30">
        <f>IFERROR(IF($C232="","",IF($D232="","",IFERROR($D232*INDEX('🔖 배합비 참조'!$B$2:$CE$83,MATCH("알룰로오스(국내산)",'🔖 배합비 참조'!$A$2:$A$83,0),MATCH($C232,'🔖 배합비 참조'!$B$1:$CE$1,0))/100,""))),"")</f>
        <v>0</v>
      </c>
      <c r="BH232" s="30">
        <f>IFERROR(IF($C232="","",IF($D232="","",IFERROR($D232*INDEX('🔖 배합비 참조'!$B$2:$CE$83,MATCH("연유",'🔖 배합비 참조'!$A$2:$A$83,0),MATCH($C232,'🔖 배합비 참조'!$B$1:$CE$1,0))/100,""))),"")</f>
        <v>0</v>
      </c>
      <c r="BI232" s="30">
        <f>IFERROR(IF($C232="","",IF($D232="","",IFERROR($D232*INDEX('🔖 배합비 참조'!$B$2:$CE$83,MATCH("옥수수전분",'🔖 배합비 참조'!$A$2:$A$83,0),MATCH($C232,'🔖 배합비 참조'!$B$1:$CE$1,0))/100,""))),"")</f>
        <v>0</v>
      </c>
      <c r="BJ232" s="30">
        <f>IFERROR(IF($C232="","",IF($D232="","",IFERROR($D232*INDEX('🔖 배합비 참조'!$B$2:$CE$83,MATCH("완두배기",'🔖 배합비 참조'!$A$2:$A$83,0),MATCH($C232,'🔖 배합비 참조'!$B$1:$CE$1,0))/100,""))),"")</f>
        <v>0</v>
      </c>
      <c r="BK232" s="30">
        <f>IFERROR(IF($C232="","",IF($D232="","",IFERROR($D232*INDEX('🔖 배합비 참조'!$B$2:$CE$83,MATCH("우유(국내산)",'🔖 배합비 참조'!$A$2:$A$83,0),MATCH($C232,'🔖 배합비 참조'!$B$1:$CE$1,0))/100,""))),"")</f>
        <v>0</v>
      </c>
      <c r="BL232" s="30">
        <f>IFERROR(IF($C232="","",IF($D232="","",IFERROR($D232*INDEX('🔖 배합비 참조'!$B$2:$CE$83,MATCH("자색고구마가루(중국산)",'🔖 배합비 참조'!$A$2:$A$83,0),MATCH($C232,'🔖 배합비 참조'!$B$1:$CE$1,0))/100,""))),"")</f>
        <v>0</v>
      </c>
      <c r="BM232" s="30">
        <f>IFERROR(IF($C232="","",IF($D232="","",IFERROR($D232*INDEX('🔖 배합비 참조'!$B$2:$CE$83,MATCH("자연치즈(체다치즈)",'🔖 배합비 참조'!$A$2:$A$83,0),MATCH($C232,'🔖 배합비 참조'!$B$1:$CE$1,0))/100,""))),"")</f>
        <v>0</v>
      </c>
      <c r="BN232" s="30">
        <f>IFERROR(IF($C232="","",IF($D232="","",IFERROR($D232*INDEX('🔖 배합비 참조'!$B$2:$CE$83,MATCH("정제수",'🔖 배합비 참조'!$A$2:$A$83,0),MATCH($C232,'🔖 배합비 참조'!$B$1:$CE$1,0))/100,""))),"")</f>
        <v>53.06</v>
      </c>
      <c r="BO232" s="30">
        <f>IFERROR(IF($C232="","",IF($D232="","",IFERROR($D232*INDEX('🔖 배합비 참조'!$B$2:$CE$83,MATCH("젤라틴",'🔖 배합비 참조'!$A$2:$A$83,0),MATCH($C232,'🔖 배합비 참조'!$B$1:$CE$1,0))/100,""))),"")</f>
        <v>0</v>
      </c>
      <c r="BP232" s="30">
        <f>IFERROR(IF($C232="","",IF($D232="","",IFERROR($D232*INDEX('🔖 배합비 참조'!$B$2:$CE$83,MATCH("조림류(백옥앙금)",'🔖 배합비 참조'!$A$2:$A$83,0),MATCH($C232,'🔖 배합비 참조'!$B$1:$CE$1,0))/100,""))),"")</f>
        <v>0</v>
      </c>
      <c r="BQ232" s="30">
        <f>IFERROR(IF($C232="","",IF($D232="","",IFERROR($D232*INDEX('🔖 배합비 참조'!$B$2:$CE$83,MATCH("조림류(통팥앙금)",'🔖 배합비 참조'!$A$2:$A$83,0),MATCH($C232,'🔖 배합비 참조'!$B$1:$CE$1,0))/100,""))),"")</f>
        <v>0</v>
      </c>
      <c r="BR232" s="30">
        <f>IFERROR(IF($C232="","",IF($D232="","",IFERROR($D232*INDEX('🔖 배합비 참조'!$B$2:$CE$83,MATCH("준초콜릿(외국산)",'🔖 배합비 참조'!$A$2:$A$83,0),MATCH($C232,'🔖 배합비 참조'!$B$1:$CE$1,0))/100,""))),"")</f>
        <v>0</v>
      </c>
      <c r="BS232" s="30">
        <f>IFERROR(IF($C232="","",IF($D232="","",IFERROR($D232*INDEX('🔖 배합비 참조'!$B$2:$CE$83,MATCH("중력분",'🔖 배합비 참조'!$A$2:$A$83,0),MATCH($C232,'🔖 배합비 참조'!$B$1:$CE$1,0))/100,""))),"")</f>
        <v>1.26</v>
      </c>
      <c r="BT232" s="30">
        <f>IFERROR(IF($C232="","",IF($D232="","",IFERROR($D232*INDEX('🔖 배합비 참조'!$B$2:$CE$83,MATCH("참깨(인도산,나이지리아산,탄자니아산,미얀마산)",'🔖 배합비 참조'!$A$2:$A$83,0),MATCH($C232,'🔖 배합비 참조'!$B$1:$CE$1,0))/100,""))),"")</f>
        <v>0</v>
      </c>
      <c r="BU232" s="30">
        <f>IFERROR(IF($C232="","",IF($D232="","",IFERROR($D232*INDEX('🔖 배합비 참조'!$B$2:$CE$83,MATCH("찹쌀(국내산)",'🔖 배합비 참조'!$A$2:$A$83,0),MATCH($C232,'🔖 배합비 참조'!$B$1:$CE$1,0))/100,""))),"")</f>
        <v>66.5</v>
      </c>
      <c r="BV232" s="30">
        <f>IFERROR(IF($C232="","",IF($D232="","",IFERROR($D232*INDEX('🔖 배합비 참조'!$B$2:$CE$83,MATCH("천일염",'🔖 배합비 참조'!$A$2:$A$83,0),MATCH($C232,'🔖 배합비 참조'!$B$1:$CE$1,0))/100,""))),"")</f>
        <v>1.26</v>
      </c>
      <c r="BW232" s="30">
        <f>IFERROR(IF($C232="","",IF($D232="","",IFERROR($D232*INDEX('🔖 배합비 참조'!$B$2:$CE$83,MATCH("치즈 [크림치즈]",'🔖 배합비 참조'!$A$2:$A$83,0),MATCH($C232,'🔖 배합비 참조'!$B$1:$CE$1,0))/100,""))),"")</f>
        <v>0</v>
      </c>
      <c r="BX232" s="30">
        <f>IFERROR(IF($C232="","",IF($D232="","",IFERROR($D232*INDEX('🔖 배합비 참조'!$B$2:$CE$83,MATCH("코코아가공품류(코코아분말)",'🔖 배합비 참조'!$A$2:$A$83,0),MATCH($C232,'🔖 배합비 참조'!$B$1:$CE$1,0))/100,""))),"")</f>
        <v>0</v>
      </c>
      <c r="BY232" s="30">
        <f>IFERROR(IF($C232="","",IF($D232="","",IFERROR($D232*INDEX('🔖 배합비 참조'!$B$2:$CE$83,MATCH("콩기름(대두유)",'🔖 배합비 참조'!$A$2:$A$83,0),MATCH($C232,'🔖 배합비 참조'!$B$1:$CE$1,0))/100,""))),"")</f>
        <v>0</v>
      </c>
      <c r="BZ232" s="30">
        <f>IFERROR(IF($C232="","",IF($D232="","",IFERROR($D232*INDEX('🔖 배합비 참조'!$B$2:$CE$83,MATCH("해바라기씨앗",'🔖 배합비 참조'!$A$2:$A$83,0),MATCH($C232,'🔖 배합비 참조'!$B$1:$CE$1,0))/100,""))),"")</f>
        <v>0</v>
      </c>
      <c r="CA232" s="30">
        <f>IFERROR(IF($C232="","",IF($D232="","",IFERROR($D232*INDEX('🔖 배합비 참조'!$B$2:$CE$83,MATCH("현미(국내산)",'🔖 배합비 참조'!$A$2:$A$83,0),MATCH($C232,'🔖 배합비 참조'!$B$1:$CE$1,0))/100,""))),"")</f>
        <v>0</v>
      </c>
      <c r="CB232" s="30">
        <f>IFERROR(IF($C232="","",IF($D232="","",IFERROR($D232*INDEX('🔖 배합비 참조'!$B$2:$CE$83,MATCH("현미멥쌀(국내산)",'🔖 배합비 참조'!$A$2:$A$83,0),MATCH($C232,'🔖 배합비 참조'!$B$1:$CE$1,0))/100,""))),"")</f>
        <v>0</v>
      </c>
      <c r="CC232" s="30">
        <f>IFERROR(IF($C232="","",IF($D232="","",IFERROR($D232*INDEX('🔖 배합비 참조'!$B$2:$CE$83,MATCH("호두분태(미국산)",'🔖 배합비 참조'!$A$2:$A$83,0),MATCH($C232,'🔖 배합비 참조'!$B$1:$CE$1,0))/100,""))),"")</f>
        <v>0</v>
      </c>
      <c r="CD232" s="30">
        <f>IFERROR(IF($C232="","",IF($D232="","",IFERROR($D232*INDEX('🔖 배합비 참조'!$B$2:$CE$83,MATCH("호박씨앗(외국산)",'🔖 배합비 참조'!$A$2:$A$83,0),MATCH($C232,'🔖 배합비 참조'!$B$1:$CE$1,0))/100,""))),"")</f>
        <v>0</v>
      </c>
      <c r="CE232" s="30">
        <f>IFERROR(IF($C232="","",IF($D232="","",IFERROR($D232*INDEX('🔖 배합비 참조'!$B$2:$CE$83,MATCH("혼합제제(떡용에스텔)",'🔖 배합비 참조'!$A$2:$A$83,0),MATCH($C232,'🔖 배합비 참조'!$B$1:$CE$1,0))/100,""))),"")</f>
        <v>0.56000000000000005</v>
      </c>
      <c r="CF232" s="30">
        <f>IFERROR(IF($C232="","",IF($D232="","",IFERROR($D232*INDEX('🔖 배합비 참조'!$B$2:$CE$83,MATCH("혼합제제(스테비아)",'🔖 배합비 참조'!$A$2:$A$83,0),MATCH($C232,'🔖 배합비 참조'!$B$1:$CE$1,0))/100,""))),"")</f>
        <v>0</v>
      </c>
      <c r="CG232" s="30">
        <f>IFERROR(IF($C232="","",IF($D232="","",IFERROR($D232*INDEX('🔖 배합비 참조'!$B$2:$CE$83,MATCH("화이트초콜릿",'🔖 배합비 참조'!$A$2:$A$83,0),MATCH($C232,'🔖 배합비 참조'!$B$1:$CE$1,0))/100,""))),"")</f>
        <v>0</v>
      </c>
      <c r="CH232" s="30">
        <f>IFERROR(IF($C232="","",IF($D232="","",IFERROR($D232*INDEX('🔖 배합비 참조'!$B$2:$CE$83,MATCH("흑미찹쌀(국내산)",'🔖 배합비 참조'!$A$2:$A$83,0),MATCH($C232,'🔖 배합비 참조'!$B$1:$CE$1,0))/100,""))),"")</f>
        <v>0</v>
      </c>
      <c r="CI232" s="30">
        <f>IFERROR(IF($C232="","",IF($D232="","",IFERROR($D232*INDEX('🔖 배합비 참조'!$B$2:$CE$83,MATCH("흑설탕",'🔖 배합비 참조'!$A$2:$A$83,0),MATCH($C232,'🔖 배합비 참조'!$B$1:$CE$1,0))/100,""))),"")</f>
        <v>0</v>
      </c>
      <c r="CJ232" s="29" t="str">
        <f>IFERROR(SUMPRODUCT(G232:CH232,'🏭 원료 마스터'!$C$4:$C$83),"")</f>
        <v/>
      </c>
    </row>
    <row r="233" spans="1:90" ht="18" customHeight="1">
      <c r="A233" s="7">
        <v>229</v>
      </c>
      <c r="B233" s="25">
        <v>46076</v>
      </c>
      <c r="C233" s="26" t="s">
        <v>155</v>
      </c>
      <c r="D233" s="27">
        <v>220</v>
      </c>
      <c r="E233" s="7"/>
      <c r="F233" s="7"/>
      <c r="G233" s="28">
        <f>IFERROR(IF($C233="","",IF($D233="","",IFERROR($D233*INDEX('🔖 배합비 참조'!$B$2:$CE$83,MATCH("간장",'🔖 배합비 참조'!$A$2:$A$83,0),MATCH($C233,'🔖 배합비 참조'!$B$1:$CE$1,0))/100,""))),"")</f>
        <v>0</v>
      </c>
      <c r="H233" s="28">
        <f>IFERROR(IF($C233="","",IF($D233="","",IFERROR($D233*INDEX('🔖 배합비 참조'!$B$2:$CE$83,MATCH("강낭콩((울타리콩))",'🔖 배합비 참조'!$A$2:$A$83,0),MATCH($C233,'🔖 배합비 참조'!$B$1:$CE$1,0))/100,""))),"")</f>
        <v>0</v>
      </c>
      <c r="I233" s="28">
        <f>IFERROR(IF($C233="","",IF($D233="","",IFERROR($D233*INDEX('🔖 배합비 참조'!$B$2:$CE$83,MATCH("건조딸기다이스(외국산)",'🔖 배합비 참조'!$A$2:$A$83,0),MATCH($C233,'🔖 배합비 참조'!$B$1:$CE$1,0))/100,""))),"")</f>
        <v>0</v>
      </c>
      <c r="J233" s="28">
        <f>IFERROR(IF($C233="","",IF($D233="","",IFERROR($D233*INDEX('🔖 배합비 참조'!$B$2:$CE$83,MATCH("건포도",'🔖 배합비 참조'!$A$2:$A$83,0),MATCH($C233,'🔖 배합비 참조'!$B$1:$CE$1,0))/100,""))),"")</f>
        <v>0</v>
      </c>
      <c r="K233" s="28">
        <f>IFERROR(IF($C233="","",IF($D233="","",IFERROR($D233*INDEX('🔖 배합비 참조'!$B$2:$CE$83,MATCH("건호박채(중국산)",'🔖 배합비 참조'!$A$2:$A$83,0),MATCH($C233,'🔖 배합비 참조'!$B$1:$CE$1,0))/100,""))),"")</f>
        <v>0</v>
      </c>
      <c r="L233" s="28">
        <f>IFERROR(IF($C233="","",IF($D233="","",IFERROR($D233*INDEX('🔖 배합비 참조'!$B$2:$CE$83,MATCH("검정깨(흑임자)",'🔖 배합비 참조'!$A$2:$A$83,0),MATCH($C233,'🔖 배합비 참조'!$B$1:$CE$1,0))/100,""))),"")</f>
        <v>0</v>
      </c>
      <c r="M233" s="28">
        <f>IFERROR(IF($C233="","",IF($D233="","",IFERROR($D233*INDEX('🔖 배합비 참조'!$B$2:$CE$83,MATCH("검정콩",'🔖 배합비 참조'!$A$2:$A$83,0),MATCH($C233,'🔖 배합비 참조'!$B$1:$CE$1,0))/100,""))),"")</f>
        <v>0</v>
      </c>
      <c r="N233" s="28">
        <f>IFERROR(IF($C233="","",IF($D233="","",IFERROR($D233*INDEX('🔖 배합비 참조'!$B$2:$CE$83,MATCH("계피가루",'🔖 배합비 참조'!$A$2:$A$83,0),MATCH($C233,'🔖 배합비 참조'!$B$1:$CE$1,0))/100,""))),"")</f>
        <v>0</v>
      </c>
      <c r="O233" s="28">
        <f>IFERROR(IF($C233="","",IF($D233="","",IFERROR($D233*INDEX('🔖 배합비 참조'!$B$2:$CE$83,MATCH("고구마가루",'🔖 배합비 참조'!$A$2:$A$83,0),MATCH($C233,'🔖 배합비 참조'!$B$1:$CE$1,0))/100,""))),"")</f>
        <v>0</v>
      </c>
      <c r="P233" s="28">
        <f>IFERROR(IF($C233="","",IF($D233="","",IFERROR($D233*INDEX('🔖 배합비 참조'!$B$2:$CE$83,MATCH("고구마무스",'🔖 배합비 참조'!$A$2:$A$83,0),MATCH($C233,'🔖 배합비 참조'!$B$1:$CE$1,0))/100,""))),"")</f>
        <v>0</v>
      </c>
      <c r="Q233" s="28">
        <f>IFERROR(IF($C233="","",IF($D233="","",IFERROR($D233*INDEX('🔖 배합비 참조'!$B$2:$CE$83,MATCH("고려엉겅퀴((곤드레)국내산)",'🔖 배합비 참조'!$A$2:$A$83,0),MATCH($C233,'🔖 배합비 참조'!$B$1:$CE$1,0))/100,""))),"")</f>
        <v>0</v>
      </c>
      <c r="R233" s="28">
        <f>IFERROR(IF($C233="","",IF($D233="","",IFERROR($D233*INDEX('🔖 배합비 참조'!$B$2:$CE$83,MATCH("기타가공품(복분자가루)",'🔖 배합비 참조'!$A$2:$A$83,0),MATCH($C233,'🔖 배합비 참조'!$B$1:$CE$1,0))/100,""))),"")</f>
        <v>0</v>
      </c>
      <c r="S233" s="28">
        <f>IFERROR(IF($C233="","",IF($D233="","",IFERROR($D233*INDEX('🔖 배합비 참조'!$B$2:$CE$83,MATCH("기타가공품(슈퍼소프트엠)",'🔖 배합비 참조'!$A$2:$A$83,0),MATCH($C233,'🔖 배합비 참조'!$B$1:$CE$1,0))/100,""))),"")</f>
        <v>0</v>
      </c>
      <c r="T233" s="28">
        <f>IFERROR(IF($C233="","",IF($D233="","",IFERROR($D233*INDEX('🔖 배합비 참조'!$B$2:$CE$83,MATCH("기타가공품(파인소프트 E-티)",'🔖 배합비 참조'!$A$2:$A$83,0),MATCH($C233,'🔖 배합비 참조'!$B$1:$CE$1,0))/100,""))),"")</f>
        <v>0</v>
      </c>
      <c r="U233" s="28">
        <f>IFERROR(IF($C233="","",IF($D233="","",IFERROR($D233*INDEX('🔖 배합비 참조'!$B$2:$CE$83,MATCH("기타가공품(프리미엄카스테라가루)",'🔖 배합비 참조'!$A$2:$A$83,0),MATCH($C233,'🔖 배합비 참조'!$B$1:$CE$1,0))/100,""))),"")</f>
        <v>0</v>
      </c>
      <c r="V233" s="28">
        <f>IFERROR(IF($C233="","",IF($D233="","",IFERROR($D233*INDEX('🔖 배합비 참조'!$B$2:$CE$83,MATCH("기타가공품(흑임자가루)",'🔖 배합비 참조'!$A$2:$A$83,0),MATCH($C233,'🔖 배합비 참조'!$B$1:$CE$1,0))/100,""))),"")</f>
        <v>0</v>
      </c>
      <c r="W233" s="28">
        <f>IFERROR(IF($C233="","",IF($D233="","",IFERROR($D233*INDEX('🔖 배합비 참조'!$B$2:$CE$83,MATCH("기타설탕(흑설탕)",'🔖 배합비 참조'!$A$2:$A$83,0),MATCH($C233,'🔖 배합비 참조'!$B$1:$CE$1,0))/100,""))),"")</f>
        <v>0</v>
      </c>
      <c r="X233" s="28">
        <f>IFERROR(IF($C233="","",IF($D233="","",IFERROR($D233*INDEX('🔖 배합비 참조'!$B$2:$CE$83,MATCH("냉동쑥(국내산)",'🔖 배합비 참조'!$A$2:$A$83,0),MATCH($C233,'🔖 배합비 참조'!$B$1:$CE$1,0))/100,""))),"")</f>
        <v>0</v>
      </c>
      <c r="Y233" s="28">
        <f>IFERROR(IF($C233="","",IF($D233="","",IFERROR($D233*INDEX('🔖 배합비 참조'!$B$2:$CE$83,MATCH("냉동증숙고구마(중국산)",'🔖 배합비 참조'!$A$2:$A$83,0),MATCH($C233,'🔖 배합비 참조'!$B$1:$CE$1,0))/100,""))),"")</f>
        <v>0</v>
      </c>
      <c r="Z233" s="28">
        <f>IFERROR(IF($C233="","",IF($D233="","",IFERROR($D233*INDEX('🔖 배합비 참조'!$B$2:$CE$83,MATCH("녹차가루",'🔖 배합비 참조'!$A$2:$A$83,0),MATCH($C233,'🔖 배합비 참조'!$B$1:$CE$1,0))/100,""))),"")</f>
        <v>0</v>
      </c>
      <c r="AA233" s="28">
        <f>IFERROR(IF($C233="","",IF($D233="","",IFERROR($D233*INDEX('🔖 배합비 참조'!$B$2:$CE$83,MATCH("다크초콜릿 컴파운드칩",'🔖 배합비 참조'!$A$2:$A$83,0),MATCH($C233,'🔖 배합비 참조'!$B$1:$CE$1,0))/100,""))),"")</f>
        <v>0</v>
      </c>
      <c r="AB233" s="28">
        <f>IFERROR(IF($C233="","",IF($D233="","",IFERROR($D233*INDEX('🔖 배합비 참조'!$B$2:$CE$83,MATCH("단호박분말(중국산)",'🔖 배합비 참조'!$A$2:$A$83,0),MATCH($C233,'🔖 배합비 참조'!$B$1:$CE$1,0))/100,""))),"")</f>
        <v>0</v>
      </c>
      <c r="AC233" s="28">
        <f>IFERROR(IF($C233="","",IF($D233="","",IFERROR($D233*INDEX('🔖 배합비 참조'!$B$2:$CE$83,MATCH("당류가공품(단호박농축액)",'🔖 배합비 참조'!$A$2:$A$83,0),MATCH($C233,'🔖 배합비 참조'!$B$1:$CE$1,0))/100,""))),"")</f>
        <v>0</v>
      </c>
      <c r="AD233" s="28">
        <f>IFERROR(IF($C233="","",IF($D233="","",IFERROR($D233*INDEX('🔖 배합비 참조'!$B$2:$CE$83,MATCH("당류가공품(알룰로스,에리스리톨,스테비올배당체혼합)",'🔖 배합비 참조'!$A$2:$A$83,0),MATCH($C233,'🔖 배합비 참조'!$B$1:$CE$1,0))/100,""))),"")</f>
        <v>0</v>
      </c>
      <c r="AE233" s="28">
        <f>IFERROR(IF($C233="","",IF($D233="","",IFERROR($D233*INDEX('🔖 배합비 참조'!$B$2:$CE$83,MATCH("당류가공품(알룰로스제로파우더)",'🔖 배합비 참조'!$A$2:$A$83,0),MATCH($C233,'🔖 배합비 참조'!$B$1:$CE$1,0))/100,""))),"")</f>
        <v>0</v>
      </c>
      <c r="AF233" s="28">
        <f>IFERROR(IF($C233="","",IF($D233="","",IFERROR($D233*INDEX('🔖 배합비 참조'!$B$2:$CE$83,MATCH("당절임(완두배기)",'🔖 배합비 참조'!$A$2:$A$83,0),MATCH($C233,'🔖 배합비 참조'!$B$1:$CE$1,0))/100,""))),"")</f>
        <v>0</v>
      </c>
      <c r="AG233" s="28">
        <f>IFERROR(IF($C233="","",IF($D233="","",IFERROR($D233*INDEX('🔖 배합비 참조'!$B$2:$CE$83,MATCH("대추농축액",'🔖 배합비 참조'!$A$2:$A$83,0),MATCH($C233,'🔖 배합비 참조'!$B$1:$CE$1,0))/100,""))),"")</f>
        <v>0</v>
      </c>
      <c r="AH233" s="28">
        <f>IFERROR(IF($C233="","",IF($D233="","",IFERROR($D233*INDEX('🔖 배합비 참조'!$B$2:$CE$83,MATCH("대추채(국내산)",'🔖 배합비 참조'!$A$2:$A$83,0),MATCH($C233,'🔖 배합비 참조'!$B$1:$CE$1,0))/100,""))),"")</f>
        <v>0</v>
      </c>
      <c r="AI233" s="28">
        <f>IFERROR(IF($C233="","",IF($D233="","",IFERROR($D233*INDEX('🔖 배합비 참조'!$B$2:$CE$83,MATCH("동부(미얀마산)",'🔖 배합비 참조'!$A$2:$A$83,0),MATCH($C233,'🔖 배합비 참조'!$B$1:$CE$1,0))/100,""))),"")</f>
        <v>0</v>
      </c>
      <c r="AJ233" s="28">
        <f>IFERROR(IF($C233="","",IF($D233="","",IFERROR($D233*INDEX('🔖 배합비 참조'!$B$2:$CE$83,MATCH("두류가공품(백옥앙금)",'🔖 배합비 참조'!$A$2:$A$83,0),MATCH($C233,'🔖 배합비 참조'!$B$1:$CE$1,0))/100,""))),"")</f>
        <v>0</v>
      </c>
      <c r="AK233" s="28">
        <f>IFERROR(IF($C233="","",IF($D233="","",IFERROR($D233*INDEX('🔖 배합비 참조'!$B$2:$CE$83,MATCH("두류가공품(콩고물)",'🔖 배합비 참조'!$A$2:$A$83,0),MATCH($C233,'🔖 배합비 참조'!$B$1:$CE$1,0))/100,""))),"")</f>
        <v>0</v>
      </c>
      <c r="AL233" s="28">
        <f>IFERROR(IF($C233="","",IF($D233="","",IFERROR($D233*INDEX('🔖 배합비 참조'!$B$2:$CE$83,MATCH("두류가공품(통팥고물)",'🔖 배합비 참조'!$A$2:$A$83,0),MATCH($C233,'🔖 배합비 참조'!$B$1:$CE$1,0))/100,""))),"")</f>
        <v>0</v>
      </c>
      <c r="AM233" s="28">
        <f>IFERROR(IF($C233="","",IF($D233="","",IFERROR($D233*INDEX('🔖 배합비 참조'!$B$2:$CE$83,MATCH("딸기레진",'🔖 배합비 참조'!$A$2:$A$83,0),MATCH($C233,'🔖 배합비 참조'!$B$1:$CE$1,0))/100,""))),"")</f>
        <v>0</v>
      </c>
      <c r="AN233" s="28">
        <f>IFERROR(IF($C233="","",IF($D233="","",IFERROR($D233*INDEX('🔖 배합비 참조'!$B$2:$CE$83,MATCH("딸기분말(스트로우베리에이드(분말))",'🔖 배합비 참조'!$A$2:$A$83,0),MATCH($C233,'🔖 배합비 참조'!$B$1:$CE$1,0))/100,""))),"")</f>
        <v>0</v>
      </c>
      <c r="AO233" s="28">
        <f>IFERROR(IF($C233="","",IF($D233="","",IFERROR($D233*INDEX('🔖 배합비 참조'!$B$2:$CE$83,MATCH("마스카포네치즈",'🔖 배합비 참조'!$A$2:$A$83,0),MATCH($C233,'🔖 배합비 참조'!$B$1:$CE$1,0))/100,""))),"")</f>
        <v>0</v>
      </c>
      <c r="AP233" s="28">
        <f>IFERROR(IF($C233="","",IF($D233="","",IFERROR($D233*INDEX('🔖 배합비 참조'!$B$2:$CE$83,MATCH("마카다미아분태(호주산)",'🔖 배합비 참조'!$A$2:$A$83,0),MATCH($C233,'🔖 배합비 참조'!$B$1:$CE$1,0))/100,""))),"")</f>
        <v>9.4600000000000009</v>
      </c>
      <c r="AQ233" s="28">
        <f>IFERROR(IF($C233="","",IF($D233="","",IFERROR($D233*INDEX('🔖 배합비 참조'!$B$2:$CE$83,MATCH("멥쌀(국내산)",'🔖 배합비 참조'!$A$2:$A$83,0),MATCH($C233,'🔖 배합비 참조'!$B$1:$CE$1,0))/100,""))),"")</f>
        <v>0</v>
      </c>
      <c r="AR233" s="28">
        <f>IFERROR(IF($C233="","",IF($D233="","",IFERROR($D233*INDEX('🔖 배합비 참조'!$B$2:$CE$83,MATCH("모시잎(국내산)",'🔖 배합비 참조'!$A$2:$A$83,0),MATCH($C233,'🔖 배합비 참조'!$B$1:$CE$1,0))/100,""))),"")</f>
        <v>0</v>
      </c>
      <c r="AS233" s="28">
        <f>IFERROR(IF($C233="","",IF($D233="","",IFERROR($D233*INDEX('🔖 배합비 참조'!$B$2:$CE$83,MATCH("물엿(저당물엿)",'🔖 배합비 참조'!$A$2:$A$83,0),MATCH($C233,'🔖 배합비 참조'!$B$1:$CE$1,0))/100,""))),"")</f>
        <v>4.62</v>
      </c>
      <c r="AT233" s="28">
        <f>IFERROR(IF($C233="","",IF($D233="","",IFERROR($D233*INDEX('🔖 배합비 참조'!$B$2:$CE$83,MATCH("밤다이스",'🔖 배합비 참조'!$A$2:$A$83,0),MATCH($C233,'🔖 배합비 참조'!$B$1:$CE$1,0))/100,""))),"")</f>
        <v>1.76</v>
      </c>
      <c r="AU233" s="28">
        <f>IFERROR(IF($C233="","",IF($D233="","",IFERROR($D233*INDEX('🔖 배합비 참조'!$B$2:$CE$83,MATCH("변성전분(타피오카전분)",'🔖 배합비 참조'!$A$2:$A$83,0),MATCH($C233,'🔖 배합비 참조'!$B$1:$CE$1,0))/100,""))),"")</f>
        <v>0</v>
      </c>
      <c r="AV233" s="28">
        <f>IFERROR(IF($C233="","",IF($D233="","",IFERROR($D233*INDEX('🔖 배합비 참조'!$B$2:$CE$83,MATCH("복음땅콩분태",'🔖 배합비 참조'!$A$2:$A$83,0),MATCH($C233,'🔖 배합비 참조'!$B$1:$CE$1,0))/100,""))),"")</f>
        <v>0</v>
      </c>
      <c r="AW233" s="28">
        <f>IFERROR(IF($C233="","",IF($D233="","",IFERROR($D233*INDEX('🔖 배합비 참조'!$B$2:$CE$83,MATCH("사양벌꿀(국내산)",'🔖 배합비 참조'!$A$2:$A$83,0),MATCH($C233,'🔖 배합비 참조'!$B$1:$CE$1,0))/100,""))),"")</f>
        <v>0</v>
      </c>
      <c r="AX233" s="28">
        <f>IFERROR(IF($C233="","",IF($D233="","",IFERROR($D233*INDEX('🔖 배합비 참조'!$B$2:$CE$83,MATCH("생크림",'🔖 배합비 참조'!$A$2:$A$83,0),MATCH($C233,'🔖 배합비 참조'!$B$1:$CE$1,0))/100,""))),"")</f>
        <v>0</v>
      </c>
      <c r="AY233" s="28">
        <f>IFERROR(IF($C233="","",IF($D233="","",IFERROR($D233*INDEX('🔖 배합비 참조'!$B$2:$CE$83,MATCH("서양호박(국내산,뉴질랜드산)",'🔖 배합비 참조'!$A$2:$A$83,0),MATCH($C233,'🔖 배합비 참조'!$B$1:$CE$1,0))/100,""))),"")</f>
        <v>0</v>
      </c>
      <c r="AZ233" s="28">
        <f>IFERROR(IF($C233="","",IF($D233="","",IFERROR($D233*INDEX('🔖 배합비 참조'!$B$2:$CE$83,MATCH("설탕",'🔖 배합비 참조'!$A$2:$A$83,0),MATCH($C233,'🔖 배합비 참조'!$B$1:$CE$1,0))/100,""))),"")</f>
        <v>4.62</v>
      </c>
      <c r="BA233" s="28">
        <f>IFERROR(IF($C233="","",IF($D233="","",IFERROR($D233*INDEX('🔖 배합비 참조'!$B$2:$CE$83,MATCH("스트로우베리 에이드 후레쉬",'🔖 배합비 참조'!$A$2:$A$83,0),MATCH($C233,'🔖 배합비 참조'!$B$1:$CE$1,0))/100,""))),"")</f>
        <v>0</v>
      </c>
      <c r="BB233" s="28">
        <f>IFERROR(IF($C233="","",IF($D233="","",IFERROR($D233*INDEX('🔖 배합비 참조'!$B$2:$CE$83,MATCH("식물성기름혼합제제(분홍)",'🔖 배합비 참조'!$A$2:$A$83,0),MATCH($C233,'🔖 배합비 참조'!$B$1:$CE$1,0))/100,""))),"")</f>
        <v>0</v>
      </c>
      <c r="BC233" s="28">
        <f>IFERROR(IF($C233="","",IF($D233="","",IFERROR($D233*INDEX('🔖 배합비 참조'!$B$2:$CE$83,MATCH("식물성기름혼합제제(초록)",'🔖 배합비 참조'!$A$2:$A$83,0),MATCH($C233,'🔖 배합비 참조'!$B$1:$CE$1,0))/100,""))),"")</f>
        <v>0</v>
      </c>
      <c r="BD233" s="28">
        <f>IFERROR(IF($C233="","",IF($D233="","",IFERROR($D233*INDEX('🔖 배합비 참조'!$B$2:$CE$83,MATCH("식물성기름혼합제제(황색)",'🔖 배합비 참조'!$A$2:$A$83,0),MATCH($C233,'🔖 배합비 참조'!$B$1:$CE$1,0))/100,""))),"")</f>
        <v>0</v>
      </c>
      <c r="BE233" s="28">
        <f>IFERROR(IF($C233="","",IF($D233="","",IFERROR($D233*INDEX('🔖 배합비 참조'!$B$2:$CE$83,MATCH("쑥가루(국내산)",'🔖 배합비 참조'!$A$2:$A$83,0),MATCH($C233,'🔖 배합비 참조'!$B$1:$CE$1,0))/100,""))),"")</f>
        <v>0</v>
      </c>
      <c r="BF233" s="28">
        <f>IFERROR(IF($C233="","",IF($D233="","",IFERROR($D233*INDEX('🔖 배합비 참조'!$B$2:$CE$83,MATCH("아몬드슬라이스",'🔖 배합비 참조'!$A$2:$A$83,0),MATCH($C233,'🔖 배합비 참조'!$B$1:$CE$1,0))/100,""))),"")</f>
        <v>0</v>
      </c>
      <c r="BG233" s="28">
        <f>IFERROR(IF($C233="","",IF($D233="","",IFERROR($D233*INDEX('🔖 배합비 참조'!$B$2:$CE$83,MATCH("알룰로오스(국내산)",'🔖 배합비 참조'!$A$2:$A$83,0),MATCH($C233,'🔖 배합비 참조'!$B$1:$CE$1,0))/100,""))),"")</f>
        <v>0</v>
      </c>
      <c r="BH233" s="28">
        <f>IFERROR(IF($C233="","",IF($D233="","",IFERROR($D233*INDEX('🔖 배합비 참조'!$B$2:$CE$83,MATCH("연유",'🔖 배합비 참조'!$A$2:$A$83,0),MATCH($C233,'🔖 배합비 참조'!$B$1:$CE$1,0))/100,""))),"")</f>
        <v>0</v>
      </c>
      <c r="BI233" s="28">
        <f>IFERROR(IF($C233="","",IF($D233="","",IFERROR($D233*INDEX('🔖 배합비 참조'!$B$2:$CE$83,MATCH("옥수수전분",'🔖 배합비 참조'!$A$2:$A$83,0),MATCH($C233,'🔖 배합비 참조'!$B$1:$CE$1,0))/100,""))),"")</f>
        <v>7.04</v>
      </c>
      <c r="BJ233" s="28">
        <f>IFERROR(IF($C233="","",IF($D233="","",IFERROR($D233*INDEX('🔖 배합비 참조'!$B$2:$CE$83,MATCH("완두배기",'🔖 배합비 참조'!$A$2:$A$83,0),MATCH($C233,'🔖 배합비 참조'!$B$1:$CE$1,0))/100,""))),"")</f>
        <v>0</v>
      </c>
      <c r="BK233" s="28">
        <f>IFERROR(IF($C233="","",IF($D233="","",IFERROR($D233*INDEX('🔖 배합비 참조'!$B$2:$CE$83,MATCH("우유(국내산)",'🔖 배합비 참조'!$A$2:$A$83,0),MATCH($C233,'🔖 배합비 참조'!$B$1:$CE$1,0))/100,""))),"")</f>
        <v>0</v>
      </c>
      <c r="BL233" s="28">
        <f>IFERROR(IF($C233="","",IF($D233="","",IFERROR($D233*INDEX('🔖 배합비 참조'!$B$2:$CE$83,MATCH("자색고구마가루(중국산)",'🔖 배합비 참조'!$A$2:$A$83,0),MATCH($C233,'🔖 배합비 참조'!$B$1:$CE$1,0))/100,""))),"")</f>
        <v>0</v>
      </c>
      <c r="BM233" s="28">
        <f>IFERROR(IF($C233="","",IF($D233="","",IFERROR($D233*INDEX('🔖 배합비 참조'!$B$2:$CE$83,MATCH("자연치즈(체다치즈)",'🔖 배합비 참조'!$A$2:$A$83,0),MATCH($C233,'🔖 배합비 참조'!$B$1:$CE$1,0))/100,""))),"")</f>
        <v>0</v>
      </c>
      <c r="BN233" s="28">
        <f>IFERROR(IF($C233="","",IF($D233="","",IFERROR($D233*INDEX('🔖 배합비 참조'!$B$2:$CE$83,MATCH("정제수",'🔖 배합비 참조'!$A$2:$A$83,0),MATCH($C233,'🔖 배합비 참조'!$B$1:$CE$1,0))/100,""))),"")</f>
        <v>0</v>
      </c>
      <c r="BO233" s="28">
        <f>IFERROR(IF($C233="","",IF($D233="","",IFERROR($D233*INDEX('🔖 배합비 참조'!$B$2:$CE$83,MATCH("젤라틴",'🔖 배합비 참조'!$A$2:$A$83,0),MATCH($C233,'🔖 배합비 참조'!$B$1:$CE$1,0))/100,""))),"")</f>
        <v>0</v>
      </c>
      <c r="BP233" s="28">
        <f>IFERROR(IF($C233="","",IF($D233="","",IFERROR($D233*INDEX('🔖 배합비 참조'!$B$2:$CE$83,MATCH("조림류(백옥앙금)",'🔖 배합비 참조'!$A$2:$A$83,0),MATCH($C233,'🔖 배합비 참조'!$B$1:$CE$1,0))/100,""))),"")</f>
        <v>0</v>
      </c>
      <c r="BQ233" s="28">
        <f>IFERROR(IF($C233="","",IF($D233="","",IFERROR($D233*INDEX('🔖 배합비 참조'!$B$2:$CE$83,MATCH("조림류(통팥앙금)",'🔖 배합비 참조'!$A$2:$A$83,0),MATCH($C233,'🔖 배합비 참조'!$B$1:$CE$1,0))/100,""))),"")</f>
        <v>88.22</v>
      </c>
      <c r="BR233" s="28">
        <f>IFERROR(IF($C233="","",IF($D233="","",IFERROR($D233*INDEX('🔖 배합비 참조'!$B$2:$CE$83,MATCH("준초콜릿(외국산)",'🔖 배합비 참조'!$A$2:$A$83,0),MATCH($C233,'🔖 배합비 참조'!$B$1:$CE$1,0))/100,""))),"")</f>
        <v>0</v>
      </c>
      <c r="BS233" s="28">
        <f>IFERROR(IF($C233="","",IF($D233="","",IFERROR($D233*INDEX('🔖 배합비 참조'!$B$2:$CE$83,MATCH("중력분",'🔖 배합비 참조'!$A$2:$A$83,0),MATCH($C233,'🔖 배합비 참조'!$B$1:$CE$1,0))/100,""))),"")</f>
        <v>0.44</v>
      </c>
      <c r="BT233" s="28">
        <f>IFERROR(IF($C233="","",IF($D233="","",IFERROR($D233*INDEX('🔖 배합비 참조'!$B$2:$CE$83,MATCH("참깨(인도산,나이지리아산,탄자니아산,미얀마산)",'🔖 배합비 참조'!$A$2:$A$83,0),MATCH($C233,'🔖 배합비 참조'!$B$1:$CE$1,0))/100,""))),"")</f>
        <v>0</v>
      </c>
      <c r="BU233" s="28">
        <f>IFERROR(IF($C233="","",IF($D233="","",IFERROR($D233*INDEX('🔖 배합비 참조'!$B$2:$CE$83,MATCH("찹쌀(국내산)",'🔖 배합비 참조'!$A$2:$A$83,0),MATCH($C233,'🔖 배합비 참조'!$B$1:$CE$1,0))/100,""))),"")</f>
        <v>94.6</v>
      </c>
      <c r="BV233" s="28">
        <f>IFERROR(IF($C233="","",IF($D233="","",IFERROR($D233*INDEX('🔖 배합비 참조'!$B$2:$CE$83,MATCH("천일염",'🔖 배합비 참조'!$A$2:$A$83,0),MATCH($C233,'🔖 배합비 참조'!$B$1:$CE$1,0))/100,""))),"")</f>
        <v>1.54</v>
      </c>
      <c r="BW233" s="28">
        <f>IFERROR(IF($C233="","",IF($D233="","",IFERROR($D233*INDEX('🔖 배합비 참조'!$B$2:$CE$83,MATCH("치즈 [크림치즈]",'🔖 배합비 참조'!$A$2:$A$83,0),MATCH($C233,'🔖 배합비 참조'!$B$1:$CE$1,0))/100,""))),"")</f>
        <v>0</v>
      </c>
      <c r="BX233" s="28">
        <f>IFERROR(IF($C233="","",IF($D233="","",IFERROR($D233*INDEX('🔖 배합비 참조'!$B$2:$CE$83,MATCH("코코아가공품류(코코아분말)",'🔖 배합비 참조'!$A$2:$A$83,0),MATCH($C233,'🔖 배합비 참조'!$B$1:$CE$1,0))/100,""))),"")</f>
        <v>0</v>
      </c>
      <c r="BY233" s="28">
        <f>IFERROR(IF($C233="","",IF($D233="","",IFERROR($D233*INDEX('🔖 배합비 참조'!$B$2:$CE$83,MATCH("콩기름(대두유)",'🔖 배합비 참조'!$A$2:$A$83,0),MATCH($C233,'🔖 배합비 참조'!$B$1:$CE$1,0))/100,""))),"")</f>
        <v>0</v>
      </c>
      <c r="BZ233" s="28">
        <f>IFERROR(IF($C233="","",IF($D233="","",IFERROR($D233*INDEX('🔖 배합비 참조'!$B$2:$CE$83,MATCH("해바라기씨앗",'🔖 배합비 참조'!$A$2:$A$83,0),MATCH($C233,'🔖 배합비 참조'!$B$1:$CE$1,0))/100,""))),"")</f>
        <v>0</v>
      </c>
      <c r="CA233" s="28">
        <f>IFERROR(IF($C233="","",IF($D233="","",IFERROR($D233*INDEX('🔖 배합비 참조'!$B$2:$CE$83,MATCH("현미(국내산)",'🔖 배합비 참조'!$A$2:$A$83,0),MATCH($C233,'🔖 배합비 참조'!$B$1:$CE$1,0))/100,""))),"")</f>
        <v>0</v>
      </c>
      <c r="CB233" s="28">
        <f>IFERROR(IF($C233="","",IF($D233="","",IFERROR($D233*INDEX('🔖 배합비 참조'!$B$2:$CE$83,MATCH("현미멥쌀(국내산)",'🔖 배합비 참조'!$A$2:$A$83,0),MATCH($C233,'🔖 배합비 참조'!$B$1:$CE$1,0))/100,""))),"")</f>
        <v>0</v>
      </c>
      <c r="CC233" s="28">
        <f>IFERROR(IF($C233="","",IF($D233="","",IFERROR($D233*INDEX('🔖 배합비 참조'!$B$2:$CE$83,MATCH("호두분태(미국산)",'🔖 배합비 참조'!$A$2:$A$83,0),MATCH($C233,'🔖 배합비 참조'!$B$1:$CE$1,0))/100,""))),"")</f>
        <v>7.04</v>
      </c>
      <c r="CD233" s="28">
        <f>IFERROR(IF($C233="","",IF($D233="","",IFERROR($D233*INDEX('🔖 배합비 참조'!$B$2:$CE$83,MATCH("호박씨앗(외국산)",'🔖 배합비 참조'!$A$2:$A$83,0),MATCH($C233,'🔖 배합비 참조'!$B$1:$CE$1,0))/100,""))),"")</f>
        <v>0</v>
      </c>
      <c r="CE233" s="28">
        <f>IFERROR(IF($C233="","",IF($D233="","",IFERROR($D233*INDEX('🔖 배합비 참조'!$B$2:$CE$83,MATCH("혼합제제(떡용에스텔)",'🔖 배합비 참조'!$A$2:$A$83,0),MATCH($C233,'🔖 배합비 참조'!$B$1:$CE$1,0))/100,""))),"")</f>
        <v>0.66</v>
      </c>
      <c r="CF233" s="28">
        <f>IFERROR(IF($C233="","",IF($D233="","",IFERROR($D233*INDEX('🔖 배합비 참조'!$B$2:$CE$83,MATCH("혼합제제(스테비아)",'🔖 배합비 참조'!$A$2:$A$83,0),MATCH($C233,'🔖 배합비 참조'!$B$1:$CE$1,0))/100,""))),"")</f>
        <v>0</v>
      </c>
      <c r="CG233" s="28">
        <f>IFERROR(IF($C233="","",IF($D233="","",IFERROR($D233*INDEX('🔖 배합비 참조'!$B$2:$CE$83,MATCH("화이트초콜릿",'🔖 배합비 참조'!$A$2:$A$83,0),MATCH($C233,'🔖 배합비 참조'!$B$1:$CE$1,0))/100,""))),"")</f>
        <v>0</v>
      </c>
      <c r="CH233" s="28">
        <f>IFERROR(IF($C233="","",IF($D233="","",IFERROR($D233*INDEX('🔖 배합비 참조'!$B$2:$CE$83,MATCH("흑미찹쌀(국내산)",'🔖 배합비 참조'!$A$2:$A$83,0),MATCH($C233,'🔖 배합비 참조'!$B$1:$CE$1,0))/100,""))),"")</f>
        <v>0</v>
      </c>
      <c r="CI233" s="28">
        <f>IFERROR(IF($C233="","",IF($D233="","",IFERROR($D233*INDEX('🔖 배합비 참조'!$B$2:$CE$83,MATCH("흑설탕",'🔖 배합비 참조'!$A$2:$A$83,0),MATCH($C233,'🔖 배합비 참조'!$B$1:$CE$1,0))/100,""))),"")</f>
        <v>0</v>
      </c>
      <c r="CJ233" s="29" t="str">
        <f>IFERROR(SUMPRODUCT(G233:CH233,'🏭 원료 마스터'!$C$4:$C$83),"")</f>
        <v/>
      </c>
    </row>
    <row r="234" spans="1:90" ht="18" customHeight="1">
      <c r="A234" s="11">
        <v>230</v>
      </c>
      <c r="B234" s="25">
        <v>46077</v>
      </c>
      <c r="C234" s="26" t="s">
        <v>191</v>
      </c>
      <c r="D234" s="27">
        <v>1100</v>
      </c>
      <c r="E234" s="11"/>
      <c r="F234" s="11"/>
      <c r="G234" s="30">
        <f>IFERROR(IF($C234="","",IF($D234="","",IFERROR($D234*INDEX('🔖 배합비 참조'!$B$2:$CE$83,MATCH("간장",'🔖 배합비 참조'!$A$2:$A$83,0),MATCH($C234,'🔖 배합비 참조'!$B$1:$CE$1,0))/100,""))),"")</f>
        <v>0</v>
      </c>
      <c r="H234" s="30">
        <f>IFERROR(IF($C234="","",IF($D234="","",IFERROR($D234*INDEX('🔖 배합비 참조'!$B$2:$CE$83,MATCH("강낭콩((울타리콩))",'🔖 배합비 참조'!$A$2:$A$83,0),MATCH($C234,'🔖 배합비 참조'!$B$1:$CE$1,0))/100,""))),"")</f>
        <v>0</v>
      </c>
      <c r="I234" s="30">
        <f>IFERROR(IF($C234="","",IF($D234="","",IFERROR($D234*INDEX('🔖 배합비 참조'!$B$2:$CE$83,MATCH("건조딸기다이스(외국산)",'🔖 배합비 참조'!$A$2:$A$83,0),MATCH($C234,'🔖 배합비 참조'!$B$1:$CE$1,0))/100,""))),"")</f>
        <v>0</v>
      </c>
      <c r="J234" s="30">
        <f>IFERROR(IF($C234="","",IF($D234="","",IFERROR($D234*INDEX('🔖 배합비 참조'!$B$2:$CE$83,MATCH("건포도",'🔖 배합비 참조'!$A$2:$A$83,0),MATCH($C234,'🔖 배합비 참조'!$B$1:$CE$1,0))/100,""))),"")</f>
        <v>0</v>
      </c>
      <c r="K234" s="30">
        <f>IFERROR(IF($C234="","",IF($D234="","",IFERROR($D234*INDEX('🔖 배합비 참조'!$B$2:$CE$83,MATCH("건호박채(중국산)",'🔖 배합비 참조'!$A$2:$A$83,0),MATCH($C234,'🔖 배합비 참조'!$B$1:$CE$1,0))/100,""))),"")</f>
        <v>0</v>
      </c>
      <c r="L234" s="30">
        <f>IFERROR(IF($C234="","",IF($D234="","",IFERROR($D234*INDEX('🔖 배합비 참조'!$B$2:$CE$83,MATCH("검정깨(흑임자)",'🔖 배합비 참조'!$A$2:$A$83,0),MATCH($C234,'🔖 배합비 참조'!$B$1:$CE$1,0))/100,""))),"")</f>
        <v>0</v>
      </c>
      <c r="M234" s="30">
        <f>IFERROR(IF($C234="","",IF($D234="","",IFERROR($D234*INDEX('🔖 배합비 참조'!$B$2:$CE$83,MATCH("검정콩",'🔖 배합비 참조'!$A$2:$A$83,0),MATCH($C234,'🔖 배합비 참조'!$B$1:$CE$1,0))/100,""))),"")</f>
        <v>0</v>
      </c>
      <c r="N234" s="30">
        <f>IFERROR(IF($C234="","",IF($D234="","",IFERROR($D234*INDEX('🔖 배합비 참조'!$B$2:$CE$83,MATCH("계피가루",'🔖 배합비 참조'!$A$2:$A$83,0),MATCH($C234,'🔖 배합비 참조'!$B$1:$CE$1,0))/100,""))),"")</f>
        <v>0</v>
      </c>
      <c r="O234" s="30">
        <f>IFERROR(IF($C234="","",IF($D234="","",IFERROR($D234*INDEX('🔖 배합비 참조'!$B$2:$CE$83,MATCH("고구마가루",'🔖 배합비 참조'!$A$2:$A$83,0),MATCH($C234,'🔖 배합비 참조'!$B$1:$CE$1,0))/100,""))),"")</f>
        <v>0</v>
      </c>
      <c r="P234" s="30">
        <f>IFERROR(IF($C234="","",IF($D234="","",IFERROR($D234*INDEX('🔖 배합비 참조'!$B$2:$CE$83,MATCH("고구마무스",'🔖 배합비 참조'!$A$2:$A$83,0),MATCH($C234,'🔖 배합비 참조'!$B$1:$CE$1,0))/100,""))),"")</f>
        <v>0</v>
      </c>
      <c r="Q234" s="30">
        <f>IFERROR(IF($C234="","",IF($D234="","",IFERROR($D234*INDEX('🔖 배합비 참조'!$B$2:$CE$83,MATCH("고려엉겅퀴((곤드레)국내산)",'🔖 배합비 참조'!$A$2:$A$83,0),MATCH($C234,'🔖 배합비 참조'!$B$1:$CE$1,0))/100,""))),"")</f>
        <v>0</v>
      </c>
      <c r="R234" s="30">
        <f>IFERROR(IF($C234="","",IF($D234="","",IFERROR($D234*INDEX('🔖 배합비 참조'!$B$2:$CE$83,MATCH("기타가공품(복분자가루)",'🔖 배합비 참조'!$A$2:$A$83,0),MATCH($C234,'🔖 배합비 참조'!$B$1:$CE$1,0))/100,""))),"")</f>
        <v>0</v>
      </c>
      <c r="S234" s="30">
        <f>IFERROR(IF($C234="","",IF($D234="","",IFERROR($D234*INDEX('🔖 배합비 참조'!$B$2:$CE$83,MATCH("기타가공품(슈퍼소프트엠)",'🔖 배합비 참조'!$A$2:$A$83,0),MATCH($C234,'🔖 배합비 참조'!$B$1:$CE$1,0))/100,""))),"")</f>
        <v>0</v>
      </c>
      <c r="T234" s="30">
        <f>IFERROR(IF($C234="","",IF($D234="","",IFERROR($D234*INDEX('🔖 배합비 참조'!$B$2:$CE$83,MATCH("기타가공품(파인소프트 E-티)",'🔖 배합비 참조'!$A$2:$A$83,0),MATCH($C234,'🔖 배합비 참조'!$B$1:$CE$1,0))/100,""))),"")</f>
        <v>0</v>
      </c>
      <c r="U234" s="30">
        <f>IFERROR(IF($C234="","",IF($D234="","",IFERROR($D234*INDEX('🔖 배합비 참조'!$B$2:$CE$83,MATCH("기타가공품(프리미엄카스테라가루)",'🔖 배합비 참조'!$A$2:$A$83,0),MATCH($C234,'🔖 배합비 참조'!$B$1:$CE$1,0))/100,""))),"")</f>
        <v>0</v>
      </c>
      <c r="V234" s="30">
        <f>IFERROR(IF($C234="","",IF($D234="","",IFERROR($D234*INDEX('🔖 배합비 참조'!$B$2:$CE$83,MATCH("기타가공품(흑임자가루)",'🔖 배합비 참조'!$A$2:$A$83,0),MATCH($C234,'🔖 배합비 참조'!$B$1:$CE$1,0))/100,""))),"")</f>
        <v>0</v>
      </c>
      <c r="W234" s="30">
        <f>IFERROR(IF($C234="","",IF($D234="","",IFERROR($D234*INDEX('🔖 배합비 참조'!$B$2:$CE$83,MATCH("기타설탕(흑설탕)",'🔖 배합비 참조'!$A$2:$A$83,0),MATCH($C234,'🔖 배합비 참조'!$B$1:$CE$1,0))/100,""))),"")</f>
        <v>0</v>
      </c>
      <c r="X234" s="30">
        <f>IFERROR(IF($C234="","",IF($D234="","",IFERROR($D234*INDEX('🔖 배합비 참조'!$B$2:$CE$83,MATCH("냉동쑥(국내산)",'🔖 배합비 참조'!$A$2:$A$83,0),MATCH($C234,'🔖 배합비 참조'!$B$1:$CE$1,0))/100,""))),"")</f>
        <v>0</v>
      </c>
      <c r="Y234" s="30">
        <f>IFERROR(IF($C234="","",IF($D234="","",IFERROR($D234*INDEX('🔖 배합비 참조'!$B$2:$CE$83,MATCH("냉동증숙고구마(중국산)",'🔖 배합비 참조'!$A$2:$A$83,0),MATCH($C234,'🔖 배합비 참조'!$B$1:$CE$1,0))/100,""))),"")</f>
        <v>0</v>
      </c>
      <c r="Z234" s="30">
        <f>IFERROR(IF($C234="","",IF($D234="","",IFERROR($D234*INDEX('🔖 배합비 참조'!$B$2:$CE$83,MATCH("녹차가루",'🔖 배합비 참조'!$A$2:$A$83,0),MATCH($C234,'🔖 배합비 참조'!$B$1:$CE$1,0))/100,""))),"")</f>
        <v>0</v>
      </c>
      <c r="AA234" s="30">
        <f>IFERROR(IF($C234="","",IF($D234="","",IFERROR($D234*INDEX('🔖 배합비 참조'!$B$2:$CE$83,MATCH("다크초콜릿 컴파운드칩",'🔖 배합비 참조'!$A$2:$A$83,0),MATCH($C234,'🔖 배합비 참조'!$B$1:$CE$1,0))/100,""))),"")</f>
        <v>0</v>
      </c>
      <c r="AB234" s="30">
        <f>IFERROR(IF($C234="","",IF($D234="","",IFERROR($D234*INDEX('🔖 배합비 참조'!$B$2:$CE$83,MATCH("단호박분말(중국산)",'🔖 배합비 참조'!$A$2:$A$83,0),MATCH($C234,'🔖 배합비 참조'!$B$1:$CE$1,0))/100,""))),"")</f>
        <v>0</v>
      </c>
      <c r="AC234" s="30">
        <f>IFERROR(IF($C234="","",IF($D234="","",IFERROR($D234*INDEX('🔖 배합비 참조'!$B$2:$CE$83,MATCH("당류가공품(단호박농축액)",'🔖 배합비 참조'!$A$2:$A$83,0),MATCH($C234,'🔖 배합비 참조'!$B$1:$CE$1,0))/100,""))),"")</f>
        <v>0</v>
      </c>
      <c r="AD234" s="30">
        <f>IFERROR(IF($C234="","",IF($D234="","",IFERROR($D234*INDEX('🔖 배합비 참조'!$B$2:$CE$83,MATCH("당류가공품(알룰로스,에리스리톨,스테비올배당체혼합)",'🔖 배합비 참조'!$A$2:$A$83,0),MATCH($C234,'🔖 배합비 참조'!$B$1:$CE$1,0))/100,""))),"")</f>
        <v>0</v>
      </c>
      <c r="AE234" s="30">
        <f>IFERROR(IF($C234="","",IF($D234="","",IFERROR($D234*INDEX('🔖 배합비 참조'!$B$2:$CE$83,MATCH("당류가공품(알룰로스제로파우더)",'🔖 배합비 참조'!$A$2:$A$83,0),MATCH($C234,'🔖 배합비 참조'!$B$1:$CE$1,0))/100,""))),"")</f>
        <v>0</v>
      </c>
      <c r="AF234" s="30">
        <f>IFERROR(IF($C234="","",IF($D234="","",IFERROR($D234*INDEX('🔖 배합비 참조'!$B$2:$CE$83,MATCH("당절임(완두배기)",'🔖 배합비 참조'!$A$2:$A$83,0),MATCH($C234,'🔖 배합비 참조'!$B$1:$CE$1,0))/100,""))),"")</f>
        <v>0</v>
      </c>
      <c r="AG234" s="30">
        <f>IFERROR(IF($C234="","",IF($D234="","",IFERROR($D234*INDEX('🔖 배합비 참조'!$B$2:$CE$83,MATCH("대추농축액",'🔖 배합비 참조'!$A$2:$A$83,0),MATCH($C234,'🔖 배합비 참조'!$B$1:$CE$1,0))/100,""))),"")</f>
        <v>0</v>
      </c>
      <c r="AH234" s="30">
        <f>IFERROR(IF($C234="","",IF($D234="","",IFERROR($D234*INDEX('🔖 배합비 참조'!$B$2:$CE$83,MATCH("대추채(국내산)",'🔖 배합비 참조'!$A$2:$A$83,0),MATCH($C234,'🔖 배합비 참조'!$B$1:$CE$1,0))/100,""))),"")</f>
        <v>0</v>
      </c>
      <c r="AI234" s="30">
        <f>IFERROR(IF($C234="","",IF($D234="","",IFERROR($D234*INDEX('🔖 배합비 참조'!$B$2:$CE$83,MATCH("동부(미얀마산)",'🔖 배합비 참조'!$A$2:$A$83,0),MATCH($C234,'🔖 배합비 참조'!$B$1:$CE$1,0))/100,""))),"")</f>
        <v>0</v>
      </c>
      <c r="AJ234" s="30">
        <f>IFERROR(IF($C234="","",IF($D234="","",IFERROR($D234*INDEX('🔖 배합비 참조'!$B$2:$CE$83,MATCH("두류가공품(백옥앙금)",'🔖 배합비 참조'!$A$2:$A$83,0),MATCH($C234,'🔖 배합비 참조'!$B$1:$CE$1,0))/100,""))),"")</f>
        <v>0</v>
      </c>
      <c r="AK234" s="30">
        <f>IFERROR(IF($C234="","",IF($D234="","",IFERROR($D234*INDEX('🔖 배합비 참조'!$B$2:$CE$83,MATCH("두류가공품(콩고물)",'🔖 배합비 참조'!$A$2:$A$83,0),MATCH($C234,'🔖 배합비 참조'!$B$1:$CE$1,0))/100,""))),"")</f>
        <v>0</v>
      </c>
      <c r="AL234" s="30">
        <f>IFERROR(IF($C234="","",IF($D234="","",IFERROR($D234*INDEX('🔖 배합비 참조'!$B$2:$CE$83,MATCH("두류가공품(통팥고물)",'🔖 배합비 참조'!$A$2:$A$83,0),MATCH($C234,'🔖 배합비 참조'!$B$1:$CE$1,0))/100,""))),"")</f>
        <v>0</v>
      </c>
      <c r="AM234" s="30">
        <f>IFERROR(IF($C234="","",IF($D234="","",IFERROR($D234*INDEX('🔖 배합비 참조'!$B$2:$CE$83,MATCH("딸기레진",'🔖 배합비 참조'!$A$2:$A$83,0),MATCH($C234,'🔖 배합비 참조'!$B$1:$CE$1,0))/100,""))),"")</f>
        <v>0</v>
      </c>
      <c r="AN234" s="30">
        <f>IFERROR(IF($C234="","",IF($D234="","",IFERROR($D234*INDEX('🔖 배합비 참조'!$B$2:$CE$83,MATCH("딸기분말(스트로우베리에이드(분말))",'🔖 배합비 참조'!$A$2:$A$83,0),MATCH($C234,'🔖 배합비 참조'!$B$1:$CE$1,0))/100,""))),"")</f>
        <v>0</v>
      </c>
      <c r="AO234" s="30">
        <f>IFERROR(IF($C234="","",IF($D234="","",IFERROR($D234*INDEX('🔖 배합비 참조'!$B$2:$CE$83,MATCH("마스카포네치즈",'🔖 배합비 참조'!$A$2:$A$83,0),MATCH($C234,'🔖 배합비 참조'!$B$1:$CE$1,0))/100,""))),"")</f>
        <v>0</v>
      </c>
      <c r="AP234" s="30">
        <f>IFERROR(IF($C234="","",IF($D234="","",IFERROR($D234*INDEX('🔖 배합비 참조'!$B$2:$CE$83,MATCH("마카다미아분태(호주산)",'🔖 배합비 참조'!$A$2:$A$83,0),MATCH($C234,'🔖 배합비 참조'!$B$1:$CE$1,0))/100,""))),"")</f>
        <v>0</v>
      </c>
      <c r="AQ234" s="30">
        <f>IFERROR(IF($C234="","",IF($D234="","",IFERROR($D234*INDEX('🔖 배합비 참조'!$B$2:$CE$83,MATCH("멥쌀(국내산)",'🔖 배합비 참조'!$A$2:$A$83,0),MATCH($C234,'🔖 배합비 참조'!$B$1:$CE$1,0))/100,""))),"")</f>
        <v>22</v>
      </c>
      <c r="AR234" s="30">
        <f>IFERROR(IF($C234="","",IF($D234="","",IFERROR($D234*INDEX('🔖 배합비 참조'!$B$2:$CE$83,MATCH("모시잎(국내산)",'🔖 배합비 참조'!$A$2:$A$83,0),MATCH($C234,'🔖 배합비 참조'!$B$1:$CE$1,0))/100,""))),"")</f>
        <v>0</v>
      </c>
      <c r="AS234" s="30">
        <f>IFERROR(IF($C234="","",IF($D234="","",IFERROR($D234*INDEX('🔖 배합비 참조'!$B$2:$CE$83,MATCH("물엿(저당물엿)",'🔖 배합비 참조'!$A$2:$A$83,0),MATCH($C234,'🔖 배합비 참조'!$B$1:$CE$1,0))/100,""))),"")</f>
        <v>0</v>
      </c>
      <c r="AT234" s="30">
        <f>IFERROR(IF($C234="","",IF($D234="","",IFERROR($D234*INDEX('🔖 배합비 참조'!$B$2:$CE$83,MATCH("밤다이스",'🔖 배합비 참조'!$A$2:$A$83,0),MATCH($C234,'🔖 배합비 참조'!$B$1:$CE$1,0))/100,""))),"")</f>
        <v>0</v>
      </c>
      <c r="AU234" s="30">
        <f>IFERROR(IF($C234="","",IF($D234="","",IFERROR($D234*INDEX('🔖 배합비 참조'!$B$2:$CE$83,MATCH("변성전분(타피오카전분)",'🔖 배합비 참조'!$A$2:$A$83,0),MATCH($C234,'🔖 배합비 참조'!$B$1:$CE$1,0))/100,""))),"")</f>
        <v>0</v>
      </c>
      <c r="AV234" s="30">
        <f>IFERROR(IF($C234="","",IF($D234="","",IFERROR($D234*INDEX('🔖 배합비 참조'!$B$2:$CE$83,MATCH("복음땅콩분태",'🔖 배합비 참조'!$A$2:$A$83,0),MATCH($C234,'🔖 배합비 참조'!$B$1:$CE$1,0))/100,""))),"")</f>
        <v>0</v>
      </c>
      <c r="AW234" s="30">
        <f>IFERROR(IF($C234="","",IF($D234="","",IFERROR($D234*INDEX('🔖 배합비 참조'!$B$2:$CE$83,MATCH("사양벌꿀(국내산)",'🔖 배합비 참조'!$A$2:$A$83,0),MATCH($C234,'🔖 배합비 참조'!$B$1:$CE$1,0))/100,""))),"")</f>
        <v>0</v>
      </c>
      <c r="AX234" s="30">
        <f>IFERROR(IF($C234="","",IF($D234="","",IFERROR($D234*INDEX('🔖 배합비 참조'!$B$2:$CE$83,MATCH("생크림",'🔖 배합비 참조'!$A$2:$A$83,0),MATCH($C234,'🔖 배합비 참조'!$B$1:$CE$1,0))/100,""))),"")</f>
        <v>0</v>
      </c>
      <c r="AY234" s="30">
        <f>IFERROR(IF($C234="","",IF($D234="","",IFERROR($D234*INDEX('🔖 배합비 참조'!$B$2:$CE$83,MATCH("서양호박(국내산,뉴질랜드산)",'🔖 배합비 참조'!$A$2:$A$83,0),MATCH($C234,'🔖 배합비 참조'!$B$1:$CE$1,0))/100,""))),"")</f>
        <v>0</v>
      </c>
      <c r="AZ234" s="30">
        <f>IFERROR(IF($C234="","",IF($D234="","",IFERROR($D234*INDEX('🔖 배합비 참조'!$B$2:$CE$83,MATCH("설탕",'🔖 배합비 참조'!$A$2:$A$83,0),MATCH($C234,'🔖 배합비 참조'!$B$1:$CE$1,0))/100,""))),"")</f>
        <v>209</v>
      </c>
      <c r="BA234" s="30">
        <f>IFERROR(IF($C234="","",IF($D234="","",IFERROR($D234*INDEX('🔖 배합비 참조'!$B$2:$CE$83,MATCH("스트로우베리 에이드 후레쉬",'🔖 배합비 참조'!$A$2:$A$83,0),MATCH($C234,'🔖 배합비 참조'!$B$1:$CE$1,0))/100,""))),"")</f>
        <v>0</v>
      </c>
      <c r="BB234" s="30">
        <f>IFERROR(IF($C234="","",IF($D234="","",IFERROR($D234*INDEX('🔖 배합비 참조'!$B$2:$CE$83,MATCH("식물성기름혼합제제(분홍)",'🔖 배합비 참조'!$A$2:$A$83,0),MATCH($C234,'🔖 배합비 참조'!$B$1:$CE$1,0))/100,""))),"")</f>
        <v>0</v>
      </c>
      <c r="BC234" s="30">
        <f>IFERROR(IF($C234="","",IF($D234="","",IFERROR($D234*INDEX('🔖 배합비 참조'!$B$2:$CE$83,MATCH("식물성기름혼합제제(초록)",'🔖 배합비 참조'!$A$2:$A$83,0),MATCH($C234,'🔖 배합비 참조'!$B$1:$CE$1,0))/100,""))),"")</f>
        <v>0</v>
      </c>
      <c r="BD234" s="30">
        <f>IFERROR(IF($C234="","",IF($D234="","",IFERROR($D234*INDEX('🔖 배합비 참조'!$B$2:$CE$83,MATCH("식물성기름혼합제제(황색)",'🔖 배합비 참조'!$A$2:$A$83,0),MATCH($C234,'🔖 배합비 참조'!$B$1:$CE$1,0))/100,""))),"")</f>
        <v>0</v>
      </c>
      <c r="BE234" s="30">
        <f>IFERROR(IF($C234="","",IF($D234="","",IFERROR($D234*INDEX('🔖 배합비 참조'!$B$2:$CE$83,MATCH("쑥가루(국내산)",'🔖 배합비 참조'!$A$2:$A$83,0),MATCH($C234,'🔖 배합비 참조'!$B$1:$CE$1,0))/100,""))),"")</f>
        <v>0</v>
      </c>
      <c r="BF234" s="30">
        <f>IFERROR(IF($C234="","",IF($D234="","",IFERROR($D234*INDEX('🔖 배합비 참조'!$B$2:$CE$83,MATCH("아몬드슬라이스",'🔖 배합비 참조'!$A$2:$A$83,0),MATCH($C234,'🔖 배합비 참조'!$B$1:$CE$1,0))/100,""))),"")</f>
        <v>0</v>
      </c>
      <c r="BG234" s="30">
        <f>IFERROR(IF($C234="","",IF($D234="","",IFERROR($D234*INDEX('🔖 배합비 참조'!$B$2:$CE$83,MATCH("알룰로오스(국내산)",'🔖 배합비 참조'!$A$2:$A$83,0),MATCH($C234,'🔖 배합비 참조'!$B$1:$CE$1,0))/100,""))),"")</f>
        <v>0</v>
      </c>
      <c r="BH234" s="30">
        <f>IFERROR(IF($C234="","",IF($D234="","",IFERROR($D234*INDEX('🔖 배합비 참조'!$B$2:$CE$83,MATCH("연유",'🔖 배합비 참조'!$A$2:$A$83,0),MATCH($C234,'🔖 배합비 참조'!$B$1:$CE$1,0))/100,""))),"")</f>
        <v>0</v>
      </c>
      <c r="BI234" s="30">
        <f>IFERROR(IF($C234="","",IF($D234="","",IFERROR($D234*INDEX('🔖 배합비 참조'!$B$2:$CE$83,MATCH("옥수수전분",'🔖 배합비 참조'!$A$2:$A$83,0),MATCH($C234,'🔖 배합비 참조'!$B$1:$CE$1,0))/100,""))),"")</f>
        <v>0</v>
      </c>
      <c r="BJ234" s="30">
        <f>IFERROR(IF($C234="","",IF($D234="","",IFERROR($D234*INDEX('🔖 배합비 참조'!$B$2:$CE$83,MATCH("완두배기",'🔖 배합비 참조'!$A$2:$A$83,0),MATCH($C234,'🔖 배합비 참조'!$B$1:$CE$1,0))/100,""))),"")</f>
        <v>0</v>
      </c>
      <c r="BK234" s="30">
        <f>IFERROR(IF($C234="","",IF($D234="","",IFERROR($D234*INDEX('🔖 배합비 참조'!$B$2:$CE$83,MATCH("우유(국내산)",'🔖 배합비 참조'!$A$2:$A$83,0),MATCH($C234,'🔖 배합비 참조'!$B$1:$CE$1,0))/100,""))),"")</f>
        <v>0</v>
      </c>
      <c r="BL234" s="30">
        <f>IFERROR(IF($C234="","",IF($D234="","",IFERROR($D234*INDEX('🔖 배합비 참조'!$B$2:$CE$83,MATCH("자색고구마가루(중국산)",'🔖 배합비 참조'!$A$2:$A$83,0),MATCH($C234,'🔖 배합비 참조'!$B$1:$CE$1,0))/100,""))),"")</f>
        <v>0</v>
      </c>
      <c r="BM234" s="30">
        <f>IFERROR(IF($C234="","",IF($D234="","",IFERROR($D234*INDEX('🔖 배합비 참조'!$B$2:$CE$83,MATCH("자연치즈(체다치즈)",'🔖 배합비 참조'!$A$2:$A$83,0),MATCH($C234,'🔖 배합비 참조'!$B$1:$CE$1,0))/100,""))),"")</f>
        <v>0</v>
      </c>
      <c r="BN234" s="30">
        <f>IFERROR(IF($C234="","",IF($D234="","",IFERROR($D234*INDEX('🔖 배합비 참조'!$B$2:$CE$83,MATCH("정제수",'🔖 배합비 참조'!$A$2:$A$83,0),MATCH($C234,'🔖 배합비 참조'!$B$1:$CE$1,0))/100,""))),"")</f>
        <v>33</v>
      </c>
      <c r="BO234" s="30">
        <f>IFERROR(IF($C234="","",IF($D234="","",IFERROR($D234*INDEX('🔖 배합비 참조'!$B$2:$CE$83,MATCH("젤라틴",'🔖 배합비 참조'!$A$2:$A$83,0),MATCH($C234,'🔖 배합비 참조'!$B$1:$CE$1,0))/100,""))),"")</f>
        <v>0</v>
      </c>
      <c r="BP234" s="30">
        <f>IFERROR(IF($C234="","",IF($D234="","",IFERROR($D234*INDEX('🔖 배합비 참조'!$B$2:$CE$83,MATCH("조림류(백옥앙금)",'🔖 배합비 참조'!$A$2:$A$83,0),MATCH($C234,'🔖 배합비 참조'!$B$1:$CE$1,0))/100,""))),"")</f>
        <v>0</v>
      </c>
      <c r="BQ234" s="30">
        <f>IFERROR(IF($C234="","",IF($D234="","",IFERROR($D234*INDEX('🔖 배합비 참조'!$B$2:$CE$83,MATCH("조림류(통팥앙금)",'🔖 배합비 참조'!$A$2:$A$83,0),MATCH($C234,'🔖 배합비 참조'!$B$1:$CE$1,0))/100,""))),"")</f>
        <v>198</v>
      </c>
      <c r="BR234" s="30">
        <f>IFERROR(IF($C234="","",IF($D234="","",IFERROR($D234*INDEX('🔖 배합비 참조'!$B$2:$CE$83,MATCH("준초콜릿(외국산)",'🔖 배합비 참조'!$A$2:$A$83,0),MATCH($C234,'🔖 배합비 참조'!$B$1:$CE$1,0))/100,""))),"")</f>
        <v>0</v>
      </c>
      <c r="BS234" s="30">
        <f>IFERROR(IF($C234="","",IF($D234="","",IFERROR($D234*INDEX('🔖 배합비 참조'!$B$2:$CE$83,MATCH("중력분",'🔖 배합비 참조'!$A$2:$A$83,0),MATCH($C234,'🔖 배합비 참조'!$B$1:$CE$1,0))/100,""))),"")</f>
        <v>22</v>
      </c>
      <c r="BT234" s="30">
        <f>IFERROR(IF($C234="","",IF($D234="","",IFERROR($D234*INDEX('🔖 배합비 참조'!$B$2:$CE$83,MATCH("참깨(인도산,나이지리아산,탄자니아산,미얀마산)",'🔖 배합비 참조'!$A$2:$A$83,0),MATCH($C234,'🔖 배합비 참조'!$B$1:$CE$1,0))/100,""))),"")</f>
        <v>0</v>
      </c>
      <c r="BU234" s="30">
        <f>IFERROR(IF($C234="","",IF($D234="","",IFERROR($D234*INDEX('🔖 배합비 참조'!$B$2:$CE$83,MATCH("찹쌀(국내산)",'🔖 배합비 참조'!$A$2:$A$83,0),MATCH($C234,'🔖 배합비 참조'!$B$1:$CE$1,0))/100,""))),"")</f>
        <v>473</v>
      </c>
      <c r="BV234" s="30">
        <f>IFERROR(IF($C234="","",IF($D234="","",IFERROR($D234*INDEX('🔖 배합비 참조'!$B$2:$CE$83,MATCH("천일염",'🔖 배합비 참조'!$A$2:$A$83,0),MATCH($C234,'🔖 배합비 참조'!$B$1:$CE$1,0))/100,""))),"")</f>
        <v>22</v>
      </c>
      <c r="BW234" s="30">
        <f>IFERROR(IF($C234="","",IF($D234="","",IFERROR($D234*INDEX('🔖 배합비 참조'!$B$2:$CE$83,MATCH("치즈 [크림치즈]",'🔖 배합비 참조'!$A$2:$A$83,0),MATCH($C234,'🔖 배합비 참조'!$B$1:$CE$1,0))/100,""))),"")</f>
        <v>0</v>
      </c>
      <c r="BX234" s="30">
        <f>IFERROR(IF($C234="","",IF($D234="","",IFERROR($D234*INDEX('🔖 배합비 참조'!$B$2:$CE$83,MATCH("코코아가공품류(코코아분말)",'🔖 배합비 참조'!$A$2:$A$83,0),MATCH($C234,'🔖 배합비 참조'!$B$1:$CE$1,0))/100,""))),"")</f>
        <v>0</v>
      </c>
      <c r="BY234" s="30">
        <f>IFERROR(IF($C234="","",IF($D234="","",IFERROR($D234*INDEX('🔖 배합비 참조'!$B$2:$CE$83,MATCH("콩기름(대두유)",'🔖 배합비 참조'!$A$2:$A$83,0),MATCH($C234,'🔖 배합비 참조'!$B$1:$CE$1,0))/100,""))),"")</f>
        <v>0</v>
      </c>
      <c r="BZ234" s="30">
        <f>IFERROR(IF($C234="","",IF($D234="","",IFERROR($D234*INDEX('🔖 배합비 참조'!$B$2:$CE$83,MATCH("해바라기씨앗",'🔖 배합비 참조'!$A$2:$A$83,0),MATCH($C234,'🔖 배합비 참조'!$B$1:$CE$1,0))/100,""))),"")</f>
        <v>0</v>
      </c>
      <c r="CA234" s="30">
        <f>IFERROR(IF($C234="","",IF($D234="","",IFERROR($D234*INDEX('🔖 배합비 참조'!$B$2:$CE$83,MATCH("현미(국내산)",'🔖 배합비 참조'!$A$2:$A$83,0),MATCH($C234,'🔖 배합비 참조'!$B$1:$CE$1,0))/100,""))),"")</f>
        <v>0</v>
      </c>
      <c r="CB234" s="30">
        <f>IFERROR(IF($C234="","",IF($D234="","",IFERROR($D234*INDEX('🔖 배합비 참조'!$B$2:$CE$83,MATCH("현미멥쌀(국내산)",'🔖 배합비 참조'!$A$2:$A$83,0),MATCH($C234,'🔖 배합비 참조'!$B$1:$CE$1,0))/100,""))),"")</f>
        <v>0</v>
      </c>
      <c r="CC234" s="30">
        <f>IFERROR(IF($C234="","",IF($D234="","",IFERROR($D234*INDEX('🔖 배합비 참조'!$B$2:$CE$83,MATCH("호두분태(미국산)",'🔖 배합비 참조'!$A$2:$A$83,0),MATCH($C234,'🔖 배합비 참조'!$B$1:$CE$1,0))/100,""))),"")</f>
        <v>0</v>
      </c>
      <c r="CD234" s="30">
        <f>IFERROR(IF($C234="","",IF($D234="","",IFERROR($D234*INDEX('🔖 배합비 참조'!$B$2:$CE$83,MATCH("호박씨앗(외국산)",'🔖 배합비 참조'!$A$2:$A$83,0),MATCH($C234,'🔖 배합비 참조'!$B$1:$CE$1,0))/100,""))),"")</f>
        <v>0</v>
      </c>
      <c r="CE234" s="30">
        <f>IFERROR(IF($C234="","",IF($D234="","",IFERROR($D234*INDEX('🔖 배합비 참조'!$B$2:$CE$83,MATCH("혼합제제(떡용에스텔)",'🔖 배합비 참조'!$A$2:$A$83,0),MATCH($C234,'🔖 배합비 참조'!$B$1:$CE$1,0))/100,""))),"")</f>
        <v>22</v>
      </c>
      <c r="CF234" s="30">
        <f>IFERROR(IF($C234="","",IF($D234="","",IFERROR($D234*INDEX('🔖 배합비 참조'!$B$2:$CE$83,MATCH("혼합제제(스테비아)",'🔖 배합비 참조'!$A$2:$A$83,0),MATCH($C234,'🔖 배합비 참조'!$B$1:$CE$1,0))/100,""))),"")</f>
        <v>0</v>
      </c>
      <c r="CG234" s="30">
        <f>IFERROR(IF($C234="","",IF($D234="","",IFERROR($D234*INDEX('🔖 배합비 참조'!$B$2:$CE$83,MATCH("화이트초콜릿",'🔖 배합비 참조'!$A$2:$A$83,0),MATCH($C234,'🔖 배합비 참조'!$B$1:$CE$1,0))/100,""))),"")</f>
        <v>0</v>
      </c>
      <c r="CH234" s="30">
        <f>IFERROR(IF($C234="","",IF($D234="","",IFERROR($D234*INDEX('🔖 배합비 참조'!$B$2:$CE$83,MATCH("흑미찹쌀(국내산)",'🔖 배합비 참조'!$A$2:$A$83,0),MATCH($C234,'🔖 배합비 참조'!$B$1:$CE$1,0))/100,""))),"")</f>
        <v>0</v>
      </c>
      <c r="CI234" s="30">
        <f>IFERROR(IF($C234="","",IF($D234="","",IFERROR($D234*INDEX('🔖 배합비 참조'!$B$2:$CE$83,MATCH("흑설탕",'🔖 배합비 참조'!$A$2:$A$83,0),MATCH($C234,'🔖 배합비 참조'!$B$1:$CE$1,0))/100,""))),"")</f>
        <v>0</v>
      </c>
      <c r="CJ234" s="29" t="str">
        <f>IFERROR(SUMPRODUCT(G234:CH234,'🏭 원료 마스터'!$C$4:$C$83),"")</f>
        <v/>
      </c>
    </row>
    <row r="235" spans="1:90" ht="18" customHeight="1">
      <c r="A235" s="7">
        <v>231</v>
      </c>
      <c r="B235" s="25">
        <v>46077</v>
      </c>
      <c r="C235" s="26" t="s">
        <v>222</v>
      </c>
      <c r="D235" s="27">
        <v>110</v>
      </c>
      <c r="E235" s="7"/>
      <c r="F235" s="7"/>
      <c r="G235" s="28">
        <f>IFERROR(IF($C235="","",IF($D235="","",IFERROR($D235*INDEX('🔖 배합비 참조'!$B$2:$CE$83,MATCH("간장",'🔖 배합비 참조'!$A$2:$A$83,0),MATCH($C235,'🔖 배합비 참조'!$B$1:$CE$1,0))/100,""))),"")</f>
        <v>0</v>
      </c>
      <c r="H235" s="28">
        <f>IFERROR(IF($C235="","",IF($D235="","",IFERROR($D235*INDEX('🔖 배합비 참조'!$B$2:$CE$83,MATCH("강낭콩((울타리콩))",'🔖 배합비 참조'!$A$2:$A$83,0),MATCH($C235,'🔖 배합비 참조'!$B$1:$CE$1,0))/100,""))),"")</f>
        <v>0</v>
      </c>
      <c r="I235" s="28">
        <f>IFERROR(IF($C235="","",IF($D235="","",IFERROR($D235*INDEX('🔖 배합비 참조'!$B$2:$CE$83,MATCH("건조딸기다이스(외국산)",'🔖 배합비 참조'!$A$2:$A$83,0),MATCH($C235,'🔖 배합비 참조'!$B$1:$CE$1,0))/100,""))),"")</f>
        <v>0</v>
      </c>
      <c r="J235" s="28">
        <f>IFERROR(IF($C235="","",IF($D235="","",IFERROR($D235*INDEX('🔖 배합비 참조'!$B$2:$CE$83,MATCH("건포도",'🔖 배합비 참조'!$A$2:$A$83,0),MATCH($C235,'🔖 배합비 참조'!$B$1:$CE$1,0))/100,""))),"")</f>
        <v>0</v>
      </c>
      <c r="K235" s="28">
        <f>IFERROR(IF($C235="","",IF($D235="","",IFERROR($D235*INDEX('🔖 배합비 참조'!$B$2:$CE$83,MATCH("건호박채(중국산)",'🔖 배합비 참조'!$A$2:$A$83,0),MATCH($C235,'🔖 배합비 참조'!$B$1:$CE$1,0))/100,""))),"")</f>
        <v>0</v>
      </c>
      <c r="L235" s="28">
        <f>IFERROR(IF($C235="","",IF($D235="","",IFERROR($D235*INDEX('🔖 배합비 참조'!$B$2:$CE$83,MATCH("검정깨(흑임자)",'🔖 배합비 참조'!$A$2:$A$83,0),MATCH($C235,'🔖 배합비 참조'!$B$1:$CE$1,0))/100,""))),"")</f>
        <v>0</v>
      </c>
      <c r="M235" s="28">
        <f>IFERROR(IF($C235="","",IF($D235="","",IFERROR($D235*INDEX('🔖 배합비 참조'!$B$2:$CE$83,MATCH("검정콩",'🔖 배합비 참조'!$A$2:$A$83,0),MATCH($C235,'🔖 배합비 참조'!$B$1:$CE$1,0))/100,""))),"")</f>
        <v>0</v>
      </c>
      <c r="N235" s="28">
        <f>IFERROR(IF($C235="","",IF($D235="","",IFERROR($D235*INDEX('🔖 배합비 참조'!$B$2:$CE$83,MATCH("계피가루",'🔖 배합비 참조'!$A$2:$A$83,0),MATCH($C235,'🔖 배합비 참조'!$B$1:$CE$1,0))/100,""))),"")</f>
        <v>0</v>
      </c>
      <c r="O235" s="28">
        <f>IFERROR(IF($C235="","",IF($D235="","",IFERROR($D235*INDEX('🔖 배합비 참조'!$B$2:$CE$83,MATCH("고구마가루",'🔖 배합비 참조'!$A$2:$A$83,0),MATCH($C235,'🔖 배합비 참조'!$B$1:$CE$1,0))/100,""))),"")</f>
        <v>0</v>
      </c>
      <c r="P235" s="28">
        <f>IFERROR(IF($C235="","",IF($D235="","",IFERROR($D235*INDEX('🔖 배합비 참조'!$B$2:$CE$83,MATCH("고구마무스",'🔖 배합비 참조'!$A$2:$A$83,0),MATCH($C235,'🔖 배합비 참조'!$B$1:$CE$1,0))/100,""))),"")</f>
        <v>0</v>
      </c>
      <c r="Q235" s="28">
        <f>IFERROR(IF($C235="","",IF($D235="","",IFERROR($D235*INDEX('🔖 배합비 참조'!$B$2:$CE$83,MATCH("고려엉겅퀴((곤드레)국내산)",'🔖 배합비 참조'!$A$2:$A$83,0),MATCH($C235,'🔖 배합비 참조'!$B$1:$CE$1,0))/100,""))),"")</f>
        <v>0</v>
      </c>
      <c r="R235" s="28">
        <f>IFERROR(IF($C235="","",IF($D235="","",IFERROR($D235*INDEX('🔖 배합비 참조'!$B$2:$CE$83,MATCH("기타가공품(복분자가루)",'🔖 배합비 참조'!$A$2:$A$83,0),MATCH($C235,'🔖 배합비 참조'!$B$1:$CE$1,0))/100,""))),"")</f>
        <v>0</v>
      </c>
      <c r="S235" s="28">
        <f>IFERROR(IF($C235="","",IF($D235="","",IFERROR($D235*INDEX('🔖 배합비 참조'!$B$2:$CE$83,MATCH("기타가공품(슈퍼소프트엠)",'🔖 배합비 참조'!$A$2:$A$83,0),MATCH($C235,'🔖 배합비 참조'!$B$1:$CE$1,0))/100,""))),"")</f>
        <v>0</v>
      </c>
      <c r="T235" s="28">
        <f>IFERROR(IF($C235="","",IF($D235="","",IFERROR($D235*INDEX('🔖 배합비 참조'!$B$2:$CE$83,MATCH("기타가공품(파인소프트 E-티)",'🔖 배합비 참조'!$A$2:$A$83,0),MATCH($C235,'🔖 배합비 참조'!$B$1:$CE$1,0))/100,""))),"")</f>
        <v>0</v>
      </c>
      <c r="U235" s="28">
        <f>IFERROR(IF($C235="","",IF($D235="","",IFERROR($D235*INDEX('🔖 배합비 참조'!$B$2:$CE$83,MATCH("기타가공품(프리미엄카스테라가루)",'🔖 배합비 참조'!$A$2:$A$83,0),MATCH($C235,'🔖 배합비 참조'!$B$1:$CE$1,0))/100,""))),"")</f>
        <v>7.7</v>
      </c>
      <c r="V235" s="28">
        <f>IFERROR(IF($C235="","",IF($D235="","",IFERROR($D235*INDEX('🔖 배합비 참조'!$B$2:$CE$83,MATCH("기타가공품(흑임자가루)",'🔖 배합비 참조'!$A$2:$A$83,0),MATCH($C235,'🔖 배합비 참조'!$B$1:$CE$1,0))/100,""))),"")</f>
        <v>0</v>
      </c>
      <c r="W235" s="28">
        <f>IFERROR(IF($C235="","",IF($D235="","",IFERROR($D235*INDEX('🔖 배합비 참조'!$B$2:$CE$83,MATCH("기타설탕(흑설탕)",'🔖 배합비 참조'!$A$2:$A$83,0),MATCH($C235,'🔖 배합비 참조'!$B$1:$CE$1,0))/100,""))),"")</f>
        <v>0</v>
      </c>
      <c r="X235" s="28">
        <f>IFERROR(IF($C235="","",IF($D235="","",IFERROR($D235*INDEX('🔖 배합비 참조'!$B$2:$CE$83,MATCH("냉동쑥(국내산)",'🔖 배합비 참조'!$A$2:$A$83,0),MATCH($C235,'🔖 배합비 참조'!$B$1:$CE$1,0))/100,""))),"")</f>
        <v>6.16</v>
      </c>
      <c r="Y235" s="28">
        <f>IFERROR(IF($C235="","",IF($D235="","",IFERROR($D235*INDEX('🔖 배합비 참조'!$B$2:$CE$83,MATCH("냉동증숙고구마(중국산)",'🔖 배합비 참조'!$A$2:$A$83,0),MATCH($C235,'🔖 배합비 참조'!$B$1:$CE$1,0))/100,""))),"")</f>
        <v>0</v>
      </c>
      <c r="Z235" s="28">
        <f>IFERROR(IF($C235="","",IF($D235="","",IFERROR($D235*INDEX('🔖 배합비 참조'!$B$2:$CE$83,MATCH("녹차가루",'🔖 배합비 참조'!$A$2:$A$83,0),MATCH($C235,'🔖 배합비 참조'!$B$1:$CE$1,0))/100,""))),"")</f>
        <v>0</v>
      </c>
      <c r="AA235" s="28">
        <f>IFERROR(IF($C235="","",IF($D235="","",IFERROR($D235*INDEX('🔖 배합비 참조'!$B$2:$CE$83,MATCH("다크초콜릿 컴파운드칩",'🔖 배합비 참조'!$A$2:$A$83,0),MATCH($C235,'🔖 배합비 참조'!$B$1:$CE$1,0))/100,""))),"")</f>
        <v>0</v>
      </c>
      <c r="AB235" s="28">
        <f>IFERROR(IF($C235="","",IF($D235="","",IFERROR($D235*INDEX('🔖 배합비 참조'!$B$2:$CE$83,MATCH("단호박분말(중국산)",'🔖 배합비 참조'!$A$2:$A$83,0),MATCH($C235,'🔖 배합비 참조'!$B$1:$CE$1,0))/100,""))),"")</f>
        <v>0</v>
      </c>
      <c r="AC235" s="28">
        <f>IFERROR(IF($C235="","",IF($D235="","",IFERROR($D235*INDEX('🔖 배합비 참조'!$B$2:$CE$83,MATCH("당류가공품(단호박농축액)",'🔖 배합비 참조'!$A$2:$A$83,0),MATCH($C235,'🔖 배합비 참조'!$B$1:$CE$1,0))/100,""))),"")</f>
        <v>0</v>
      </c>
      <c r="AD235" s="28">
        <f>IFERROR(IF($C235="","",IF($D235="","",IFERROR($D235*INDEX('🔖 배합비 참조'!$B$2:$CE$83,MATCH("당류가공품(알룰로스,에리스리톨,스테비올배당체혼합)",'🔖 배합비 참조'!$A$2:$A$83,0),MATCH($C235,'🔖 배합비 참조'!$B$1:$CE$1,0))/100,""))),"")</f>
        <v>0</v>
      </c>
      <c r="AE235" s="28">
        <f>IFERROR(IF($C235="","",IF($D235="","",IFERROR($D235*INDEX('🔖 배합비 참조'!$B$2:$CE$83,MATCH("당류가공품(알룰로스제로파우더)",'🔖 배합비 참조'!$A$2:$A$83,0),MATCH($C235,'🔖 배합비 참조'!$B$1:$CE$1,0))/100,""))),"")</f>
        <v>0</v>
      </c>
      <c r="AF235" s="28">
        <f>IFERROR(IF($C235="","",IF($D235="","",IFERROR($D235*INDEX('🔖 배합비 참조'!$B$2:$CE$83,MATCH("당절임(완두배기)",'🔖 배합비 참조'!$A$2:$A$83,0),MATCH($C235,'🔖 배합비 참조'!$B$1:$CE$1,0))/100,""))),"")</f>
        <v>0</v>
      </c>
      <c r="AG235" s="28">
        <f>IFERROR(IF($C235="","",IF($D235="","",IFERROR($D235*INDEX('🔖 배합비 참조'!$B$2:$CE$83,MATCH("대추농축액",'🔖 배합비 참조'!$A$2:$A$83,0),MATCH($C235,'🔖 배합비 참조'!$B$1:$CE$1,0))/100,""))),"")</f>
        <v>0</v>
      </c>
      <c r="AH235" s="28">
        <f>IFERROR(IF($C235="","",IF($D235="","",IFERROR($D235*INDEX('🔖 배합비 참조'!$B$2:$CE$83,MATCH("대추채(국내산)",'🔖 배합비 참조'!$A$2:$A$83,0),MATCH($C235,'🔖 배합비 참조'!$B$1:$CE$1,0))/100,""))),"")</f>
        <v>0</v>
      </c>
      <c r="AI235" s="28">
        <f>IFERROR(IF($C235="","",IF($D235="","",IFERROR($D235*INDEX('🔖 배합비 참조'!$B$2:$CE$83,MATCH("동부(미얀마산)",'🔖 배합비 참조'!$A$2:$A$83,0),MATCH($C235,'🔖 배합비 참조'!$B$1:$CE$1,0))/100,""))),"")</f>
        <v>8.25</v>
      </c>
      <c r="AJ235" s="28">
        <f>IFERROR(IF($C235="","",IF($D235="","",IFERROR($D235*INDEX('🔖 배합비 참조'!$B$2:$CE$83,MATCH("두류가공품(백옥앙금)",'🔖 배합비 참조'!$A$2:$A$83,0),MATCH($C235,'🔖 배합비 참조'!$B$1:$CE$1,0))/100,""))),"")</f>
        <v>0</v>
      </c>
      <c r="AK235" s="28">
        <f>IFERROR(IF($C235="","",IF($D235="","",IFERROR($D235*INDEX('🔖 배합비 참조'!$B$2:$CE$83,MATCH("두류가공품(콩고물)",'🔖 배합비 참조'!$A$2:$A$83,0),MATCH($C235,'🔖 배합비 참조'!$B$1:$CE$1,0))/100,""))),"")</f>
        <v>0</v>
      </c>
      <c r="AL235" s="28">
        <f>IFERROR(IF($C235="","",IF($D235="","",IFERROR($D235*INDEX('🔖 배합비 참조'!$B$2:$CE$83,MATCH("두류가공품(통팥고물)",'🔖 배합비 참조'!$A$2:$A$83,0),MATCH($C235,'🔖 배합비 참조'!$B$1:$CE$1,0))/100,""))),"")</f>
        <v>0</v>
      </c>
      <c r="AM235" s="28">
        <f>IFERROR(IF($C235="","",IF($D235="","",IFERROR($D235*INDEX('🔖 배합비 참조'!$B$2:$CE$83,MATCH("딸기레진",'🔖 배합비 참조'!$A$2:$A$83,0),MATCH($C235,'🔖 배합비 참조'!$B$1:$CE$1,0))/100,""))),"")</f>
        <v>0</v>
      </c>
      <c r="AN235" s="28">
        <f>IFERROR(IF($C235="","",IF($D235="","",IFERROR($D235*INDEX('🔖 배합비 참조'!$B$2:$CE$83,MATCH("딸기분말(스트로우베리에이드(분말))",'🔖 배합비 참조'!$A$2:$A$83,0),MATCH($C235,'🔖 배합비 참조'!$B$1:$CE$1,0))/100,""))),"")</f>
        <v>0</v>
      </c>
      <c r="AO235" s="28">
        <f>IFERROR(IF($C235="","",IF($D235="","",IFERROR($D235*INDEX('🔖 배합비 참조'!$B$2:$CE$83,MATCH("마스카포네치즈",'🔖 배합비 참조'!$A$2:$A$83,0),MATCH($C235,'🔖 배합비 참조'!$B$1:$CE$1,0))/100,""))),"")</f>
        <v>0</v>
      </c>
      <c r="AP235" s="28">
        <f>IFERROR(IF($C235="","",IF($D235="","",IFERROR($D235*INDEX('🔖 배합비 참조'!$B$2:$CE$83,MATCH("마카다미아분태(호주산)",'🔖 배합비 참조'!$A$2:$A$83,0),MATCH($C235,'🔖 배합비 참조'!$B$1:$CE$1,0))/100,""))),"")</f>
        <v>0</v>
      </c>
      <c r="AQ235" s="28">
        <v>22</v>
      </c>
      <c r="AR235" s="28">
        <f>IFERROR(IF($C235="","",IF($D235="","",IFERROR($D235*INDEX('🔖 배합비 참조'!$B$2:$CE$83,MATCH("모시잎(국내산)",'🔖 배합비 참조'!$A$2:$A$83,0),MATCH($C235,'🔖 배합비 참조'!$B$1:$CE$1,0))/100,""))),"")</f>
        <v>0</v>
      </c>
      <c r="AS235" s="28">
        <f>IFERROR(IF($C235="","",IF($D235="","",IFERROR($D235*INDEX('🔖 배합비 참조'!$B$2:$CE$83,MATCH("물엿(저당물엿)",'🔖 배합비 참조'!$A$2:$A$83,0),MATCH($C235,'🔖 배합비 참조'!$B$1:$CE$1,0))/100,""))),"")</f>
        <v>3.08</v>
      </c>
      <c r="AT235" s="28">
        <f>IFERROR(IF($C235="","",IF($D235="","",IFERROR($D235*INDEX('🔖 배합비 참조'!$B$2:$CE$83,MATCH("밤다이스",'🔖 배합비 참조'!$A$2:$A$83,0),MATCH($C235,'🔖 배합비 참조'!$B$1:$CE$1,0))/100,""))),"")</f>
        <v>0</v>
      </c>
      <c r="AU235" s="28">
        <f>IFERROR(IF($C235="","",IF($D235="","",IFERROR($D235*INDEX('🔖 배합비 참조'!$B$2:$CE$83,MATCH("변성전분(타피오카전분)",'🔖 배합비 참조'!$A$2:$A$83,0),MATCH($C235,'🔖 배합비 참조'!$B$1:$CE$1,0))/100,""))),"")</f>
        <v>0</v>
      </c>
      <c r="AV235" s="28">
        <f>IFERROR(IF($C235="","",IF($D235="","",IFERROR($D235*INDEX('🔖 배합비 참조'!$B$2:$CE$83,MATCH("복음땅콩분태",'🔖 배합비 참조'!$A$2:$A$83,0),MATCH($C235,'🔖 배합비 참조'!$B$1:$CE$1,0))/100,""))),"")</f>
        <v>0</v>
      </c>
      <c r="AW235" s="28">
        <f>IFERROR(IF($C235="","",IF($D235="","",IFERROR($D235*INDEX('🔖 배합비 참조'!$B$2:$CE$83,MATCH("사양벌꿀(국내산)",'🔖 배합비 참조'!$A$2:$A$83,0),MATCH($C235,'🔖 배합비 참조'!$B$1:$CE$1,0))/100,""))),"")</f>
        <v>0</v>
      </c>
      <c r="AX235" s="28">
        <f>IFERROR(IF($C235="","",IF($D235="","",IFERROR($D235*INDEX('🔖 배합비 참조'!$B$2:$CE$83,MATCH("생크림",'🔖 배합비 참조'!$A$2:$A$83,0),MATCH($C235,'🔖 배합비 참조'!$B$1:$CE$1,0))/100,""))),"")</f>
        <v>0</v>
      </c>
      <c r="AY235" s="28">
        <f>IFERROR(IF($C235="","",IF($D235="","",IFERROR($D235*INDEX('🔖 배합비 참조'!$B$2:$CE$83,MATCH("서양호박(국내산,뉴질랜드산)",'🔖 배합비 참조'!$A$2:$A$83,0),MATCH($C235,'🔖 배합비 참조'!$B$1:$CE$1,0))/100,""))),"")</f>
        <v>0</v>
      </c>
      <c r="AZ235" s="28">
        <v>209</v>
      </c>
      <c r="BA235" s="28">
        <f>IFERROR(IF($C235="","",IF($D235="","",IFERROR($D235*INDEX('🔖 배합비 참조'!$B$2:$CE$83,MATCH("스트로우베리 에이드 후레쉬",'🔖 배합비 참조'!$A$2:$A$83,0),MATCH($C235,'🔖 배합비 참조'!$B$1:$CE$1,0))/100,""))),"")</f>
        <v>0</v>
      </c>
      <c r="BB235" s="28">
        <f>IFERROR(IF($C235="","",IF($D235="","",IFERROR($D235*INDEX('🔖 배합비 참조'!$B$2:$CE$83,MATCH("식물성기름혼합제제(분홍)",'🔖 배합비 참조'!$A$2:$A$83,0),MATCH($C235,'🔖 배합비 참조'!$B$1:$CE$1,0))/100,""))),"")</f>
        <v>0</v>
      </c>
      <c r="BC235" s="28">
        <f>IFERROR(IF($C235="","",IF($D235="","",IFERROR($D235*INDEX('🔖 배합비 참조'!$B$2:$CE$83,MATCH("식물성기름혼합제제(초록)",'🔖 배합비 참조'!$A$2:$A$83,0),MATCH($C235,'🔖 배합비 참조'!$B$1:$CE$1,0))/100,""))),"")</f>
        <v>0</v>
      </c>
      <c r="BD235" s="28">
        <f>IFERROR(IF($C235="","",IF($D235="","",IFERROR($D235*INDEX('🔖 배합비 참조'!$B$2:$CE$83,MATCH("식물성기름혼합제제(황색)",'🔖 배합비 참조'!$A$2:$A$83,0),MATCH($C235,'🔖 배합비 참조'!$B$1:$CE$1,0))/100,""))),"")</f>
        <v>0</v>
      </c>
      <c r="BE235" s="28">
        <f>IFERROR(IF($C235="","",IF($D235="","",IFERROR($D235*INDEX('🔖 배합비 참조'!$B$2:$CE$83,MATCH("쑥가루(국내산)",'🔖 배합비 참조'!$A$2:$A$83,0),MATCH($C235,'🔖 배합비 참조'!$B$1:$CE$1,0))/100,""))),"")</f>
        <v>3.41</v>
      </c>
      <c r="BF235" s="28">
        <f>IFERROR(IF($C235="","",IF($D235="","",IFERROR($D235*INDEX('🔖 배합비 참조'!$B$2:$CE$83,MATCH("아몬드슬라이스",'🔖 배합비 참조'!$A$2:$A$83,0),MATCH($C235,'🔖 배합비 참조'!$B$1:$CE$1,0))/100,""))),"")</f>
        <v>0</v>
      </c>
      <c r="BG235" s="28">
        <f>IFERROR(IF($C235="","",IF($D235="","",IFERROR($D235*INDEX('🔖 배합비 참조'!$B$2:$CE$83,MATCH("알룰로오스(국내산)",'🔖 배합비 참조'!$A$2:$A$83,0),MATCH($C235,'🔖 배합비 참조'!$B$1:$CE$1,0))/100,""))),"")</f>
        <v>0</v>
      </c>
      <c r="BH235" s="28">
        <f>IFERROR(IF($C235="","",IF($D235="","",IFERROR($D235*INDEX('🔖 배합비 참조'!$B$2:$CE$83,MATCH("연유",'🔖 배합비 참조'!$A$2:$A$83,0),MATCH($C235,'🔖 배합비 참조'!$B$1:$CE$1,0))/100,""))),"")</f>
        <v>0</v>
      </c>
      <c r="BI235" s="28">
        <f>IFERROR(IF($C235="","",IF($D235="","",IFERROR($D235*INDEX('🔖 배합비 참조'!$B$2:$CE$83,MATCH("옥수수전분",'🔖 배합비 참조'!$A$2:$A$83,0),MATCH($C235,'🔖 배합비 참조'!$B$1:$CE$1,0))/100,""))),"")</f>
        <v>0</v>
      </c>
      <c r="BJ235" s="28">
        <f>IFERROR(IF($C235="","",IF($D235="","",IFERROR($D235*INDEX('🔖 배합비 참조'!$B$2:$CE$83,MATCH("완두배기",'🔖 배합비 참조'!$A$2:$A$83,0),MATCH($C235,'🔖 배합비 참조'!$B$1:$CE$1,0))/100,""))),"")</f>
        <v>0</v>
      </c>
      <c r="BK235" s="28">
        <f>IFERROR(IF($C235="","",IF($D235="","",IFERROR($D235*INDEX('🔖 배합비 참조'!$B$2:$CE$83,MATCH("우유(국내산)",'🔖 배합비 참조'!$A$2:$A$83,0),MATCH($C235,'🔖 배합비 참조'!$B$1:$CE$1,0))/100,""))),"")</f>
        <v>0</v>
      </c>
      <c r="BL235" s="28">
        <f>IFERROR(IF($C235="","",IF($D235="","",IFERROR($D235*INDEX('🔖 배합비 참조'!$B$2:$CE$83,MATCH("자색고구마가루(중국산)",'🔖 배합비 참조'!$A$2:$A$83,0),MATCH($C235,'🔖 배합비 참조'!$B$1:$CE$1,0))/100,""))),"")</f>
        <v>0</v>
      </c>
      <c r="BM235" s="28">
        <f>IFERROR(IF($C235="","",IF($D235="","",IFERROR($D235*INDEX('🔖 배합비 참조'!$B$2:$CE$83,MATCH("자연치즈(체다치즈)",'🔖 배합비 참조'!$A$2:$A$83,0),MATCH($C235,'🔖 배합비 참조'!$B$1:$CE$1,0))/100,""))),"")</f>
        <v>0</v>
      </c>
      <c r="BN235" s="28">
        <v>33</v>
      </c>
      <c r="BO235" s="28">
        <f>IFERROR(IF($C235="","",IF($D235="","",IFERROR($D235*INDEX('🔖 배합비 참조'!$B$2:$CE$83,MATCH("젤라틴",'🔖 배합비 참조'!$A$2:$A$83,0),MATCH($C235,'🔖 배합비 참조'!$B$1:$CE$1,0))/100,""))),"")</f>
        <v>0</v>
      </c>
      <c r="BP235" s="28">
        <f>IFERROR(IF($C235="","",IF($D235="","",IFERROR($D235*INDEX('🔖 배합비 참조'!$B$2:$CE$83,MATCH("조림류(백옥앙금)",'🔖 배합비 참조'!$A$2:$A$83,0),MATCH($C235,'🔖 배합비 참조'!$B$1:$CE$1,0))/100,""))),"")</f>
        <v>33.770000000000003</v>
      </c>
      <c r="BQ235" s="28">
        <v>198</v>
      </c>
      <c r="BR235" s="28">
        <f>IFERROR(IF($C235="","",IF($D235="","",IFERROR($D235*INDEX('🔖 배합비 참조'!$B$2:$CE$83,MATCH("준초콜릿(외국산)",'🔖 배합비 참조'!$A$2:$A$83,0),MATCH($C235,'🔖 배합비 참조'!$B$1:$CE$1,0))/100,""))),"")</f>
        <v>0</v>
      </c>
      <c r="BS235" s="28">
        <v>22</v>
      </c>
      <c r="BT235" s="28">
        <f>IFERROR(IF($C235="","",IF($D235="","",IFERROR($D235*INDEX('🔖 배합비 참조'!$B$2:$CE$83,MATCH("참깨(인도산,나이지리아산,탄자니아산,미얀마산)",'🔖 배합비 참조'!$A$2:$A$83,0),MATCH($C235,'🔖 배합비 참조'!$B$1:$CE$1,0))/100,""))),"")</f>
        <v>0</v>
      </c>
      <c r="BU235" s="28">
        <v>473</v>
      </c>
      <c r="BV235" s="28">
        <v>22</v>
      </c>
      <c r="BW235" s="28">
        <f>IFERROR(IF($C235="","",IF($D235="","",IFERROR($D235*INDEX('🔖 배합비 참조'!$B$2:$CE$83,MATCH("치즈 [크림치즈]",'🔖 배합비 참조'!$A$2:$A$83,0),MATCH($C235,'🔖 배합비 참조'!$B$1:$CE$1,0))/100,""))),"")</f>
        <v>0</v>
      </c>
      <c r="BX235" s="28">
        <f>IFERROR(IF($C235="","",IF($D235="","",IFERROR($D235*INDEX('🔖 배합비 참조'!$B$2:$CE$83,MATCH("코코아가공품류(코코아분말)",'🔖 배합비 참조'!$A$2:$A$83,0),MATCH($C235,'🔖 배합비 참조'!$B$1:$CE$1,0))/100,""))),"")</f>
        <v>0</v>
      </c>
      <c r="BY235" s="28">
        <f>IFERROR(IF($C235="","",IF($D235="","",IFERROR($D235*INDEX('🔖 배합비 참조'!$B$2:$CE$83,MATCH("콩기름(대두유)",'🔖 배합비 참조'!$A$2:$A$83,0),MATCH($C235,'🔖 배합비 참조'!$B$1:$CE$1,0))/100,""))),"")</f>
        <v>0</v>
      </c>
      <c r="BZ235" s="28">
        <f>IFERROR(IF($C235="","",IF($D235="","",IFERROR($D235*INDEX('🔖 배합비 참조'!$B$2:$CE$83,MATCH("해바라기씨앗",'🔖 배합비 참조'!$A$2:$A$83,0),MATCH($C235,'🔖 배합비 참조'!$B$1:$CE$1,0))/100,""))),"")</f>
        <v>0</v>
      </c>
      <c r="CA235" s="28">
        <f>IFERROR(IF($C235="","",IF($D235="","",IFERROR($D235*INDEX('🔖 배합비 참조'!$B$2:$CE$83,MATCH("현미(국내산)",'🔖 배합비 참조'!$A$2:$A$83,0),MATCH($C235,'🔖 배합비 참조'!$B$1:$CE$1,0))/100,""))),"")</f>
        <v>0</v>
      </c>
      <c r="CB235" s="28">
        <f>IFERROR(IF($C235="","",IF($D235="","",IFERROR($D235*INDEX('🔖 배합비 참조'!$B$2:$CE$83,MATCH("현미멥쌀(국내산)",'🔖 배합비 참조'!$A$2:$A$83,0),MATCH($C235,'🔖 배합비 참조'!$B$1:$CE$1,0))/100,""))),"")</f>
        <v>0</v>
      </c>
      <c r="CC235" s="28">
        <f>IFERROR(IF($C235="","",IF($D235="","",IFERROR($D235*INDEX('🔖 배합비 참조'!$B$2:$CE$83,MATCH("호두분태(미국산)",'🔖 배합비 참조'!$A$2:$A$83,0),MATCH($C235,'🔖 배합비 참조'!$B$1:$CE$1,0))/100,""))),"")</f>
        <v>0</v>
      </c>
      <c r="CD235" s="28">
        <f>IFERROR(IF($C235="","",IF($D235="","",IFERROR($D235*INDEX('🔖 배합비 참조'!$B$2:$CE$83,MATCH("호박씨앗(외국산)",'🔖 배합비 참조'!$A$2:$A$83,0),MATCH($C235,'🔖 배합비 참조'!$B$1:$CE$1,0))/100,""))),"")</f>
        <v>0</v>
      </c>
      <c r="CE235" s="28">
        <v>22</v>
      </c>
      <c r="CF235" s="28">
        <f>IFERROR(IF($C235="","",IF($D235="","",IFERROR($D235*INDEX('🔖 배합비 참조'!$B$2:$CE$83,MATCH("혼합제제(스테비아)",'🔖 배합비 참조'!$A$2:$A$83,0),MATCH($C235,'🔖 배합비 참조'!$B$1:$CE$1,0))/100,""))),"")</f>
        <v>0</v>
      </c>
      <c r="CG235" s="28">
        <f>IFERROR(IF($C235="","",IF($D235="","",IFERROR($D235*INDEX('🔖 배합비 참조'!$B$2:$CE$83,MATCH("화이트초콜릿",'🔖 배합비 참조'!$A$2:$A$83,0),MATCH($C235,'🔖 배합비 참조'!$B$1:$CE$1,0))/100,""))),"")</f>
        <v>0</v>
      </c>
      <c r="CH235" s="28">
        <f>IFERROR(IF($C235="","",IF($D235="","",IFERROR($D235*INDEX('🔖 배합비 참조'!$B$2:$CE$83,MATCH("흑미찹쌀(국내산)",'🔖 배합비 참조'!$A$2:$A$83,0),MATCH($C235,'🔖 배합비 참조'!$B$1:$CE$1,0))/100,""))),"")</f>
        <v>0</v>
      </c>
      <c r="CI235" s="28">
        <v>99</v>
      </c>
      <c r="CJ235" s="29" t="str">
        <f>IFERROR(SUMPRODUCT(G235:CI235,'🏭 원료 마스터'!$C$4:$C$84),"")</f>
        <v/>
      </c>
      <c r="CL235" t="s">
        <v>239</v>
      </c>
    </row>
    <row r="236" spans="1:90" ht="18" customHeight="1">
      <c r="A236" s="31">
        <v>232</v>
      </c>
      <c r="B236" s="32"/>
      <c r="C236" s="33"/>
      <c r="D236" s="34"/>
      <c r="E236" s="31"/>
      <c r="F236" s="35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29"/>
    </row>
    <row r="237" spans="1:90" ht="18" customHeight="1">
      <c r="A237" s="36">
        <v>233</v>
      </c>
      <c r="B237" s="32"/>
      <c r="C237" s="33"/>
      <c r="D237" s="34"/>
      <c r="E237" s="36"/>
      <c r="F237" s="37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9"/>
    </row>
    <row r="238" spans="1:90" ht="18" customHeight="1">
      <c r="A238" s="31">
        <v>234</v>
      </c>
      <c r="B238" s="32"/>
      <c r="C238" s="33"/>
      <c r="D238" s="34"/>
      <c r="E238" s="31"/>
      <c r="F238" s="35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29"/>
    </row>
    <row r="239" spans="1:90" ht="18" customHeight="1">
      <c r="A239" s="36">
        <v>235</v>
      </c>
      <c r="B239" s="32"/>
      <c r="C239" s="33"/>
      <c r="D239" s="34"/>
      <c r="E239" s="36"/>
      <c r="F239" s="37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9"/>
    </row>
    <row r="240" spans="1:90" ht="18" customHeight="1">
      <c r="A240" s="31">
        <v>236</v>
      </c>
      <c r="B240" s="32"/>
      <c r="C240" s="33"/>
      <c r="D240" s="34"/>
      <c r="E240" s="31"/>
      <c r="F240" s="35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29"/>
    </row>
    <row r="241" spans="1:88" ht="18" customHeight="1">
      <c r="A241" s="36">
        <v>237</v>
      </c>
      <c r="B241" s="32"/>
      <c r="C241" s="33"/>
      <c r="D241" s="34"/>
      <c r="E241" s="36"/>
      <c r="F241" s="37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9"/>
    </row>
    <row r="242" spans="1:88" ht="18" customHeight="1">
      <c r="A242" s="31">
        <v>238</v>
      </c>
      <c r="B242" s="32"/>
      <c r="C242" s="33"/>
      <c r="D242" s="34"/>
      <c r="E242" s="31"/>
      <c r="F242" s="35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29"/>
    </row>
    <row r="243" spans="1:88" ht="18" customHeight="1">
      <c r="A243" s="36">
        <v>239</v>
      </c>
      <c r="B243" s="32"/>
      <c r="C243" s="33"/>
      <c r="D243" s="34"/>
      <c r="E243" s="36"/>
      <c r="F243" s="37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9"/>
    </row>
    <row r="244" spans="1:88" ht="18" customHeight="1">
      <c r="A244" s="31">
        <v>240</v>
      </c>
      <c r="B244" s="32"/>
      <c r="C244" s="33"/>
      <c r="D244" s="34"/>
      <c r="E244" s="31"/>
      <c r="F244" s="35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29"/>
    </row>
    <row r="245" spans="1:88" ht="18" customHeight="1">
      <c r="A245" s="36">
        <v>241</v>
      </c>
      <c r="B245" s="32"/>
      <c r="C245" s="33"/>
      <c r="D245" s="34"/>
      <c r="E245" s="36"/>
      <c r="F245" s="37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9"/>
    </row>
    <row r="246" spans="1:88" ht="18" customHeight="1">
      <c r="A246" s="31">
        <v>242</v>
      </c>
      <c r="B246" s="32"/>
      <c r="C246" s="33"/>
      <c r="D246" s="34"/>
      <c r="E246" s="31"/>
      <c r="F246" s="35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29"/>
    </row>
    <row r="247" spans="1:88" ht="18" customHeight="1">
      <c r="A247" s="36">
        <v>243</v>
      </c>
      <c r="B247" s="32"/>
      <c r="C247" s="33"/>
      <c r="D247" s="34"/>
      <c r="E247" s="36"/>
      <c r="F247" s="37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9"/>
    </row>
    <row r="248" spans="1:88" ht="18" customHeight="1">
      <c r="A248" s="31">
        <v>244</v>
      </c>
      <c r="B248" s="32"/>
      <c r="C248" s="33"/>
      <c r="D248" s="34"/>
      <c r="E248" s="31"/>
      <c r="F248" s="35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29"/>
    </row>
    <row r="249" spans="1:88" ht="18" customHeight="1">
      <c r="A249" s="36">
        <v>245</v>
      </c>
      <c r="B249" s="32"/>
      <c r="C249" s="33"/>
      <c r="D249" s="34"/>
      <c r="E249" s="36"/>
      <c r="F249" s="37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9"/>
    </row>
    <row r="250" spans="1:88" ht="18" customHeight="1">
      <c r="A250" s="31">
        <v>246</v>
      </c>
      <c r="B250" s="32"/>
      <c r="C250" s="33"/>
      <c r="D250" s="34"/>
      <c r="E250" s="31"/>
      <c r="F250" s="35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29"/>
    </row>
    <row r="251" spans="1:88" ht="18" customHeight="1">
      <c r="A251" s="36">
        <v>247</v>
      </c>
      <c r="B251" s="32"/>
      <c r="C251" s="33"/>
      <c r="D251" s="34"/>
      <c r="E251" s="36"/>
      <c r="F251" s="37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9"/>
    </row>
    <row r="252" spans="1:88" ht="18" customHeight="1">
      <c r="A252" s="31">
        <v>248</v>
      </c>
      <c r="B252" s="32"/>
      <c r="C252" s="33"/>
      <c r="D252" s="34"/>
      <c r="E252" s="31"/>
      <c r="F252" s="35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29"/>
    </row>
    <row r="253" spans="1:88" ht="18" customHeight="1">
      <c r="A253" s="36">
        <v>249</v>
      </c>
      <c r="B253" s="32"/>
      <c r="C253" s="33"/>
      <c r="D253" s="34"/>
      <c r="E253" s="36"/>
      <c r="F253" s="37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9"/>
    </row>
    <row r="254" spans="1:88" ht="18" customHeight="1">
      <c r="A254" s="31">
        <v>250</v>
      </c>
      <c r="B254" s="32"/>
      <c r="C254" s="33"/>
      <c r="D254" s="34"/>
      <c r="E254" s="31"/>
      <c r="F254" s="35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29"/>
    </row>
    <row r="255" spans="1:88" ht="18" customHeight="1">
      <c r="A255" s="36">
        <v>251</v>
      </c>
      <c r="B255" s="32"/>
      <c r="C255" s="33"/>
      <c r="D255" s="34"/>
      <c r="E255" s="36"/>
      <c r="F255" s="37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9"/>
    </row>
    <row r="256" spans="1:88" ht="18" customHeight="1">
      <c r="A256" s="31">
        <v>252</v>
      </c>
      <c r="B256" s="32"/>
      <c r="C256" s="33"/>
      <c r="D256" s="34"/>
      <c r="E256" s="31"/>
      <c r="F256" s="35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29"/>
    </row>
    <row r="257" spans="1:88" ht="18" customHeight="1">
      <c r="A257" s="36">
        <v>253</v>
      </c>
      <c r="B257" s="32"/>
      <c r="C257" s="33"/>
      <c r="D257" s="34"/>
      <c r="E257" s="36"/>
      <c r="F257" s="37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9"/>
    </row>
    <row r="258" spans="1:88" ht="18" customHeight="1">
      <c r="A258" s="31">
        <v>254</v>
      </c>
      <c r="B258" s="32"/>
      <c r="C258" s="33"/>
      <c r="D258" s="34"/>
      <c r="E258" s="31"/>
      <c r="F258" s="35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29"/>
    </row>
    <row r="259" spans="1:88" ht="18" customHeight="1">
      <c r="A259" s="36">
        <v>255</v>
      </c>
      <c r="B259" s="32"/>
      <c r="C259" s="33"/>
      <c r="D259" s="34"/>
      <c r="E259" s="36"/>
      <c r="F259" s="37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9"/>
    </row>
    <row r="260" spans="1:88" ht="18" customHeight="1">
      <c r="A260" s="31">
        <v>256</v>
      </c>
      <c r="B260" s="32"/>
      <c r="C260" s="33"/>
      <c r="D260" s="34"/>
      <c r="E260" s="31"/>
      <c r="F260" s="35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29"/>
    </row>
    <row r="261" spans="1:88" ht="18" customHeight="1">
      <c r="A261" s="36">
        <v>257</v>
      </c>
      <c r="B261" s="32"/>
      <c r="C261" s="33"/>
      <c r="D261" s="34"/>
      <c r="E261" s="36"/>
      <c r="F261" s="37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9"/>
    </row>
    <row r="262" spans="1:88" ht="18" customHeight="1">
      <c r="A262" s="31">
        <v>258</v>
      </c>
      <c r="B262" s="32"/>
      <c r="C262" s="33"/>
      <c r="D262" s="34"/>
      <c r="E262" s="31"/>
      <c r="F262" s="35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29"/>
    </row>
    <row r="263" spans="1:88" ht="18" customHeight="1">
      <c r="A263" s="36">
        <v>259</v>
      </c>
      <c r="B263" s="32"/>
      <c r="C263" s="33"/>
      <c r="D263" s="34"/>
      <c r="E263" s="36"/>
      <c r="F263" s="37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9"/>
    </row>
    <row r="264" spans="1:88" ht="18" customHeight="1">
      <c r="A264" s="31">
        <v>260</v>
      </c>
      <c r="B264" s="32"/>
      <c r="C264" s="33"/>
      <c r="D264" s="34"/>
      <c r="E264" s="31"/>
      <c r="F264" s="35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29"/>
    </row>
    <row r="265" spans="1:88" ht="18" customHeight="1">
      <c r="A265" s="36">
        <v>261</v>
      </c>
      <c r="B265" s="32"/>
      <c r="C265" s="33"/>
      <c r="D265" s="34"/>
      <c r="E265" s="36"/>
      <c r="F265" s="37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9"/>
    </row>
    <row r="266" spans="1:88" ht="18" customHeight="1">
      <c r="A266" s="31">
        <v>262</v>
      </c>
      <c r="B266" s="32"/>
      <c r="C266" s="33"/>
      <c r="D266" s="34"/>
      <c r="E266" s="31"/>
      <c r="F266" s="35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29"/>
    </row>
    <row r="267" spans="1:88" ht="18" customHeight="1">
      <c r="A267" s="36">
        <v>263</v>
      </c>
      <c r="B267" s="32"/>
      <c r="C267" s="33"/>
      <c r="D267" s="34"/>
      <c r="E267" s="36"/>
      <c r="F267" s="37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9"/>
    </row>
    <row r="268" spans="1:88" ht="18" customHeight="1">
      <c r="A268" s="31">
        <v>264</v>
      </c>
      <c r="B268" s="32"/>
      <c r="C268" s="33"/>
      <c r="D268" s="34"/>
      <c r="E268" s="31"/>
      <c r="F268" s="35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29"/>
    </row>
    <row r="269" spans="1:88" ht="18" customHeight="1">
      <c r="A269" s="36">
        <v>265</v>
      </c>
      <c r="B269" s="32"/>
      <c r="C269" s="33"/>
      <c r="D269" s="34"/>
      <c r="E269" s="36"/>
      <c r="F269" s="37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9"/>
    </row>
    <row r="270" spans="1:88" ht="18" customHeight="1">
      <c r="A270" s="31">
        <v>266</v>
      </c>
      <c r="B270" s="32"/>
      <c r="C270" s="33"/>
      <c r="D270" s="34"/>
      <c r="E270" s="31"/>
      <c r="F270" s="35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29"/>
    </row>
    <row r="271" spans="1:88" ht="18" customHeight="1">
      <c r="A271" s="36">
        <v>267</v>
      </c>
      <c r="B271" s="32"/>
      <c r="C271" s="33"/>
      <c r="D271" s="34"/>
      <c r="E271" s="36"/>
      <c r="F271" s="37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9"/>
    </row>
    <row r="272" spans="1:88" ht="18" customHeight="1">
      <c r="A272" s="31">
        <v>268</v>
      </c>
      <c r="B272" s="32"/>
      <c r="C272" s="33"/>
      <c r="D272" s="34"/>
      <c r="E272" s="31"/>
      <c r="F272" s="35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29"/>
    </row>
    <row r="273" spans="1:88" ht="18" customHeight="1">
      <c r="A273" s="36">
        <v>269</v>
      </c>
      <c r="B273" s="32"/>
      <c r="C273" s="33"/>
      <c r="D273" s="34"/>
      <c r="E273" s="36"/>
      <c r="F273" s="37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9"/>
    </row>
    <row r="274" spans="1:88" ht="18" customHeight="1">
      <c r="A274" s="31">
        <v>270</v>
      </c>
      <c r="B274" s="32"/>
      <c r="C274" s="33"/>
      <c r="D274" s="34"/>
      <c r="E274" s="31"/>
      <c r="F274" s="35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29"/>
    </row>
    <row r="275" spans="1:88" ht="18" customHeight="1">
      <c r="A275" s="36">
        <v>271</v>
      </c>
      <c r="B275" s="32"/>
      <c r="C275" s="33"/>
      <c r="D275" s="34"/>
      <c r="E275" s="36"/>
      <c r="F275" s="37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9"/>
    </row>
    <row r="276" spans="1:88" ht="18" customHeight="1">
      <c r="A276" s="31">
        <v>272</v>
      </c>
      <c r="B276" s="32"/>
      <c r="C276" s="33"/>
      <c r="D276" s="34"/>
      <c r="E276" s="31"/>
      <c r="F276" s="35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29"/>
    </row>
    <row r="277" spans="1:88" ht="18" customHeight="1">
      <c r="A277" s="36">
        <v>273</v>
      </c>
      <c r="B277" s="32"/>
      <c r="C277" s="33"/>
      <c r="D277" s="34"/>
      <c r="E277" s="36"/>
      <c r="F277" s="37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9"/>
    </row>
    <row r="278" spans="1:88" ht="18" customHeight="1">
      <c r="A278" s="31">
        <v>274</v>
      </c>
      <c r="B278" s="32"/>
      <c r="C278" s="33"/>
      <c r="D278" s="34"/>
      <c r="E278" s="31"/>
      <c r="F278" s="35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29"/>
    </row>
    <row r="279" spans="1:88" ht="18" customHeight="1">
      <c r="A279" s="36">
        <v>275</v>
      </c>
      <c r="B279" s="32"/>
      <c r="C279" s="33"/>
      <c r="D279" s="34"/>
      <c r="E279" s="36"/>
      <c r="F279" s="37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9"/>
    </row>
    <row r="280" spans="1:88" ht="18" customHeight="1">
      <c r="A280" s="31">
        <v>276</v>
      </c>
      <c r="B280" s="32"/>
      <c r="C280" s="33"/>
      <c r="D280" s="34"/>
      <c r="E280" s="31"/>
      <c r="F280" s="35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29"/>
    </row>
    <row r="281" spans="1:88" ht="18" customHeight="1">
      <c r="A281" s="36">
        <v>277</v>
      </c>
      <c r="B281" s="32"/>
      <c r="C281" s="33"/>
      <c r="D281" s="34"/>
      <c r="E281" s="36"/>
      <c r="F281" s="37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9"/>
    </row>
    <row r="282" spans="1:88" ht="18" customHeight="1">
      <c r="A282" s="31">
        <v>278</v>
      </c>
      <c r="B282" s="32"/>
      <c r="C282" s="33"/>
      <c r="D282" s="34"/>
      <c r="E282" s="31"/>
      <c r="F282" s="35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29"/>
    </row>
    <row r="283" spans="1:88" ht="18" customHeight="1">
      <c r="A283" s="36">
        <v>279</v>
      </c>
      <c r="B283" s="32"/>
      <c r="C283" s="33"/>
      <c r="D283" s="34"/>
      <c r="E283" s="36"/>
      <c r="F283" s="37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9"/>
    </row>
    <row r="284" spans="1:88" ht="18" customHeight="1">
      <c r="A284" s="31">
        <v>280</v>
      </c>
      <c r="B284" s="32"/>
      <c r="C284" s="33"/>
      <c r="D284" s="34"/>
      <c r="E284" s="31"/>
      <c r="F284" s="35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29"/>
    </row>
    <row r="285" spans="1:88" ht="18" customHeight="1">
      <c r="A285" s="36">
        <v>281</v>
      </c>
      <c r="B285" s="32"/>
      <c r="C285" s="33"/>
      <c r="D285" s="34"/>
      <c r="E285" s="36"/>
      <c r="F285" s="37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9"/>
    </row>
    <row r="286" spans="1:88" ht="18" customHeight="1">
      <c r="A286" s="31">
        <v>282</v>
      </c>
      <c r="B286" s="32"/>
      <c r="C286" s="33"/>
      <c r="D286" s="34"/>
      <c r="E286" s="31"/>
      <c r="F286" s="35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29"/>
    </row>
    <row r="287" spans="1:88" ht="18" customHeight="1">
      <c r="A287" s="36">
        <v>283</v>
      </c>
      <c r="B287" s="32"/>
      <c r="C287" s="33"/>
      <c r="D287" s="34"/>
      <c r="E287" s="36"/>
      <c r="F287" s="37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9"/>
    </row>
    <row r="288" spans="1:88" ht="18" customHeight="1">
      <c r="A288" s="31">
        <v>284</v>
      </c>
      <c r="B288" s="32"/>
      <c r="C288" s="33"/>
      <c r="D288" s="34"/>
      <c r="E288" s="31"/>
      <c r="F288" s="35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29"/>
    </row>
    <row r="289" spans="1:88" ht="18" customHeight="1">
      <c r="A289" s="36">
        <v>285</v>
      </c>
      <c r="B289" s="32"/>
      <c r="C289" s="33"/>
      <c r="D289" s="34"/>
      <c r="E289" s="36"/>
      <c r="F289" s="37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9"/>
    </row>
    <row r="290" spans="1:88" ht="18" customHeight="1">
      <c r="A290" s="31">
        <v>286</v>
      </c>
      <c r="B290" s="32"/>
      <c r="C290" s="33"/>
      <c r="D290" s="34"/>
      <c r="E290" s="31"/>
      <c r="F290" s="35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29"/>
    </row>
    <row r="291" spans="1:88" ht="18" customHeight="1">
      <c r="A291" s="36">
        <v>287</v>
      </c>
      <c r="B291" s="32"/>
      <c r="C291" s="33"/>
      <c r="D291" s="34"/>
      <c r="E291" s="36"/>
      <c r="F291" s="37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9"/>
    </row>
    <row r="292" spans="1:88" ht="18" customHeight="1">
      <c r="A292" s="31">
        <v>288</v>
      </c>
      <c r="B292" s="32"/>
      <c r="C292" s="33"/>
      <c r="D292" s="34"/>
      <c r="E292" s="31"/>
      <c r="F292" s="35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29"/>
    </row>
    <row r="293" spans="1:88" ht="18" customHeight="1">
      <c r="A293" s="36">
        <v>289</v>
      </c>
      <c r="B293" s="32"/>
      <c r="C293" s="33"/>
      <c r="D293" s="34"/>
      <c r="E293" s="36"/>
      <c r="F293" s="37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9"/>
    </row>
    <row r="294" spans="1:88" ht="18" customHeight="1">
      <c r="A294" s="31">
        <v>290</v>
      </c>
      <c r="B294" s="32"/>
      <c r="C294" s="33"/>
      <c r="D294" s="34"/>
      <c r="E294" s="31"/>
      <c r="F294" s="35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29"/>
    </row>
    <row r="295" spans="1:88" ht="18" customHeight="1">
      <c r="A295" s="36">
        <v>291</v>
      </c>
      <c r="B295" s="32"/>
      <c r="C295" s="33"/>
      <c r="D295" s="34"/>
      <c r="E295" s="36"/>
      <c r="F295" s="37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9"/>
    </row>
    <row r="296" spans="1:88" ht="18" customHeight="1">
      <c r="A296" s="31">
        <v>292</v>
      </c>
      <c r="B296" s="32"/>
      <c r="C296" s="33"/>
      <c r="D296" s="34"/>
      <c r="E296" s="31"/>
      <c r="F296" s="35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29"/>
    </row>
    <row r="297" spans="1:88" ht="18" customHeight="1">
      <c r="A297" s="36">
        <v>293</v>
      </c>
      <c r="B297" s="32"/>
      <c r="C297" s="33"/>
      <c r="D297" s="34"/>
      <c r="E297" s="36"/>
      <c r="F297" s="37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9"/>
    </row>
    <row r="298" spans="1:88" ht="18" customHeight="1">
      <c r="A298" s="31">
        <v>294</v>
      </c>
      <c r="B298" s="32"/>
      <c r="C298" s="33"/>
      <c r="D298" s="34"/>
      <c r="E298" s="31"/>
      <c r="F298" s="35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29"/>
    </row>
    <row r="299" spans="1:88" ht="18" customHeight="1">
      <c r="A299" s="36">
        <v>295</v>
      </c>
      <c r="B299" s="32"/>
      <c r="C299" s="33"/>
      <c r="D299" s="34"/>
      <c r="E299" s="36"/>
      <c r="F299" s="37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9"/>
    </row>
    <row r="300" spans="1:88" ht="18" customHeight="1">
      <c r="A300" s="31">
        <v>296</v>
      </c>
      <c r="B300" s="32"/>
      <c r="C300" s="33"/>
      <c r="D300" s="34"/>
      <c r="E300" s="31"/>
      <c r="F300" s="35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29"/>
    </row>
    <row r="301" spans="1:88" ht="18" customHeight="1">
      <c r="A301" s="36">
        <v>297</v>
      </c>
      <c r="B301" s="32"/>
      <c r="C301" s="33"/>
      <c r="D301" s="34"/>
      <c r="E301" s="36"/>
      <c r="F301" s="37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9"/>
    </row>
    <row r="302" spans="1:88" ht="18" customHeight="1">
      <c r="A302" s="31">
        <v>298</v>
      </c>
      <c r="B302" s="32"/>
      <c r="C302" s="33"/>
      <c r="D302" s="34"/>
      <c r="E302" s="31"/>
      <c r="F302" s="35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29"/>
    </row>
    <row r="303" spans="1:88" ht="18" customHeight="1">
      <c r="A303" s="36">
        <v>299</v>
      </c>
      <c r="B303" s="32"/>
      <c r="C303" s="33"/>
      <c r="D303" s="34"/>
      <c r="E303" s="36"/>
      <c r="F303" s="37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9"/>
    </row>
    <row r="304" spans="1:88" ht="18" customHeight="1">
      <c r="A304" s="31">
        <v>300</v>
      </c>
      <c r="B304" s="32"/>
      <c r="C304" s="33"/>
      <c r="D304" s="34"/>
      <c r="E304" s="31"/>
      <c r="F304" s="35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29"/>
    </row>
    <row r="305" spans="1:88" ht="18" customHeight="1">
      <c r="A305" s="36">
        <v>301</v>
      </c>
      <c r="B305" s="32"/>
      <c r="C305" s="33"/>
      <c r="D305" s="34"/>
      <c r="E305" s="36"/>
      <c r="F305" s="37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9"/>
    </row>
    <row r="306" spans="1:88" ht="18" customHeight="1">
      <c r="A306" s="31">
        <v>302</v>
      </c>
      <c r="B306" s="32"/>
      <c r="C306" s="33"/>
      <c r="D306" s="34"/>
      <c r="E306" s="31"/>
      <c r="F306" s="35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29"/>
    </row>
    <row r="307" spans="1:88" ht="18" customHeight="1">
      <c r="A307" s="36">
        <v>303</v>
      </c>
      <c r="B307" s="32"/>
      <c r="C307" s="33"/>
      <c r="D307" s="34"/>
      <c r="E307" s="36"/>
      <c r="F307" s="37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9"/>
    </row>
    <row r="308" spans="1:88" ht="18" customHeight="1">
      <c r="A308" s="31">
        <v>304</v>
      </c>
      <c r="B308" s="32"/>
      <c r="C308" s="33"/>
      <c r="D308" s="34"/>
      <c r="E308" s="31"/>
      <c r="F308" s="35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29"/>
    </row>
    <row r="309" spans="1:88" ht="18" customHeight="1">
      <c r="A309" s="36">
        <v>305</v>
      </c>
      <c r="B309" s="32"/>
      <c r="C309" s="33"/>
      <c r="D309" s="34"/>
      <c r="E309" s="36"/>
      <c r="F309" s="37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9"/>
    </row>
    <row r="310" spans="1:88" ht="18" customHeight="1">
      <c r="A310" s="31">
        <v>306</v>
      </c>
      <c r="B310" s="32"/>
      <c r="C310" s="33"/>
      <c r="D310" s="34"/>
      <c r="E310" s="31"/>
      <c r="F310" s="35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29"/>
    </row>
    <row r="311" spans="1:88" ht="18" customHeight="1">
      <c r="A311" s="36">
        <v>307</v>
      </c>
      <c r="B311" s="32"/>
      <c r="C311" s="33"/>
      <c r="D311" s="34"/>
      <c r="E311" s="36"/>
      <c r="F311" s="37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9"/>
    </row>
    <row r="312" spans="1:88" ht="18" customHeight="1">
      <c r="A312" s="31">
        <v>308</v>
      </c>
      <c r="B312" s="32"/>
      <c r="C312" s="33"/>
      <c r="D312" s="34"/>
      <c r="E312" s="31"/>
      <c r="F312" s="35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29"/>
    </row>
    <row r="313" spans="1:88" ht="18" customHeight="1">
      <c r="A313" s="36">
        <v>309</v>
      </c>
      <c r="B313" s="32"/>
      <c r="C313" s="33"/>
      <c r="D313" s="34"/>
      <c r="E313" s="36"/>
      <c r="F313" s="37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9"/>
    </row>
    <row r="314" spans="1:88" ht="18" customHeight="1">
      <c r="A314" s="31">
        <v>310</v>
      </c>
      <c r="B314" s="32"/>
      <c r="C314" s="33"/>
      <c r="D314" s="34"/>
      <c r="E314" s="31"/>
      <c r="F314" s="35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29"/>
    </row>
    <row r="315" spans="1:88" ht="18" customHeight="1">
      <c r="A315" s="36">
        <v>311</v>
      </c>
      <c r="B315" s="32"/>
      <c r="C315" s="33"/>
      <c r="D315" s="34"/>
      <c r="E315" s="36"/>
      <c r="F315" s="37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9"/>
    </row>
    <row r="316" spans="1:88" ht="18" customHeight="1">
      <c r="A316" s="31">
        <v>312</v>
      </c>
      <c r="B316" s="32"/>
      <c r="C316" s="33"/>
      <c r="D316" s="34"/>
      <c r="E316" s="31"/>
      <c r="F316" s="35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29"/>
    </row>
    <row r="317" spans="1:88" ht="18" customHeight="1">
      <c r="A317" s="36">
        <v>313</v>
      </c>
      <c r="B317" s="32"/>
      <c r="C317" s="33"/>
      <c r="D317" s="34"/>
      <c r="E317" s="36"/>
      <c r="F317" s="37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9"/>
    </row>
    <row r="318" spans="1:88" ht="18" customHeight="1">
      <c r="A318" s="31">
        <v>314</v>
      </c>
      <c r="B318" s="32"/>
      <c r="C318" s="33"/>
      <c r="D318" s="34"/>
      <c r="E318" s="31"/>
      <c r="F318" s="35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29"/>
    </row>
    <row r="319" spans="1:88" ht="18" customHeight="1">
      <c r="A319" s="36">
        <v>315</v>
      </c>
      <c r="B319" s="32"/>
      <c r="C319" s="33"/>
      <c r="D319" s="34"/>
      <c r="E319" s="36"/>
      <c r="F319" s="37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9"/>
    </row>
    <row r="320" spans="1:88" ht="18" customHeight="1">
      <c r="A320" s="31">
        <v>316</v>
      </c>
      <c r="B320" s="32"/>
      <c r="C320" s="33"/>
      <c r="D320" s="34"/>
      <c r="E320" s="31"/>
      <c r="F320" s="35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29"/>
    </row>
    <row r="321" spans="1:88" ht="18" customHeight="1">
      <c r="A321" s="36">
        <v>317</v>
      </c>
      <c r="B321" s="32"/>
      <c r="C321" s="33"/>
      <c r="D321" s="34"/>
      <c r="E321" s="36"/>
      <c r="F321" s="37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9"/>
    </row>
    <row r="322" spans="1:88" ht="18" customHeight="1">
      <c r="A322" s="31">
        <v>318</v>
      </c>
      <c r="B322" s="32"/>
      <c r="C322" s="33"/>
      <c r="D322" s="34"/>
      <c r="E322" s="31"/>
      <c r="F322" s="35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29"/>
    </row>
    <row r="323" spans="1:88" ht="18" customHeight="1">
      <c r="A323" s="36">
        <v>319</v>
      </c>
      <c r="B323" s="32"/>
      <c r="C323" s="33"/>
      <c r="D323" s="34"/>
      <c r="E323" s="36"/>
      <c r="F323" s="37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9"/>
    </row>
    <row r="324" spans="1:88" ht="18" customHeight="1">
      <c r="A324" s="31">
        <v>320</v>
      </c>
      <c r="B324" s="32"/>
      <c r="C324" s="33"/>
      <c r="D324" s="34"/>
      <c r="E324" s="31"/>
      <c r="F324" s="35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29"/>
    </row>
    <row r="325" spans="1:88" ht="18" customHeight="1">
      <c r="A325" s="36">
        <v>321</v>
      </c>
      <c r="B325" s="32"/>
      <c r="C325" s="33"/>
      <c r="D325" s="34"/>
      <c r="E325" s="36"/>
      <c r="F325" s="37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9"/>
    </row>
    <row r="326" spans="1:88" ht="18" customHeight="1">
      <c r="A326" s="31">
        <v>322</v>
      </c>
      <c r="B326" s="32"/>
      <c r="C326" s="33"/>
      <c r="D326" s="34"/>
      <c r="E326" s="31"/>
      <c r="F326" s="35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29"/>
    </row>
    <row r="327" spans="1:88" ht="18" customHeight="1">
      <c r="A327" s="36">
        <v>323</v>
      </c>
      <c r="B327" s="32"/>
      <c r="C327" s="33"/>
      <c r="D327" s="34"/>
      <c r="E327" s="36"/>
      <c r="F327" s="37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9"/>
    </row>
    <row r="328" spans="1:88" ht="18" customHeight="1">
      <c r="A328" s="31">
        <v>324</v>
      </c>
      <c r="B328" s="32"/>
      <c r="C328" s="33"/>
      <c r="D328" s="34"/>
      <c r="E328" s="31"/>
      <c r="F328" s="35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29"/>
    </row>
    <row r="329" spans="1:88" ht="18" customHeight="1">
      <c r="A329" s="36">
        <v>325</v>
      </c>
      <c r="B329" s="32"/>
      <c r="C329" s="33"/>
      <c r="D329" s="34"/>
      <c r="E329" s="36"/>
      <c r="F329" s="37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9"/>
    </row>
    <row r="330" spans="1:88" ht="18" customHeight="1">
      <c r="A330" s="31">
        <v>326</v>
      </c>
      <c r="B330" s="32"/>
      <c r="C330" s="33"/>
      <c r="D330" s="34"/>
      <c r="E330" s="31"/>
      <c r="F330" s="35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29"/>
    </row>
    <row r="331" spans="1:88" ht="18" customHeight="1">
      <c r="A331" s="36">
        <v>327</v>
      </c>
      <c r="B331" s="32"/>
      <c r="C331" s="33"/>
      <c r="D331" s="34"/>
      <c r="E331" s="36"/>
      <c r="F331" s="37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9"/>
    </row>
    <row r="332" spans="1:88" ht="18" customHeight="1">
      <c r="A332" s="31">
        <v>328</v>
      </c>
      <c r="B332" s="32"/>
      <c r="C332" s="33"/>
      <c r="D332" s="34"/>
      <c r="E332" s="31"/>
      <c r="F332" s="35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29"/>
    </row>
    <row r="333" spans="1:88" ht="18" customHeight="1">
      <c r="A333" s="36">
        <v>329</v>
      </c>
      <c r="B333" s="32"/>
      <c r="C333" s="33"/>
      <c r="D333" s="34"/>
      <c r="E333" s="36"/>
      <c r="F333" s="37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9"/>
    </row>
    <row r="334" spans="1:88" ht="18" customHeight="1">
      <c r="A334" s="31">
        <v>330</v>
      </c>
      <c r="B334" s="32"/>
      <c r="C334" s="33"/>
      <c r="D334" s="34"/>
      <c r="E334" s="31"/>
      <c r="F334" s="35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29"/>
    </row>
    <row r="335" spans="1:88" ht="18" customHeight="1">
      <c r="A335" s="36">
        <v>331</v>
      </c>
      <c r="B335" s="32"/>
      <c r="C335" s="33"/>
      <c r="D335" s="34"/>
      <c r="E335" s="36"/>
      <c r="F335" s="37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9"/>
    </row>
    <row r="336" spans="1:88" ht="18" customHeight="1">
      <c r="A336" s="31">
        <v>332</v>
      </c>
      <c r="B336" s="32"/>
      <c r="C336" s="33"/>
      <c r="D336" s="34"/>
      <c r="E336" s="31"/>
      <c r="F336" s="35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29"/>
    </row>
    <row r="337" spans="1:88" ht="18" customHeight="1">
      <c r="A337" s="36">
        <v>333</v>
      </c>
      <c r="B337" s="32"/>
      <c r="C337" s="33"/>
      <c r="D337" s="34"/>
      <c r="E337" s="36"/>
      <c r="F337" s="37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9"/>
    </row>
    <row r="338" spans="1:88" ht="18" customHeight="1">
      <c r="A338" s="31">
        <v>334</v>
      </c>
      <c r="B338" s="32"/>
      <c r="C338" s="33"/>
      <c r="D338" s="34"/>
      <c r="E338" s="31"/>
      <c r="F338" s="35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29"/>
    </row>
    <row r="339" spans="1:88" ht="18" customHeight="1">
      <c r="A339" s="36">
        <v>335</v>
      </c>
      <c r="B339" s="32"/>
      <c r="C339" s="33"/>
      <c r="D339" s="34"/>
      <c r="E339" s="36"/>
      <c r="F339" s="37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9"/>
    </row>
    <row r="340" spans="1:88" ht="18" customHeight="1">
      <c r="A340" s="31">
        <v>336</v>
      </c>
      <c r="B340" s="32"/>
      <c r="C340" s="33"/>
      <c r="D340" s="34"/>
      <c r="E340" s="31"/>
      <c r="F340" s="35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29"/>
    </row>
    <row r="341" spans="1:88" ht="18" customHeight="1">
      <c r="A341" s="36">
        <v>337</v>
      </c>
      <c r="B341" s="32"/>
      <c r="C341" s="33"/>
      <c r="D341" s="34"/>
      <c r="E341" s="36"/>
      <c r="F341" s="37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9"/>
    </row>
    <row r="342" spans="1:88" ht="18" customHeight="1">
      <c r="A342" s="31">
        <v>338</v>
      </c>
      <c r="B342" s="32"/>
      <c r="C342" s="33"/>
      <c r="D342" s="34"/>
      <c r="E342" s="31"/>
      <c r="F342" s="35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29"/>
    </row>
    <row r="343" spans="1:88" ht="18" customHeight="1">
      <c r="A343" s="36">
        <v>339</v>
      </c>
      <c r="B343" s="32"/>
      <c r="C343" s="33"/>
      <c r="D343" s="34"/>
      <c r="E343" s="36"/>
      <c r="F343" s="37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9"/>
    </row>
    <row r="344" spans="1:88" ht="18" customHeight="1">
      <c r="A344" s="31">
        <v>340</v>
      </c>
      <c r="B344" s="32"/>
      <c r="C344" s="33"/>
      <c r="D344" s="34"/>
      <c r="E344" s="31"/>
      <c r="F344" s="35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29"/>
    </row>
    <row r="345" spans="1:88" ht="18" customHeight="1">
      <c r="A345" s="36">
        <v>341</v>
      </c>
      <c r="B345" s="32"/>
      <c r="C345" s="33"/>
      <c r="D345" s="34"/>
      <c r="E345" s="36"/>
      <c r="F345" s="37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9"/>
    </row>
    <row r="346" spans="1:88" ht="18" customHeight="1">
      <c r="A346" s="31">
        <v>342</v>
      </c>
      <c r="B346" s="32"/>
      <c r="C346" s="33"/>
      <c r="D346" s="34"/>
      <c r="E346" s="31"/>
      <c r="F346" s="35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29"/>
    </row>
    <row r="347" spans="1:88" ht="18" customHeight="1">
      <c r="A347" s="36">
        <v>343</v>
      </c>
      <c r="B347" s="32"/>
      <c r="C347" s="33"/>
      <c r="D347" s="34"/>
      <c r="E347" s="36"/>
      <c r="F347" s="37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9"/>
    </row>
    <row r="348" spans="1:88" ht="18" customHeight="1">
      <c r="A348" s="31">
        <v>344</v>
      </c>
      <c r="B348" s="32"/>
      <c r="C348" s="33"/>
      <c r="D348" s="34"/>
      <c r="E348" s="31"/>
      <c r="F348" s="35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29"/>
    </row>
    <row r="349" spans="1:88" ht="18" customHeight="1">
      <c r="A349" s="36">
        <v>345</v>
      </c>
      <c r="B349" s="32"/>
      <c r="C349" s="33"/>
      <c r="D349" s="34"/>
      <c r="E349" s="36"/>
      <c r="F349" s="37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9"/>
    </row>
    <row r="350" spans="1:88" ht="18" customHeight="1">
      <c r="A350" s="31">
        <v>346</v>
      </c>
      <c r="B350" s="32"/>
      <c r="C350" s="33"/>
      <c r="D350" s="34"/>
      <c r="E350" s="31"/>
      <c r="F350" s="35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29"/>
    </row>
    <row r="351" spans="1:88" ht="18" customHeight="1">
      <c r="A351" s="36">
        <v>347</v>
      </c>
      <c r="B351" s="32"/>
      <c r="C351" s="33"/>
      <c r="D351" s="34"/>
      <c r="E351" s="36"/>
      <c r="F351" s="37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9"/>
    </row>
    <row r="352" spans="1:88" ht="18" customHeight="1">
      <c r="A352" s="31">
        <v>348</v>
      </c>
      <c r="B352" s="32"/>
      <c r="C352" s="33"/>
      <c r="D352" s="34"/>
      <c r="E352" s="31"/>
      <c r="F352" s="35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29"/>
    </row>
    <row r="353" spans="1:88" ht="18" customHeight="1">
      <c r="A353" s="36">
        <v>349</v>
      </c>
      <c r="B353" s="32"/>
      <c r="C353" s="33"/>
      <c r="D353" s="34"/>
      <c r="E353" s="36"/>
      <c r="F353" s="37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9"/>
    </row>
    <row r="354" spans="1:88" ht="18" customHeight="1">
      <c r="A354" s="31">
        <v>350</v>
      </c>
      <c r="B354" s="32"/>
      <c r="C354" s="33"/>
      <c r="D354" s="34"/>
      <c r="E354" s="31"/>
      <c r="F354" s="35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29"/>
    </row>
    <row r="355" spans="1:88" ht="18" customHeight="1">
      <c r="A355" s="36">
        <v>351</v>
      </c>
      <c r="B355" s="32"/>
      <c r="C355" s="33"/>
      <c r="D355" s="34"/>
      <c r="E355" s="36"/>
      <c r="F355" s="37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9"/>
    </row>
    <row r="356" spans="1:88" ht="18" customHeight="1">
      <c r="A356" s="31">
        <v>352</v>
      </c>
      <c r="B356" s="32"/>
      <c r="C356" s="33"/>
      <c r="D356" s="34"/>
      <c r="E356" s="31"/>
      <c r="F356" s="35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29"/>
    </row>
    <row r="357" spans="1:88" ht="18" customHeight="1">
      <c r="A357" s="36">
        <v>353</v>
      </c>
      <c r="B357" s="32"/>
      <c r="C357" s="33"/>
      <c r="D357" s="34"/>
      <c r="E357" s="36"/>
      <c r="F357" s="37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9"/>
    </row>
    <row r="358" spans="1:88" ht="18" customHeight="1">
      <c r="A358" s="31">
        <v>354</v>
      </c>
      <c r="B358" s="32"/>
      <c r="C358" s="33"/>
      <c r="D358" s="34"/>
      <c r="E358" s="31"/>
      <c r="F358" s="35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29"/>
    </row>
    <row r="359" spans="1:88" ht="18" customHeight="1">
      <c r="A359" s="36">
        <v>355</v>
      </c>
      <c r="B359" s="32"/>
      <c r="C359" s="33"/>
      <c r="D359" s="34"/>
      <c r="E359" s="36"/>
      <c r="F359" s="37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9"/>
    </row>
    <row r="360" spans="1:88" ht="18" customHeight="1">
      <c r="A360" s="31">
        <v>356</v>
      </c>
      <c r="B360" s="32"/>
      <c r="C360" s="33"/>
      <c r="D360" s="34"/>
      <c r="E360" s="31"/>
      <c r="F360" s="35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29"/>
    </row>
    <row r="361" spans="1:88" ht="18" customHeight="1">
      <c r="A361" s="36">
        <v>357</v>
      </c>
      <c r="B361" s="32"/>
      <c r="C361" s="33"/>
      <c r="D361" s="34"/>
      <c r="E361" s="36"/>
      <c r="F361" s="37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9"/>
    </row>
    <row r="362" spans="1:88" ht="18" customHeight="1">
      <c r="A362" s="31">
        <v>358</v>
      </c>
      <c r="B362" s="32"/>
      <c r="C362" s="33"/>
      <c r="D362" s="34"/>
      <c r="E362" s="31"/>
      <c r="F362" s="35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29"/>
    </row>
    <row r="363" spans="1:88" ht="18" customHeight="1">
      <c r="A363" s="36">
        <v>359</v>
      </c>
      <c r="B363" s="32"/>
      <c r="C363" s="33"/>
      <c r="D363" s="34"/>
      <c r="E363" s="36"/>
      <c r="F363" s="37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9"/>
    </row>
    <row r="364" spans="1:88" ht="18" customHeight="1">
      <c r="A364" s="31">
        <v>360</v>
      </c>
      <c r="B364" s="32"/>
      <c r="C364" s="33"/>
      <c r="D364" s="34"/>
      <c r="E364" s="31"/>
      <c r="F364" s="35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29"/>
    </row>
    <row r="365" spans="1:88" ht="18" customHeight="1">
      <c r="A365" s="36">
        <v>361</v>
      </c>
      <c r="B365" s="32"/>
      <c r="C365" s="33"/>
      <c r="D365" s="34"/>
      <c r="E365" s="36"/>
      <c r="F365" s="37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9"/>
    </row>
    <row r="366" spans="1:88" ht="18" customHeight="1">
      <c r="A366" s="31">
        <v>362</v>
      </c>
      <c r="B366" s="32"/>
      <c r="C366" s="33"/>
      <c r="D366" s="34"/>
      <c r="E366" s="31"/>
      <c r="F366" s="35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29"/>
    </row>
    <row r="367" spans="1:88" ht="18" customHeight="1">
      <c r="A367" s="36">
        <v>363</v>
      </c>
      <c r="B367" s="32"/>
      <c r="C367" s="33"/>
      <c r="D367" s="34"/>
      <c r="E367" s="36"/>
      <c r="F367" s="37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9"/>
    </row>
    <row r="368" spans="1:88" ht="18" customHeight="1">
      <c r="A368" s="31">
        <v>364</v>
      </c>
      <c r="B368" s="32"/>
      <c r="C368" s="33"/>
      <c r="D368" s="34"/>
      <c r="E368" s="31"/>
      <c r="F368" s="35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29"/>
    </row>
    <row r="369" spans="1:88" ht="18" customHeight="1">
      <c r="A369" s="36">
        <v>365</v>
      </c>
      <c r="B369" s="32"/>
      <c r="C369" s="33"/>
      <c r="D369" s="34"/>
      <c r="E369" s="36"/>
      <c r="F369" s="37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9"/>
    </row>
    <row r="370" spans="1:88" ht="18" customHeight="1">
      <c r="A370" s="31">
        <v>366</v>
      </c>
      <c r="B370" s="32"/>
      <c r="C370" s="33"/>
      <c r="D370" s="34"/>
      <c r="E370" s="31"/>
      <c r="F370" s="35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29"/>
    </row>
    <row r="371" spans="1:88" ht="18" customHeight="1">
      <c r="A371" s="36">
        <v>367</v>
      </c>
      <c r="B371" s="32"/>
      <c r="C371" s="33"/>
      <c r="D371" s="34"/>
      <c r="E371" s="36"/>
      <c r="F371" s="37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9"/>
    </row>
    <row r="372" spans="1:88" ht="18" customHeight="1">
      <c r="A372" s="31">
        <v>368</v>
      </c>
      <c r="B372" s="32"/>
      <c r="C372" s="33"/>
      <c r="D372" s="34"/>
      <c r="E372" s="31"/>
      <c r="F372" s="35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29"/>
    </row>
    <row r="373" spans="1:88" ht="18" customHeight="1">
      <c r="A373" s="36">
        <v>369</v>
      </c>
      <c r="B373" s="32"/>
      <c r="C373" s="33"/>
      <c r="D373" s="34"/>
      <c r="E373" s="36"/>
      <c r="F373" s="37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9"/>
    </row>
    <row r="374" spans="1:88" ht="18" customHeight="1">
      <c r="A374" s="31">
        <v>370</v>
      </c>
      <c r="B374" s="32"/>
      <c r="C374" s="33"/>
      <c r="D374" s="34"/>
      <c r="E374" s="31"/>
      <c r="F374" s="35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29"/>
    </row>
    <row r="375" spans="1:88" ht="18" customHeight="1">
      <c r="A375" s="36">
        <v>371</v>
      </c>
      <c r="B375" s="32"/>
      <c r="C375" s="33"/>
      <c r="D375" s="34"/>
      <c r="E375" s="36"/>
      <c r="F375" s="37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9"/>
    </row>
    <row r="376" spans="1:88" ht="18" customHeight="1">
      <c r="A376" s="31">
        <v>372</v>
      </c>
      <c r="B376" s="32"/>
      <c r="C376" s="33"/>
      <c r="D376" s="34"/>
      <c r="E376" s="31"/>
      <c r="F376" s="35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29"/>
    </row>
    <row r="377" spans="1:88" ht="18" customHeight="1">
      <c r="A377" s="36">
        <v>373</v>
      </c>
      <c r="B377" s="32"/>
      <c r="C377" s="33"/>
      <c r="D377" s="34"/>
      <c r="E377" s="36"/>
      <c r="F377" s="37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9"/>
    </row>
    <row r="378" spans="1:88" ht="18" customHeight="1">
      <c r="A378" s="31">
        <v>374</v>
      </c>
      <c r="B378" s="32"/>
      <c r="C378" s="33"/>
      <c r="D378" s="34"/>
      <c r="E378" s="31"/>
      <c r="F378" s="35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29"/>
    </row>
    <row r="379" spans="1:88" ht="18" customHeight="1">
      <c r="A379" s="36">
        <v>375</v>
      </c>
      <c r="B379" s="32"/>
      <c r="C379" s="33"/>
      <c r="D379" s="34"/>
      <c r="E379" s="36"/>
      <c r="F379" s="37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9"/>
    </row>
    <row r="380" spans="1:88" ht="18" customHeight="1">
      <c r="A380" s="31">
        <v>376</v>
      </c>
      <c r="B380" s="32"/>
      <c r="C380" s="33"/>
      <c r="D380" s="34"/>
      <c r="E380" s="31"/>
      <c r="F380" s="35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29"/>
    </row>
    <row r="381" spans="1:88" ht="18" customHeight="1">
      <c r="A381" s="36">
        <v>377</v>
      </c>
      <c r="B381" s="32"/>
      <c r="C381" s="33"/>
      <c r="D381" s="34"/>
      <c r="E381" s="36"/>
      <c r="F381" s="37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9"/>
    </row>
    <row r="382" spans="1:88" ht="18" customHeight="1">
      <c r="A382" s="31">
        <v>378</v>
      </c>
      <c r="B382" s="32"/>
      <c r="C382" s="33"/>
      <c r="D382" s="34"/>
      <c r="E382" s="31"/>
      <c r="F382" s="35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29"/>
    </row>
    <row r="383" spans="1:88" ht="18" customHeight="1">
      <c r="A383" s="36">
        <v>379</v>
      </c>
      <c r="B383" s="32"/>
      <c r="C383" s="33"/>
      <c r="D383" s="34"/>
      <c r="E383" s="36"/>
      <c r="F383" s="37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9"/>
    </row>
    <row r="384" spans="1:88" ht="18" customHeight="1">
      <c r="A384" s="31">
        <v>380</v>
      </c>
      <c r="B384" s="32"/>
      <c r="C384" s="33"/>
      <c r="D384" s="34"/>
      <c r="E384" s="31"/>
      <c r="F384" s="35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29"/>
    </row>
    <row r="385" spans="1:88" ht="18" customHeight="1">
      <c r="A385" s="36">
        <v>381</v>
      </c>
      <c r="B385" s="32"/>
      <c r="C385" s="33"/>
      <c r="D385" s="34"/>
      <c r="E385" s="36"/>
      <c r="F385" s="37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9"/>
    </row>
    <row r="386" spans="1:88" ht="18" customHeight="1">
      <c r="A386" s="31">
        <v>382</v>
      </c>
      <c r="B386" s="32"/>
      <c r="C386" s="33"/>
      <c r="D386" s="34"/>
      <c r="E386" s="31"/>
      <c r="F386" s="35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29"/>
    </row>
    <row r="387" spans="1:88" ht="18" customHeight="1">
      <c r="A387" s="36">
        <v>383</v>
      </c>
      <c r="B387" s="32"/>
      <c r="C387" s="33"/>
      <c r="D387" s="34"/>
      <c r="E387" s="36"/>
      <c r="F387" s="37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9"/>
    </row>
    <row r="388" spans="1:88" ht="18" customHeight="1">
      <c r="A388" s="31">
        <v>384</v>
      </c>
      <c r="B388" s="32"/>
      <c r="C388" s="33"/>
      <c r="D388" s="34"/>
      <c r="E388" s="31"/>
      <c r="F388" s="35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29"/>
    </row>
    <row r="389" spans="1:88" ht="18" customHeight="1">
      <c r="A389" s="36">
        <v>385</v>
      </c>
      <c r="B389" s="32"/>
      <c r="C389" s="33"/>
      <c r="D389" s="34"/>
      <c r="E389" s="36"/>
      <c r="F389" s="37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9"/>
    </row>
    <row r="390" spans="1:88" ht="18" customHeight="1">
      <c r="A390" s="31">
        <v>386</v>
      </c>
      <c r="B390" s="32"/>
      <c r="C390" s="33"/>
      <c r="D390" s="34"/>
      <c r="E390" s="31"/>
      <c r="F390" s="35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29"/>
    </row>
    <row r="391" spans="1:88" ht="18" customHeight="1">
      <c r="A391" s="36">
        <v>387</v>
      </c>
      <c r="B391" s="32"/>
      <c r="C391" s="33"/>
      <c r="D391" s="34"/>
      <c r="E391" s="36"/>
      <c r="F391" s="37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9"/>
    </row>
    <row r="392" spans="1:88" ht="18" customHeight="1">
      <c r="A392" s="31">
        <v>388</v>
      </c>
      <c r="B392" s="32"/>
      <c r="C392" s="33"/>
      <c r="D392" s="34"/>
      <c r="E392" s="31"/>
      <c r="F392" s="35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29"/>
    </row>
    <row r="393" spans="1:88" ht="18" customHeight="1">
      <c r="A393" s="36">
        <v>389</v>
      </c>
      <c r="B393" s="32"/>
      <c r="C393" s="33"/>
      <c r="D393" s="34"/>
      <c r="E393" s="36"/>
      <c r="F393" s="37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9"/>
    </row>
    <row r="394" spans="1:88" ht="18" customHeight="1">
      <c r="A394" s="31">
        <v>390</v>
      </c>
      <c r="B394" s="32"/>
      <c r="C394" s="33"/>
      <c r="D394" s="34"/>
      <c r="E394" s="31"/>
      <c r="F394" s="35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29"/>
    </row>
    <row r="395" spans="1:88" ht="18" customHeight="1">
      <c r="A395" s="36">
        <v>391</v>
      </c>
      <c r="B395" s="32"/>
      <c r="C395" s="33"/>
      <c r="D395" s="34"/>
      <c r="E395" s="36"/>
      <c r="F395" s="37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9"/>
    </row>
    <row r="396" spans="1:88" ht="18" customHeight="1">
      <c r="A396" s="31">
        <v>392</v>
      </c>
      <c r="B396" s="32"/>
      <c r="C396" s="33"/>
      <c r="D396" s="34"/>
      <c r="E396" s="31"/>
      <c r="F396" s="35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29"/>
    </row>
    <row r="397" spans="1:88" ht="18" customHeight="1">
      <c r="A397" s="36">
        <v>393</v>
      </c>
      <c r="B397" s="32"/>
      <c r="C397" s="33"/>
      <c r="D397" s="34"/>
      <c r="E397" s="36"/>
      <c r="F397" s="37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9"/>
    </row>
    <row r="398" spans="1:88" ht="18" customHeight="1">
      <c r="A398" s="31">
        <v>394</v>
      </c>
      <c r="B398" s="32"/>
      <c r="C398" s="33"/>
      <c r="D398" s="34"/>
      <c r="E398" s="31"/>
      <c r="F398" s="35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29"/>
    </row>
    <row r="399" spans="1:88" ht="18" customHeight="1">
      <c r="A399" s="36">
        <v>395</v>
      </c>
      <c r="B399" s="32"/>
      <c r="C399" s="33"/>
      <c r="D399" s="34"/>
      <c r="E399" s="36"/>
      <c r="F399" s="37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9"/>
    </row>
    <row r="400" spans="1:88" ht="18" customHeight="1">
      <c r="A400" s="31">
        <v>396</v>
      </c>
      <c r="B400" s="32"/>
      <c r="C400" s="33"/>
      <c r="D400" s="34"/>
      <c r="E400" s="31"/>
      <c r="F400" s="35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29"/>
    </row>
    <row r="401" spans="1:88" ht="18" customHeight="1">
      <c r="A401" s="36">
        <v>397</v>
      </c>
      <c r="B401" s="32"/>
      <c r="C401" s="33"/>
      <c r="D401" s="34"/>
      <c r="E401" s="36"/>
      <c r="F401" s="37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9"/>
    </row>
    <row r="402" spans="1:88" ht="18" customHeight="1">
      <c r="A402" s="31">
        <v>398</v>
      </c>
      <c r="B402" s="32"/>
      <c r="C402" s="33"/>
      <c r="D402" s="34"/>
      <c r="E402" s="31"/>
      <c r="F402" s="35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29"/>
    </row>
    <row r="403" spans="1:88" ht="18" customHeight="1">
      <c r="A403" s="36">
        <v>399</v>
      </c>
      <c r="B403" s="32"/>
      <c r="C403" s="33"/>
      <c r="D403" s="34"/>
      <c r="E403" s="36"/>
      <c r="F403" s="37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9"/>
    </row>
    <row r="404" spans="1:88" ht="18" customHeight="1">
      <c r="A404" s="31">
        <v>400</v>
      </c>
      <c r="B404" s="32"/>
      <c r="C404" s="33"/>
      <c r="D404" s="34"/>
      <c r="E404" s="31"/>
      <c r="F404" s="35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29"/>
    </row>
    <row r="405" spans="1:88" ht="18" customHeight="1">
      <c r="A405" s="36">
        <v>401</v>
      </c>
      <c r="B405" s="32"/>
      <c r="C405" s="33"/>
      <c r="D405" s="34"/>
      <c r="E405" s="36"/>
      <c r="F405" s="37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9"/>
    </row>
    <row r="406" spans="1:88" ht="18" customHeight="1">
      <c r="A406" s="31">
        <v>402</v>
      </c>
      <c r="B406" s="32"/>
      <c r="C406" s="33"/>
      <c r="D406" s="34"/>
      <c r="E406" s="31"/>
      <c r="F406" s="35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29"/>
    </row>
    <row r="407" spans="1:88" ht="18" customHeight="1">
      <c r="A407" s="36">
        <v>403</v>
      </c>
      <c r="B407" s="32"/>
      <c r="C407" s="33"/>
      <c r="D407" s="34"/>
      <c r="E407" s="36"/>
      <c r="F407" s="37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9"/>
    </row>
    <row r="408" spans="1:88" ht="18" customHeight="1">
      <c r="A408" s="31">
        <v>404</v>
      </c>
      <c r="B408" s="32"/>
      <c r="C408" s="33"/>
      <c r="D408" s="34"/>
      <c r="E408" s="31"/>
      <c r="F408" s="35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29"/>
    </row>
    <row r="409" spans="1:88" ht="18" customHeight="1">
      <c r="A409" s="36">
        <v>405</v>
      </c>
      <c r="B409" s="32"/>
      <c r="C409" s="33"/>
      <c r="D409" s="34"/>
      <c r="E409" s="36"/>
      <c r="F409" s="37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9"/>
    </row>
    <row r="410" spans="1:88" ht="18" customHeight="1">
      <c r="A410" s="31">
        <v>406</v>
      </c>
      <c r="B410" s="32"/>
      <c r="C410" s="33"/>
      <c r="D410" s="34"/>
      <c r="E410" s="31"/>
      <c r="F410" s="35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29"/>
    </row>
    <row r="411" spans="1:88" ht="18" customHeight="1">
      <c r="A411" s="36">
        <v>407</v>
      </c>
      <c r="B411" s="32"/>
      <c r="C411" s="33"/>
      <c r="D411" s="34"/>
      <c r="E411" s="36"/>
      <c r="F411" s="37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9"/>
    </row>
    <row r="412" spans="1:88" ht="18" customHeight="1">
      <c r="A412" s="31">
        <v>408</v>
      </c>
      <c r="B412" s="32"/>
      <c r="C412" s="33"/>
      <c r="D412" s="34"/>
      <c r="E412" s="31"/>
      <c r="F412" s="35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29"/>
    </row>
    <row r="413" spans="1:88" ht="18" customHeight="1">
      <c r="A413" s="36">
        <v>409</v>
      </c>
      <c r="B413" s="32"/>
      <c r="C413" s="33"/>
      <c r="D413" s="34"/>
      <c r="E413" s="36"/>
      <c r="F413" s="37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9"/>
    </row>
    <row r="414" spans="1:88" ht="18" customHeight="1">
      <c r="A414" s="31">
        <v>410</v>
      </c>
      <c r="B414" s="32"/>
      <c r="C414" s="33"/>
      <c r="D414" s="34"/>
      <c r="E414" s="31"/>
      <c r="F414" s="35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29"/>
    </row>
    <row r="415" spans="1:88" ht="18" customHeight="1">
      <c r="A415" s="36">
        <v>411</v>
      </c>
      <c r="B415" s="32"/>
      <c r="C415" s="33"/>
      <c r="D415" s="34"/>
      <c r="E415" s="36"/>
      <c r="F415" s="37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9"/>
    </row>
    <row r="416" spans="1:88" ht="18" customHeight="1">
      <c r="A416" s="31">
        <v>412</v>
      </c>
      <c r="B416" s="32"/>
      <c r="C416" s="33"/>
      <c r="D416" s="34"/>
      <c r="E416" s="31"/>
      <c r="F416" s="35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29"/>
    </row>
    <row r="417" spans="1:88" ht="18" customHeight="1">
      <c r="A417" s="36">
        <v>413</v>
      </c>
      <c r="B417" s="32"/>
      <c r="C417" s="33"/>
      <c r="D417" s="34"/>
      <c r="E417" s="36"/>
      <c r="F417" s="37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9"/>
    </row>
    <row r="418" spans="1:88" ht="18" customHeight="1">
      <c r="A418" s="31">
        <v>414</v>
      </c>
      <c r="B418" s="32"/>
      <c r="C418" s="33"/>
      <c r="D418" s="34"/>
      <c r="E418" s="31"/>
      <c r="F418" s="35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29"/>
    </row>
    <row r="419" spans="1:88" ht="18" customHeight="1">
      <c r="A419" s="36">
        <v>415</v>
      </c>
      <c r="B419" s="32"/>
      <c r="C419" s="33"/>
      <c r="D419" s="34"/>
      <c r="E419" s="36"/>
      <c r="F419" s="37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9"/>
    </row>
    <row r="420" spans="1:88" ht="18" customHeight="1">
      <c r="A420" s="31">
        <v>416</v>
      </c>
      <c r="B420" s="32"/>
      <c r="C420" s="33"/>
      <c r="D420" s="34"/>
      <c r="E420" s="31"/>
      <c r="F420" s="35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29"/>
    </row>
    <row r="421" spans="1:88" ht="18" customHeight="1">
      <c r="A421" s="36">
        <v>417</v>
      </c>
      <c r="B421" s="32"/>
      <c r="C421" s="33"/>
      <c r="D421" s="34"/>
      <c r="E421" s="36"/>
      <c r="F421" s="37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9"/>
    </row>
    <row r="422" spans="1:88" ht="18" customHeight="1">
      <c r="A422" s="31">
        <v>418</v>
      </c>
      <c r="B422" s="32"/>
      <c r="C422" s="33"/>
      <c r="D422" s="34"/>
      <c r="E422" s="31"/>
      <c r="F422" s="35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29"/>
    </row>
    <row r="423" spans="1:88" ht="18" customHeight="1">
      <c r="A423" s="36">
        <v>419</v>
      </c>
      <c r="B423" s="32"/>
      <c r="C423" s="33"/>
      <c r="D423" s="34"/>
      <c r="E423" s="36"/>
      <c r="F423" s="37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9"/>
    </row>
    <row r="424" spans="1:88" ht="18" customHeight="1">
      <c r="A424" s="31">
        <v>420</v>
      </c>
      <c r="B424" s="32"/>
      <c r="C424" s="33"/>
      <c r="D424" s="34"/>
      <c r="E424" s="31"/>
      <c r="F424" s="35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29"/>
    </row>
    <row r="425" spans="1:88" ht="18" customHeight="1">
      <c r="A425" s="36">
        <v>421</v>
      </c>
      <c r="B425" s="32"/>
      <c r="C425" s="33"/>
      <c r="D425" s="34"/>
      <c r="E425" s="36"/>
      <c r="F425" s="37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9"/>
    </row>
    <row r="426" spans="1:88" ht="18" customHeight="1">
      <c r="A426" s="31">
        <v>422</v>
      </c>
      <c r="B426" s="32"/>
      <c r="C426" s="33"/>
      <c r="D426" s="34"/>
      <c r="E426" s="31"/>
      <c r="F426" s="35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29"/>
    </row>
    <row r="427" spans="1:88" ht="18" customHeight="1">
      <c r="A427" s="36">
        <v>423</v>
      </c>
      <c r="B427" s="32"/>
      <c r="C427" s="33"/>
      <c r="D427" s="34"/>
      <c r="E427" s="36"/>
      <c r="F427" s="37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9"/>
    </row>
    <row r="428" spans="1:88" ht="18" customHeight="1">
      <c r="A428" s="31">
        <v>424</v>
      </c>
      <c r="B428" s="32"/>
      <c r="C428" s="33"/>
      <c r="D428" s="34"/>
      <c r="E428" s="31"/>
      <c r="F428" s="35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29"/>
    </row>
    <row r="429" spans="1:88" ht="18" customHeight="1">
      <c r="A429" s="36">
        <v>425</v>
      </c>
      <c r="B429" s="32"/>
      <c r="C429" s="33"/>
      <c r="D429" s="34"/>
      <c r="E429" s="36"/>
      <c r="F429" s="37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9"/>
    </row>
    <row r="430" spans="1:88" ht="18" customHeight="1">
      <c r="A430" s="31">
        <v>426</v>
      </c>
      <c r="B430" s="32"/>
      <c r="C430" s="33"/>
      <c r="D430" s="34"/>
      <c r="E430" s="31"/>
      <c r="F430" s="35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29"/>
    </row>
    <row r="431" spans="1:88" ht="18" customHeight="1">
      <c r="A431" s="36">
        <v>427</v>
      </c>
      <c r="B431" s="32"/>
      <c r="C431" s="33"/>
      <c r="D431" s="34"/>
      <c r="E431" s="36"/>
      <c r="F431" s="37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9"/>
    </row>
    <row r="432" spans="1:88" ht="18" customHeight="1">
      <c r="A432" s="31">
        <v>428</v>
      </c>
      <c r="B432" s="32"/>
      <c r="C432" s="33"/>
      <c r="D432" s="34"/>
      <c r="E432" s="31"/>
      <c r="F432" s="35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29"/>
    </row>
    <row r="433" spans="1:88" ht="18" customHeight="1">
      <c r="A433" s="36">
        <v>429</v>
      </c>
      <c r="B433" s="32"/>
      <c r="C433" s="33"/>
      <c r="D433" s="34"/>
      <c r="E433" s="36"/>
      <c r="F433" s="37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9"/>
    </row>
    <row r="434" spans="1:88" ht="18" customHeight="1">
      <c r="A434" s="31">
        <v>430</v>
      </c>
      <c r="B434" s="32"/>
      <c r="C434" s="33"/>
      <c r="D434" s="34"/>
      <c r="E434" s="31"/>
      <c r="F434" s="35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29"/>
    </row>
    <row r="435" spans="1:88" ht="18" customHeight="1">
      <c r="A435" s="36">
        <v>431</v>
      </c>
      <c r="B435" s="32"/>
      <c r="C435" s="33"/>
      <c r="D435" s="34"/>
      <c r="E435" s="36"/>
      <c r="F435" s="37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9"/>
    </row>
    <row r="436" spans="1:88" ht="18" customHeight="1">
      <c r="A436" s="31">
        <v>432</v>
      </c>
      <c r="B436" s="32"/>
      <c r="C436" s="33"/>
      <c r="D436" s="34"/>
      <c r="E436" s="31"/>
      <c r="F436" s="35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29"/>
    </row>
    <row r="437" spans="1:88" ht="18" customHeight="1">
      <c r="A437" s="36">
        <v>433</v>
      </c>
      <c r="B437" s="32"/>
      <c r="C437" s="33"/>
      <c r="D437" s="34"/>
      <c r="E437" s="36"/>
      <c r="F437" s="37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9"/>
    </row>
    <row r="438" spans="1:88" ht="18" customHeight="1">
      <c r="A438" s="31">
        <v>434</v>
      </c>
      <c r="B438" s="32"/>
      <c r="C438" s="33"/>
      <c r="D438" s="34"/>
      <c r="E438" s="31"/>
      <c r="F438" s="35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29"/>
    </row>
    <row r="439" spans="1:88" ht="18" customHeight="1">
      <c r="A439" s="36">
        <v>435</v>
      </c>
      <c r="B439" s="32"/>
      <c r="C439" s="33"/>
      <c r="D439" s="34"/>
      <c r="E439" s="36"/>
      <c r="F439" s="37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9"/>
    </row>
    <row r="440" spans="1:88" ht="18" customHeight="1">
      <c r="A440" s="31">
        <v>436</v>
      </c>
      <c r="B440" s="32"/>
      <c r="C440" s="33"/>
      <c r="D440" s="34"/>
      <c r="E440" s="31"/>
      <c r="F440" s="35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29"/>
    </row>
    <row r="441" spans="1:88" ht="18" customHeight="1">
      <c r="A441" s="36">
        <v>437</v>
      </c>
      <c r="B441" s="32"/>
      <c r="C441" s="33"/>
      <c r="D441" s="34"/>
      <c r="E441" s="36"/>
      <c r="F441" s="37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9"/>
    </row>
    <row r="442" spans="1:88" ht="18" customHeight="1">
      <c r="A442" s="31">
        <v>438</v>
      </c>
      <c r="B442" s="32"/>
      <c r="C442" s="33"/>
      <c r="D442" s="34"/>
      <c r="E442" s="31"/>
      <c r="F442" s="35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29"/>
    </row>
    <row r="443" spans="1:88" ht="18" customHeight="1">
      <c r="A443" s="36">
        <v>439</v>
      </c>
      <c r="B443" s="32"/>
      <c r="C443" s="33"/>
      <c r="D443" s="34"/>
      <c r="E443" s="36"/>
      <c r="F443" s="37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9"/>
    </row>
    <row r="444" spans="1:88" ht="18" customHeight="1">
      <c r="A444" s="31">
        <v>440</v>
      </c>
      <c r="B444" s="32"/>
      <c r="C444" s="33"/>
      <c r="D444" s="34"/>
      <c r="E444" s="31"/>
      <c r="F444" s="35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29"/>
    </row>
    <row r="445" spans="1:88" ht="18" customHeight="1">
      <c r="A445" s="36">
        <v>441</v>
      </c>
      <c r="B445" s="32"/>
      <c r="C445" s="33"/>
      <c r="D445" s="34"/>
      <c r="E445" s="36"/>
      <c r="F445" s="37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9"/>
    </row>
    <row r="446" spans="1:88" ht="18" customHeight="1">
      <c r="A446" s="31">
        <v>442</v>
      </c>
      <c r="B446" s="32"/>
      <c r="C446" s="33"/>
      <c r="D446" s="34"/>
      <c r="E446" s="31"/>
      <c r="F446" s="35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29"/>
    </row>
    <row r="447" spans="1:88" ht="18" customHeight="1">
      <c r="A447" s="36">
        <v>443</v>
      </c>
      <c r="B447" s="32"/>
      <c r="C447" s="33"/>
      <c r="D447" s="34"/>
      <c r="E447" s="36"/>
      <c r="F447" s="37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9"/>
    </row>
    <row r="448" spans="1:88" ht="18" customHeight="1">
      <c r="A448" s="31">
        <v>444</v>
      </c>
      <c r="B448" s="32"/>
      <c r="C448" s="33"/>
      <c r="D448" s="34"/>
      <c r="E448" s="31"/>
      <c r="F448" s="35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29"/>
    </row>
    <row r="449" spans="1:88" ht="18" customHeight="1">
      <c r="A449" s="36">
        <v>445</v>
      </c>
      <c r="B449" s="32"/>
      <c r="C449" s="33"/>
      <c r="D449" s="34"/>
      <c r="E449" s="36"/>
      <c r="F449" s="37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9"/>
    </row>
    <row r="450" spans="1:88" ht="18" customHeight="1">
      <c r="A450" s="31">
        <v>446</v>
      </c>
      <c r="B450" s="32"/>
      <c r="C450" s="33"/>
      <c r="D450" s="34"/>
      <c r="E450" s="31"/>
      <c r="F450" s="35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29"/>
    </row>
    <row r="451" spans="1:88" ht="18" customHeight="1">
      <c r="A451" s="36">
        <v>447</v>
      </c>
      <c r="B451" s="32"/>
      <c r="C451" s="33"/>
      <c r="D451" s="34"/>
      <c r="E451" s="36"/>
      <c r="F451" s="37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9"/>
    </row>
    <row r="452" spans="1:88" ht="18" customHeight="1">
      <c r="A452" s="31">
        <v>448</v>
      </c>
      <c r="B452" s="32"/>
      <c r="C452" s="33"/>
      <c r="D452" s="34"/>
      <c r="E452" s="31"/>
      <c r="F452" s="35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29"/>
    </row>
    <row r="453" spans="1:88" ht="18" customHeight="1">
      <c r="A453" s="36">
        <v>449</v>
      </c>
      <c r="B453" s="32"/>
      <c r="C453" s="33"/>
      <c r="D453" s="34"/>
      <c r="E453" s="36"/>
      <c r="F453" s="37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9"/>
    </row>
    <row r="454" spans="1:88" ht="18" customHeight="1">
      <c r="A454" s="31">
        <v>450</v>
      </c>
      <c r="B454" s="32"/>
      <c r="C454" s="33"/>
      <c r="D454" s="34"/>
      <c r="E454" s="31"/>
      <c r="F454" s="35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29"/>
    </row>
    <row r="455" spans="1:88" ht="18" customHeight="1">
      <c r="A455" s="36">
        <v>451</v>
      </c>
      <c r="B455" s="32"/>
      <c r="C455" s="33"/>
      <c r="D455" s="34"/>
      <c r="E455" s="36"/>
      <c r="F455" s="37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9"/>
    </row>
    <row r="456" spans="1:88" ht="18" customHeight="1">
      <c r="A456" s="31">
        <v>452</v>
      </c>
      <c r="B456" s="32"/>
      <c r="C456" s="33"/>
      <c r="D456" s="34"/>
      <c r="E456" s="31"/>
      <c r="F456" s="35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29"/>
    </row>
    <row r="457" spans="1:88" ht="18" customHeight="1">
      <c r="A457" s="36">
        <v>453</v>
      </c>
      <c r="B457" s="32"/>
      <c r="C457" s="33"/>
      <c r="D457" s="34"/>
      <c r="E457" s="36"/>
      <c r="F457" s="37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9"/>
    </row>
    <row r="458" spans="1:88" ht="18" customHeight="1">
      <c r="A458" s="31">
        <v>454</v>
      </c>
      <c r="B458" s="32"/>
      <c r="C458" s="33"/>
      <c r="D458" s="34"/>
      <c r="E458" s="31"/>
      <c r="F458" s="35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29"/>
    </row>
    <row r="459" spans="1:88" ht="18" customHeight="1">
      <c r="A459" s="36">
        <v>455</v>
      </c>
      <c r="B459" s="32"/>
      <c r="C459" s="33"/>
      <c r="D459" s="34"/>
      <c r="E459" s="36"/>
      <c r="F459" s="37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9"/>
    </row>
    <row r="460" spans="1:88" ht="18" customHeight="1">
      <c r="A460" s="31">
        <v>456</v>
      </c>
      <c r="B460" s="32"/>
      <c r="C460" s="33"/>
      <c r="D460" s="34"/>
      <c r="E460" s="31"/>
      <c r="F460" s="35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29"/>
    </row>
    <row r="461" spans="1:88" ht="18" customHeight="1">
      <c r="A461" s="36">
        <v>457</v>
      </c>
      <c r="B461" s="32"/>
      <c r="C461" s="33"/>
      <c r="D461" s="34"/>
      <c r="E461" s="36"/>
      <c r="F461" s="37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9"/>
    </row>
    <row r="462" spans="1:88" ht="18" customHeight="1">
      <c r="A462" s="31">
        <v>458</v>
      </c>
      <c r="B462" s="32"/>
      <c r="C462" s="33"/>
      <c r="D462" s="34"/>
      <c r="E462" s="31"/>
      <c r="F462" s="35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29"/>
    </row>
    <row r="463" spans="1:88" ht="18" customHeight="1">
      <c r="A463" s="36">
        <v>459</v>
      </c>
      <c r="B463" s="32"/>
      <c r="C463" s="33"/>
      <c r="D463" s="34"/>
      <c r="E463" s="36"/>
      <c r="F463" s="37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9"/>
    </row>
    <row r="464" spans="1:88" ht="18" customHeight="1">
      <c r="A464" s="31">
        <v>460</v>
      </c>
      <c r="B464" s="32"/>
      <c r="C464" s="33"/>
      <c r="D464" s="34"/>
      <c r="E464" s="31"/>
      <c r="F464" s="35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29"/>
    </row>
    <row r="465" spans="1:88" ht="18" customHeight="1">
      <c r="A465" s="36">
        <v>461</v>
      </c>
      <c r="B465" s="32"/>
      <c r="C465" s="33"/>
      <c r="D465" s="34"/>
      <c r="E465" s="36"/>
      <c r="F465" s="37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9"/>
    </row>
    <row r="466" spans="1:88" ht="18" customHeight="1">
      <c r="A466" s="31">
        <v>462</v>
      </c>
      <c r="B466" s="32"/>
      <c r="C466" s="33"/>
      <c r="D466" s="34"/>
      <c r="E466" s="31"/>
      <c r="F466" s="35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29"/>
    </row>
    <row r="467" spans="1:88" ht="18" customHeight="1">
      <c r="A467" s="36">
        <v>463</v>
      </c>
      <c r="B467" s="32"/>
      <c r="C467" s="33"/>
      <c r="D467" s="34"/>
      <c r="E467" s="36"/>
      <c r="F467" s="37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9"/>
    </row>
    <row r="468" spans="1:88" ht="18" customHeight="1">
      <c r="A468" s="31">
        <v>464</v>
      </c>
      <c r="B468" s="32"/>
      <c r="C468" s="33"/>
      <c r="D468" s="34"/>
      <c r="E468" s="31"/>
      <c r="F468" s="35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29"/>
    </row>
    <row r="469" spans="1:88" ht="18" customHeight="1">
      <c r="A469" s="36">
        <v>465</v>
      </c>
      <c r="B469" s="32"/>
      <c r="C469" s="33"/>
      <c r="D469" s="34"/>
      <c r="E469" s="36"/>
      <c r="F469" s="37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9"/>
    </row>
    <row r="470" spans="1:88" ht="18" customHeight="1">
      <c r="A470" s="31">
        <v>466</v>
      </c>
      <c r="B470" s="32"/>
      <c r="C470" s="33"/>
      <c r="D470" s="34"/>
      <c r="E470" s="31"/>
      <c r="F470" s="35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29"/>
    </row>
    <row r="471" spans="1:88" ht="18" customHeight="1">
      <c r="A471" s="36">
        <v>467</v>
      </c>
      <c r="B471" s="32"/>
      <c r="C471" s="33"/>
      <c r="D471" s="34"/>
      <c r="E471" s="36"/>
      <c r="F471" s="37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9"/>
    </row>
    <row r="472" spans="1:88" ht="18" customHeight="1">
      <c r="A472" s="31">
        <v>468</v>
      </c>
      <c r="B472" s="32"/>
      <c r="C472" s="33"/>
      <c r="D472" s="34"/>
      <c r="E472" s="31"/>
      <c r="F472" s="35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29"/>
    </row>
    <row r="473" spans="1:88" ht="18" customHeight="1">
      <c r="A473" s="36">
        <v>469</v>
      </c>
      <c r="B473" s="32"/>
      <c r="C473" s="33"/>
      <c r="D473" s="34"/>
      <c r="E473" s="36"/>
      <c r="F473" s="37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9"/>
    </row>
    <row r="474" spans="1:88" ht="18" customHeight="1">
      <c r="A474" s="31">
        <v>470</v>
      </c>
      <c r="B474" s="32"/>
      <c r="C474" s="33"/>
      <c r="D474" s="34"/>
      <c r="E474" s="31"/>
      <c r="F474" s="35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29"/>
    </row>
    <row r="475" spans="1:88" ht="18" customHeight="1">
      <c r="A475" s="36">
        <v>471</v>
      </c>
      <c r="B475" s="32"/>
      <c r="C475" s="33"/>
      <c r="D475" s="34"/>
      <c r="E475" s="36"/>
      <c r="F475" s="37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9"/>
    </row>
    <row r="476" spans="1:88" ht="18" customHeight="1">
      <c r="A476" s="31">
        <v>472</v>
      </c>
      <c r="B476" s="32"/>
      <c r="C476" s="33"/>
      <c r="D476" s="34"/>
      <c r="E476" s="31"/>
      <c r="F476" s="35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29"/>
    </row>
    <row r="477" spans="1:88" ht="18" customHeight="1">
      <c r="A477" s="36">
        <v>473</v>
      </c>
      <c r="B477" s="32"/>
      <c r="C477" s="33"/>
      <c r="D477" s="34"/>
      <c r="E477" s="36"/>
      <c r="F477" s="37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9"/>
    </row>
    <row r="478" spans="1:88" ht="18" customHeight="1">
      <c r="A478" s="31">
        <v>474</v>
      </c>
      <c r="B478" s="32"/>
      <c r="C478" s="33"/>
      <c r="D478" s="34"/>
      <c r="E478" s="31"/>
      <c r="F478" s="35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29"/>
    </row>
    <row r="479" spans="1:88" ht="18" customHeight="1">
      <c r="A479" s="36">
        <v>475</v>
      </c>
      <c r="B479" s="32"/>
      <c r="C479" s="33"/>
      <c r="D479" s="34"/>
      <c r="E479" s="36"/>
      <c r="F479" s="37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9"/>
    </row>
    <row r="480" spans="1:88" ht="18" customHeight="1">
      <c r="A480" s="31">
        <v>476</v>
      </c>
      <c r="B480" s="32"/>
      <c r="C480" s="33"/>
      <c r="D480" s="34"/>
      <c r="E480" s="31"/>
      <c r="F480" s="35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29"/>
    </row>
    <row r="481" spans="1:88" ht="18" customHeight="1">
      <c r="A481" s="36">
        <v>477</v>
      </c>
      <c r="B481" s="32"/>
      <c r="C481" s="33"/>
      <c r="D481" s="34"/>
      <c r="E481" s="36"/>
      <c r="F481" s="37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9"/>
    </row>
    <row r="482" spans="1:88" ht="18" customHeight="1">
      <c r="A482" s="31">
        <v>478</v>
      </c>
      <c r="B482" s="32"/>
      <c r="C482" s="33"/>
      <c r="D482" s="34"/>
      <c r="E482" s="31"/>
      <c r="F482" s="35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29"/>
    </row>
    <row r="483" spans="1:88" ht="18" customHeight="1">
      <c r="A483" s="36">
        <v>479</v>
      </c>
      <c r="B483" s="32"/>
      <c r="C483" s="33"/>
      <c r="D483" s="34"/>
      <c r="E483" s="36"/>
      <c r="F483" s="37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9"/>
    </row>
    <row r="484" spans="1:88" ht="18" customHeight="1">
      <c r="A484" s="31">
        <v>480</v>
      </c>
      <c r="B484" s="32"/>
      <c r="C484" s="33"/>
      <c r="D484" s="34"/>
      <c r="E484" s="31"/>
      <c r="F484" s="35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29"/>
    </row>
    <row r="485" spans="1:88" ht="18" customHeight="1">
      <c r="A485" s="36">
        <v>481</v>
      </c>
      <c r="B485" s="32"/>
      <c r="C485" s="33"/>
      <c r="D485" s="34"/>
      <c r="E485" s="36"/>
      <c r="F485" s="37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9"/>
    </row>
    <row r="486" spans="1:88" ht="18" customHeight="1">
      <c r="A486" s="31">
        <v>482</v>
      </c>
      <c r="B486" s="32"/>
      <c r="C486" s="33"/>
      <c r="D486" s="34"/>
      <c r="E486" s="31"/>
      <c r="F486" s="35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29"/>
    </row>
    <row r="487" spans="1:88" ht="18" customHeight="1">
      <c r="A487" s="36">
        <v>483</v>
      </c>
      <c r="B487" s="32"/>
      <c r="C487" s="33"/>
      <c r="D487" s="34"/>
      <c r="E487" s="36"/>
      <c r="F487" s="37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9"/>
    </row>
    <row r="488" spans="1:88" ht="18" customHeight="1">
      <c r="A488" s="31">
        <v>484</v>
      </c>
      <c r="B488" s="32"/>
      <c r="C488" s="33"/>
      <c r="D488" s="34"/>
      <c r="E488" s="31"/>
      <c r="F488" s="35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29"/>
    </row>
    <row r="489" spans="1:88" ht="18" customHeight="1">
      <c r="A489" s="36">
        <v>485</v>
      </c>
      <c r="B489" s="32"/>
      <c r="C489" s="33"/>
      <c r="D489" s="34"/>
      <c r="E489" s="36"/>
      <c r="F489" s="37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9"/>
    </row>
    <row r="490" spans="1:88" ht="18" customHeight="1">
      <c r="A490" s="31">
        <v>486</v>
      </c>
      <c r="B490" s="32"/>
      <c r="C490" s="33"/>
      <c r="D490" s="34"/>
      <c r="E490" s="31"/>
      <c r="F490" s="35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29"/>
    </row>
    <row r="491" spans="1:88" ht="18" customHeight="1">
      <c r="A491" s="36">
        <v>487</v>
      </c>
      <c r="B491" s="32"/>
      <c r="C491" s="33"/>
      <c r="D491" s="34"/>
      <c r="E491" s="36"/>
      <c r="F491" s="37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9"/>
    </row>
    <row r="492" spans="1:88" ht="18" customHeight="1">
      <c r="A492" s="31">
        <v>488</v>
      </c>
      <c r="B492" s="32"/>
      <c r="C492" s="33"/>
      <c r="D492" s="34"/>
      <c r="E492" s="31"/>
      <c r="F492" s="35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29"/>
    </row>
    <row r="493" spans="1:88" ht="18" customHeight="1">
      <c r="A493" s="36">
        <v>489</v>
      </c>
      <c r="B493" s="32"/>
      <c r="C493" s="33"/>
      <c r="D493" s="34"/>
      <c r="E493" s="36"/>
      <c r="F493" s="37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9"/>
    </row>
    <row r="494" spans="1:88" ht="18" customHeight="1">
      <c r="A494" s="31">
        <v>490</v>
      </c>
      <c r="B494" s="32"/>
      <c r="C494" s="33"/>
      <c r="D494" s="34"/>
      <c r="E494" s="31"/>
      <c r="F494" s="35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29"/>
    </row>
    <row r="495" spans="1:88" ht="18" customHeight="1">
      <c r="A495" s="36">
        <v>491</v>
      </c>
      <c r="B495" s="32"/>
      <c r="C495" s="33"/>
      <c r="D495" s="34"/>
      <c r="E495" s="36"/>
      <c r="F495" s="37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9"/>
    </row>
    <row r="496" spans="1:88" ht="18" customHeight="1">
      <c r="A496" s="31">
        <v>492</v>
      </c>
      <c r="B496" s="32"/>
      <c r="C496" s="33"/>
      <c r="D496" s="34"/>
      <c r="E496" s="31"/>
      <c r="F496" s="35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29"/>
    </row>
    <row r="497" spans="1:88" ht="18" customHeight="1">
      <c r="A497" s="36">
        <v>493</v>
      </c>
      <c r="B497" s="32"/>
      <c r="C497" s="33"/>
      <c r="D497" s="34"/>
      <c r="E497" s="36"/>
      <c r="F497" s="37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9"/>
    </row>
    <row r="498" spans="1:88" ht="18" customHeight="1">
      <c r="A498" s="31">
        <v>494</v>
      </c>
      <c r="B498" s="32"/>
      <c r="C498" s="33"/>
      <c r="D498" s="34"/>
      <c r="E498" s="31"/>
      <c r="F498" s="35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29"/>
    </row>
    <row r="499" spans="1:88" ht="18" customHeight="1">
      <c r="A499" s="36">
        <v>495</v>
      </c>
      <c r="B499" s="32"/>
      <c r="C499" s="33"/>
      <c r="D499" s="34"/>
      <c r="E499" s="36"/>
      <c r="F499" s="37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9"/>
    </row>
    <row r="500" spans="1:88" ht="18" customHeight="1">
      <c r="A500" s="31">
        <v>496</v>
      </c>
      <c r="B500" s="32"/>
      <c r="C500" s="33"/>
      <c r="D500" s="34"/>
      <c r="E500" s="31"/>
      <c r="F500" s="35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29"/>
    </row>
    <row r="501" spans="1:88" ht="18" customHeight="1">
      <c r="A501" s="36">
        <v>497</v>
      </c>
      <c r="B501" s="32"/>
      <c r="C501" s="33"/>
      <c r="D501" s="34"/>
      <c r="E501" s="36"/>
      <c r="F501" s="37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9"/>
    </row>
    <row r="502" spans="1:88" ht="18" customHeight="1">
      <c r="A502" s="31">
        <v>498</v>
      </c>
      <c r="B502" s="32"/>
      <c r="C502" s="33"/>
      <c r="D502" s="34"/>
      <c r="E502" s="31"/>
      <c r="F502" s="35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29"/>
    </row>
    <row r="503" spans="1:88" ht="18" customHeight="1">
      <c r="A503" s="36">
        <v>499</v>
      </c>
      <c r="B503" s="32"/>
      <c r="C503" s="33"/>
      <c r="D503" s="34"/>
      <c r="E503" s="36"/>
      <c r="F503" s="37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9"/>
    </row>
    <row r="504" spans="1:88" ht="18" customHeight="1">
      <c r="A504" s="31">
        <v>500</v>
      </c>
      <c r="B504" s="32"/>
      <c r="C504" s="33"/>
      <c r="D504" s="34"/>
      <c r="E504" s="31"/>
      <c r="F504" s="35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29"/>
    </row>
    <row r="505" spans="1:88" ht="24" customHeight="1">
      <c r="A505" s="183" t="s">
        <v>240</v>
      </c>
      <c r="B505" s="178"/>
      <c r="C505" s="178"/>
      <c r="D505" s="39"/>
      <c r="G505" s="40"/>
      <c r="H505" s="40"/>
      <c r="I505" s="40"/>
      <c r="J505" s="40"/>
      <c r="K505" s="40"/>
      <c r="L505" s="40"/>
      <c r="M505" s="40"/>
      <c r="N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</row>
  </sheetData>
  <mergeCells count="10">
    <mergeCell ref="A505:C505"/>
    <mergeCell ref="A1:CI1"/>
    <mergeCell ref="C3:C4"/>
    <mergeCell ref="B3:B4"/>
    <mergeCell ref="A3:A4"/>
    <mergeCell ref="E3:E4"/>
    <mergeCell ref="G3:CI3"/>
    <mergeCell ref="F3:F4"/>
    <mergeCell ref="D3:D4"/>
    <mergeCell ref="A2:CI2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zoomScaleNormal="100" workbookViewId="0"/>
  </sheetViews>
  <sheetFormatPr defaultColWidth="8.5" defaultRowHeight="16.5"/>
  <cols>
    <col min="1" max="1" width="5" customWidth="1"/>
    <col min="2" max="2" width="28" customWidth="1"/>
    <col min="3" max="10" width="13" customWidth="1"/>
  </cols>
  <sheetData>
    <row r="1" spans="1:10" ht="34.5" customHeight="1">
      <c r="A1" s="182" t="s">
        <v>241</v>
      </c>
      <c r="B1" s="178"/>
      <c r="C1" s="178"/>
      <c r="D1" s="178"/>
      <c r="E1" s="178"/>
      <c r="F1" s="178"/>
      <c r="G1" s="178"/>
      <c r="H1" s="178"/>
      <c r="I1" s="178"/>
      <c r="J1" s="178"/>
    </row>
    <row r="2" spans="1:10" ht="24" customHeight="1">
      <c r="A2" s="41" t="s">
        <v>242</v>
      </c>
      <c r="B2" s="192" t="s">
        <v>238</v>
      </c>
      <c r="C2" s="189"/>
      <c r="D2" s="191" t="s">
        <v>243</v>
      </c>
      <c r="E2" s="178"/>
      <c r="F2" s="178"/>
      <c r="G2" s="178"/>
      <c r="H2" s="178"/>
      <c r="I2" s="178"/>
      <c r="J2" s="178"/>
    </row>
    <row r="3" spans="1:10" ht="18" customHeight="1">
      <c r="A3" s="193" t="s">
        <v>244</v>
      </c>
      <c r="B3" s="178"/>
      <c r="C3" s="178"/>
      <c r="D3" s="178"/>
      <c r="E3" s="178"/>
      <c r="F3" s="178"/>
      <c r="G3" s="178"/>
      <c r="H3" s="178"/>
      <c r="I3" s="178"/>
      <c r="J3" s="178"/>
    </row>
    <row r="4" spans="1:10" ht="34.5" customHeight="1">
      <c r="A4" s="5" t="s">
        <v>46</v>
      </c>
      <c r="B4" s="6" t="s">
        <v>47</v>
      </c>
      <c r="C4" s="6" t="s">
        <v>245</v>
      </c>
      <c r="D4" s="6" t="s">
        <v>246</v>
      </c>
      <c r="E4" s="6" t="s">
        <v>247</v>
      </c>
      <c r="F4" s="6" t="s">
        <v>248</v>
      </c>
      <c r="G4" s="6" t="s">
        <v>249</v>
      </c>
      <c r="H4" s="6" t="s">
        <v>250</v>
      </c>
      <c r="I4" s="6" t="s">
        <v>251</v>
      </c>
      <c r="J4" s="6" t="s">
        <v>252</v>
      </c>
    </row>
    <row r="5" spans="1:10" ht="18" customHeight="1">
      <c r="A5" s="7">
        <v>1</v>
      </c>
      <c r="B5" s="12" t="s">
        <v>53</v>
      </c>
      <c r="C5" s="27">
        <v>14.64</v>
      </c>
      <c r="D5" s="43">
        <f>IFERROR(SUMIFS('📥 원재료 입고'!$E$4:$E$400,'📥 원재료 입고'!$K$4:$K$400,$B$2,'📥 원재료 입고'!$B$4:$B$400,B5),0)</f>
        <v>0</v>
      </c>
      <c r="E5" s="44">
        <f>IFERROR(SUMIFS('📥 원재료 입고'!$E$4:$E$400,'📥 원재료 입고'!$K$4:$K$400,$B$2,'📥 원재료 입고'!$B$4:$B$400,B5,'📥 원재료 입고'!$D$4:$D$400,"자체구매"),0)</f>
        <v>0</v>
      </c>
      <c r="F5" s="45">
        <f>IFERROR(SUMIFS('📥 원재료 입고'!$E$4:$E$400,'📥 원재료 입고'!$K$4:$K$400,$B$2,'📥 원재료 입고'!$B$4:$B$400,B5,'📥 원재료 입고'!$D$4:$D$400,"위탁공급"),0)</f>
        <v>0</v>
      </c>
      <c r="G5" s="46">
        <f>IFERROR(SUMIF('📦 일일 생산 입력'!$CL$5:$CL$505,$B$2,'📦 일일 생산 입력'!$G$5:$G$505),0)</f>
        <v>0.64</v>
      </c>
      <c r="H5" s="45">
        <f t="shared" ref="H5:H36" si="0">IFERROR(MAX(C5+D5-G5,0),"")</f>
        <v>14</v>
      </c>
      <c r="I5" s="45">
        <f>IFERROR('🏭 원료 마스터'!$C$4,"")</f>
        <v>0</v>
      </c>
      <c r="J5" s="44">
        <f t="shared" ref="J5:J36" si="1">IFERROR(G5*I5,"")</f>
        <v>0</v>
      </c>
    </row>
    <row r="6" spans="1:10" ht="18" customHeight="1">
      <c r="A6" s="11">
        <v>2</v>
      </c>
      <c r="B6" s="47" t="s">
        <v>55</v>
      </c>
      <c r="C6" s="27">
        <v>23.54</v>
      </c>
      <c r="D6" s="43">
        <f>IFERROR(SUMIFS('📥 원재료 입고'!$E$4:$E$400,'📥 원재료 입고'!$K$4:$K$400,$B$2,'📥 원재료 입고'!$B$4:$B$400,B6),0)</f>
        <v>0</v>
      </c>
      <c r="E6" s="44">
        <f>IFERROR(SUMIFS('📥 원재료 입고'!$E$4:$E$400,'📥 원재료 입고'!$K$4:$K$400,$B$2,'📥 원재료 입고'!$B$4:$B$400,B6,'📥 원재료 입고'!$D$4:$D$400,"자체구매"),0)</f>
        <v>0</v>
      </c>
      <c r="F6" s="45">
        <f>IFERROR(SUMIFS('📥 원재료 입고'!$E$4:$E$400,'📥 원재료 입고'!$K$4:$K$400,$B$2,'📥 원재료 입고'!$B$4:$B$400,B6,'📥 원재료 입고'!$D$4:$D$400,"위탁공급"),0)</f>
        <v>0</v>
      </c>
      <c r="G6" s="46">
        <f>IFERROR(SUMIF('📦 일일 생산 입력'!$CL$5:$CL$505,$B$2,'📦 일일 생산 입력'!$H$5:$H$505),0)</f>
        <v>3.5375000000000001</v>
      </c>
      <c r="H6" s="45">
        <f t="shared" si="0"/>
        <v>20.002499999999998</v>
      </c>
      <c r="I6" s="48">
        <f>IFERROR('🏭 원료 마스터'!$C$5,"")</f>
        <v>0</v>
      </c>
      <c r="J6" s="44">
        <f t="shared" si="1"/>
        <v>0</v>
      </c>
    </row>
    <row r="7" spans="1:10" ht="18" customHeight="1">
      <c r="A7" s="7">
        <v>3</v>
      </c>
      <c r="B7" s="12" t="s">
        <v>56</v>
      </c>
      <c r="C7" s="27">
        <v>0.25</v>
      </c>
      <c r="D7" s="43">
        <f>IFERROR(SUMIFS('📥 원재료 입고'!$E$4:$E$400,'📥 원재료 입고'!$K$4:$K$400,$B$2,'📥 원재료 입고'!$B$4:$B$400,B7),0)</f>
        <v>0</v>
      </c>
      <c r="E7" s="44">
        <f>IFERROR(SUMIFS('📥 원재료 입고'!$E$4:$E$400,'📥 원재료 입고'!$K$4:$K$400,$B$2,'📥 원재료 입고'!$B$4:$B$400,B7,'📥 원재료 입고'!$D$4:$D$400,"자체구매"),0)</f>
        <v>0</v>
      </c>
      <c r="F7" s="45">
        <f>IFERROR(SUMIFS('📥 원재료 입고'!$E$4:$E$400,'📥 원재료 입고'!$K$4:$K$400,$B$2,'📥 원재료 입고'!$B$4:$B$400,B7,'📥 원재료 입고'!$D$4:$D$400,"위탁공급"),0)</f>
        <v>0</v>
      </c>
      <c r="G7" s="46">
        <f>IFERROR(SUMIF('📦 일일 생산 입력'!$CL$5:$CL$505,$B$2,'📦 일일 생산 입력'!$I$5:$I$505),0)</f>
        <v>0.2475</v>
      </c>
      <c r="H7" s="45">
        <f t="shared" si="0"/>
        <v>2.5000000000000022E-3</v>
      </c>
      <c r="I7" s="45">
        <f>IFERROR('🏭 원료 마스터'!$C$6,"")</f>
        <v>0</v>
      </c>
      <c r="J7" s="44">
        <f t="shared" si="1"/>
        <v>0</v>
      </c>
    </row>
    <row r="8" spans="1:10" ht="18" customHeight="1">
      <c r="A8" s="11">
        <v>4</v>
      </c>
      <c r="B8" s="47" t="s">
        <v>57</v>
      </c>
      <c r="C8" s="27">
        <v>10.68</v>
      </c>
      <c r="D8" s="43">
        <f>IFERROR(SUMIFS('📥 원재료 입고'!$E$4:$E$400,'📥 원재료 입고'!$K$4:$K$400,$B$2,'📥 원재료 입고'!$B$4:$B$400,B8),0)</f>
        <v>0</v>
      </c>
      <c r="E8" s="44">
        <f>IFERROR(SUMIFS('📥 원재료 입고'!$E$4:$E$400,'📥 원재료 입고'!$K$4:$K$400,$B$2,'📥 원재료 입고'!$B$4:$B$400,B8,'📥 원재료 입고'!$D$4:$D$400,"자체구매"),0)</f>
        <v>0</v>
      </c>
      <c r="F8" s="45">
        <f>IFERROR(SUMIFS('📥 원재료 입고'!$E$4:$E$400,'📥 원재료 입고'!$K$4:$K$400,$B$2,'📥 원재료 입고'!$B$4:$B$400,B8,'📥 원재료 입고'!$D$4:$D$400,"위탁공급"),0)</f>
        <v>0</v>
      </c>
      <c r="G8" s="46">
        <f>IFERROR(SUMIF('📦 일일 생산 입력'!$CL$5:$CL$505,$B$2,'📦 일일 생산 입력'!$J$5:$J$505),0)</f>
        <v>0.68</v>
      </c>
      <c r="H8" s="45">
        <f t="shared" si="0"/>
        <v>10</v>
      </c>
      <c r="I8" s="48">
        <f>IFERROR('🏭 원료 마스터'!$C$7,"")</f>
        <v>0</v>
      </c>
      <c r="J8" s="44">
        <f t="shared" si="1"/>
        <v>0</v>
      </c>
    </row>
    <row r="9" spans="1:10" ht="18" customHeight="1">
      <c r="A9" s="7">
        <v>5</v>
      </c>
      <c r="B9" s="12" t="s">
        <v>58</v>
      </c>
      <c r="C9" s="27">
        <v>28.69</v>
      </c>
      <c r="D9" s="43">
        <f>IFERROR(SUMIFS('📥 원재료 입고'!$E$4:$E$400,'📥 원재료 입고'!$K$4:$K$400,$B$2,'📥 원재료 입고'!$B$4:$B$400,B9),0)</f>
        <v>0</v>
      </c>
      <c r="E9" s="44">
        <f>IFERROR(SUMIFS('📥 원재료 입고'!$E$4:$E$400,'📥 원재료 입고'!$K$4:$K$400,$B$2,'📥 원재료 입고'!$B$4:$B$400,B9,'📥 원재료 입고'!$D$4:$D$400,"자체구매"),0)</f>
        <v>0</v>
      </c>
      <c r="F9" s="45">
        <f>IFERROR(SUMIFS('📥 원재료 입고'!$E$4:$E$400,'📥 원재료 입고'!$K$4:$K$400,$B$2,'📥 원재료 입고'!$B$4:$B$400,B9,'📥 원재료 입고'!$D$4:$D$400,"위탁공급"),0)</f>
        <v>0</v>
      </c>
      <c r="G9" s="46">
        <f>IFERROR(SUMIF('📦 일일 생산 입력'!$CL$5:$CL$505,$B$2,'📦 일일 생산 입력'!$K$5:$K$505),0)</f>
        <v>3.6900000000000004</v>
      </c>
      <c r="H9" s="45">
        <f t="shared" si="0"/>
        <v>25</v>
      </c>
      <c r="I9" s="45">
        <f>IFERROR('🏭 원료 마스터'!$C$8,"")</f>
        <v>0</v>
      </c>
      <c r="J9" s="44">
        <f t="shared" si="1"/>
        <v>0</v>
      </c>
    </row>
    <row r="10" spans="1:10" ht="18" customHeight="1">
      <c r="A10" s="11">
        <v>6</v>
      </c>
      <c r="B10" s="47" t="s">
        <v>59</v>
      </c>
      <c r="C10" s="27">
        <v>9.02</v>
      </c>
      <c r="D10" s="43">
        <f>IFERROR(SUMIFS('📥 원재료 입고'!$E$4:$E$400,'📥 원재료 입고'!$K$4:$K$400,$B$2,'📥 원재료 입고'!$B$4:$B$400,B10),0)</f>
        <v>0</v>
      </c>
      <c r="E10" s="44">
        <f>IFERROR(SUMIFS('📥 원재료 입고'!$E$4:$E$400,'📥 원재료 입고'!$K$4:$K$400,$B$2,'📥 원재료 입고'!$B$4:$B$400,B10,'📥 원재료 입고'!$D$4:$D$400,"자체구매"),0)</f>
        <v>0</v>
      </c>
      <c r="F10" s="45">
        <f>IFERROR(SUMIFS('📥 원재료 입고'!$E$4:$E$400,'📥 원재료 입고'!$K$4:$K$400,$B$2,'📥 원재료 입고'!$B$4:$B$400,B10,'📥 원재료 입고'!$D$4:$D$400,"위탁공급"),0)</f>
        <v>0</v>
      </c>
      <c r="G10" s="46">
        <f>IFERROR(SUMIF('📦 일일 생산 입력'!$CL$5:$CL$505,$B$2,'📦 일일 생산 입력'!$L$5:$L$505),0)</f>
        <v>1.02</v>
      </c>
      <c r="H10" s="45">
        <f t="shared" si="0"/>
        <v>8</v>
      </c>
      <c r="I10" s="48">
        <f>IFERROR('🏭 원료 마스터'!$C$9,"")</f>
        <v>0</v>
      </c>
      <c r="J10" s="44">
        <f t="shared" si="1"/>
        <v>0</v>
      </c>
    </row>
    <row r="11" spans="1:10" ht="18" customHeight="1">
      <c r="A11" s="7">
        <v>7</v>
      </c>
      <c r="B11" s="12" t="s">
        <v>60</v>
      </c>
      <c r="C11" s="27">
        <v>0</v>
      </c>
      <c r="D11" s="43">
        <f>IFERROR(SUMIFS('📥 원재료 입고'!$E$4:$E$400,'📥 원재료 입고'!$K$4:$K$400,$B$2,'📥 원재료 입고'!$B$4:$B$400,B11),0)</f>
        <v>40</v>
      </c>
      <c r="E11" s="44">
        <f>IFERROR(SUMIFS('📥 원재료 입고'!$E$4:$E$400,'📥 원재료 입고'!$K$4:$K$400,$B$2,'📥 원재료 입고'!$B$4:$B$400,B11,'📥 원재료 입고'!$D$4:$D$400,"자체구매"),0)</f>
        <v>0</v>
      </c>
      <c r="F11" s="45">
        <f>IFERROR(SUMIFS('📥 원재료 입고'!$E$4:$E$400,'📥 원재료 입고'!$K$4:$K$400,$B$2,'📥 원재료 입고'!$B$4:$B$400,B11,'📥 원재료 입고'!$D$4:$D$400,"위탁공급"),0)</f>
        <v>40</v>
      </c>
      <c r="G11" s="46">
        <f>IFERROR(SUMIF('📦 일일 생산 입력'!$CL$5:$CL$505,$B$2,'📦 일일 생산 입력'!$M$5:$M$505),0)</f>
        <v>3.1375000000000002</v>
      </c>
      <c r="H11" s="45">
        <f t="shared" si="0"/>
        <v>36.862499999999997</v>
      </c>
      <c r="I11" s="45">
        <f>IFERROR('🏭 원료 마스터'!$C$10,"")</f>
        <v>8000</v>
      </c>
      <c r="J11" s="44">
        <f t="shared" si="1"/>
        <v>25100</v>
      </c>
    </row>
    <row r="12" spans="1:10" ht="18" customHeight="1">
      <c r="A12" s="11">
        <v>8</v>
      </c>
      <c r="B12" s="47" t="s">
        <v>61</v>
      </c>
      <c r="C12" s="27">
        <v>0</v>
      </c>
      <c r="D12" s="43">
        <f>IFERROR(SUMIFS('📥 원재료 입고'!$E$4:$E$400,'📥 원재료 입고'!$K$4:$K$400,$B$2,'📥 원재료 입고'!$B$4:$B$400,B12),0)</f>
        <v>0</v>
      </c>
      <c r="E12" s="44">
        <f>IFERROR(SUMIFS('📥 원재료 입고'!$E$4:$E$400,'📥 원재료 입고'!$K$4:$K$400,$B$2,'📥 원재료 입고'!$B$4:$B$400,B12,'📥 원재료 입고'!$D$4:$D$400,"자체구매"),0)</f>
        <v>0</v>
      </c>
      <c r="F12" s="45">
        <f>IFERROR(SUMIFS('📥 원재료 입고'!$E$4:$E$400,'📥 원재료 입고'!$K$4:$K$400,$B$2,'📥 원재료 입고'!$B$4:$B$400,B12,'📥 원재료 입고'!$D$4:$D$400,"위탁공급"),0)</f>
        <v>0</v>
      </c>
      <c r="G12" s="46">
        <f>IFERROR(SUMIF('📦 일일 생산 입력'!$CL$5:$CL$505,$B$2,'📦 일일 생산 입력'!$N$5:$N$505),0)</f>
        <v>0</v>
      </c>
      <c r="H12" s="45">
        <f t="shared" si="0"/>
        <v>0</v>
      </c>
      <c r="I12" s="48">
        <f>IFERROR('🏭 원료 마스터'!$C$11,"")</f>
        <v>0</v>
      </c>
      <c r="J12" s="44">
        <f t="shared" si="1"/>
        <v>0</v>
      </c>
    </row>
    <row r="13" spans="1:10" ht="18" customHeight="1">
      <c r="A13" s="11"/>
      <c r="B13" s="47" t="s">
        <v>62</v>
      </c>
      <c r="C13" s="27">
        <v>3.25</v>
      </c>
      <c r="D13" s="43">
        <f>IFERROR(SUMIFS('📥 원재료 입고'!$E$4:$E$400,'📥 원재료 입고'!$K$4:$K$400,$B$2,'📥 원재료 입고'!$B$4:$B$400,B13),0)</f>
        <v>4</v>
      </c>
      <c r="E13" s="44">
        <f>IFERROR(SUMIFS('📥 원재료 입고'!$E$4:$E$400,'📥 원재료 입고'!$K$4:$K$400,$B$2,'📥 원재료 입고'!$B$4:$B$400,B13,'📥 원재료 입고'!$D$4:$D$400,"자체구매"),0)</f>
        <v>4</v>
      </c>
      <c r="F13" s="45">
        <f>IFERROR(SUMIFS('📥 원재료 입고'!$E$4:$E$400,'📥 원재료 입고'!$K$4:$K$400,$B$2,'📥 원재료 입고'!$B$4:$B$400,B13,'📥 원재료 입고'!$D$4:$D$400,"위탁공급"),0)</f>
        <v>0</v>
      </c>
      <c r="G13" s="46">
        <f>IFERROR(SUMIF('📦 일일 생산 입력'!$CL$5:$CL$505,$B$2,'📦 일일 생산 입력'!$O$5:$O$505),0)</f>
        <v>5.5</v>
      </c>
      <c r="H13" s="45">
        <f t="shared" si="0"/>
        <v>1.75</v>
      </c>
      <c r="I13" s="48">
        <f>IFERROR('🏭 원료 마스터'!$C$85,"")</f>
        <v>0</v>
      </c>
      <c r="J13" s="44">
        <f t="shared" si="1"/>
        <v>0</v>
      </c>
    </row>
    <row r="14" spans="1:10" ht="18" customHeight="1">
      <c r="A14" s="7">
        <v>10</v>
      </c>
      <c r="B14" s="12" t="s">
        <v>63</v>
      </c>
      <c r="C14" s="27">
        <v>10.31</v>
      </c>
      <c r="D14" s="43">
        <f>IFERROR(SUMIFS('📥 원재료 입고'!$E$4:$E$400,'📥 원재료 입고'!$K$4:$K$400,$B$2,'📥 원재료 입고'!$B$4:$B$400,B14),0)</f>
        <v>0</v>
      </c>
      <c r="E14" s="44">
        <f>IFERROR(SUMIFS('📥 원재료 입고'!$E$4:$E$400,'📥 원재료 입고'!$K$4:$K$400,$B$2,'📥 원재료 입고'!$B$4:$B$400,B14,'📥 원재료 입고'!$D$4:$D$400,"자체구매"),0)</f>
        <v>0</v>
      </c>
      <c r="F14" s="45">
        <f>IFERROR(SUMIFS('📥 원재료 입고'!$E$4:$E$400,'📥 원재료 입고'!$K$4:$K$400,$B$2,'📥 원재료 입고'!$B$4:$B$400,B14,'📥 원재료 입고'!$D$4:$D$400,"위탁공급"),0)</f>
        <v>0</v>
      </c>
      <c r="G14" s="46">
        <f>IFERROR(SUMIF('📦 일일 생산 입력'!$CL$5:$CL$505,$B$2,'📦 일일 생산 입력'!$P$5:$P$505),0)</f>
        <v>10.208</v>
      </c>
      <c r="H14" s="45">
        <f t="shared" si="0"/>
        <v>0.10200000000000031</v>
      </c>
      <c r="I14" s="45">
        <f>IFERROR('🏭 원료 마스터'!$C$13,"")</f>
        <v>5500</v>
      </c>
      <c r="J14" s="44">
        <f t="shared" si="1"/>
        <v>56144</v>
      </c>
    </row>
    <row r="15" spans="1:10" ht="18" customHeight="1">
      <c r="A15" s="11">
        <v>11</v>
      </c>
      <c r="B15" s="47" t="s">
        <v>64</v>
      </c>
      <c r="C15" s="27">
        <v>5</v>
      </c>
      <c r="D15" s="43">
        <f>IFERROR(SUMIFS('📥 원재료 입고'!$E$4:$E$400,'📥 원재료 입고'!$K$4:$K$400,$B$2,'📥 원재료 입고'!$B$4:$B$400,B15),0)</f>
        <v>0</v>
      </c>
      <c r="E15" s="44">
        <f>IFERROR(SUMIFS('📥 원재료 입고'!$E$4:$E$400,'📥 원재료 입고'!$K$4:$K$400,$B$2,'📥 원재료 입고'!$B$4:$B$400,B15,'📥 원재료 입고'!$D$4:$D$400,"자체구매"),0)</f>
        <v>0</v>
      </c>
      <c r="F15" s="45">
        <f>IFERROR(SUMIFS('📥 원재료 입고'!$E$4:$E$400,'📥 원재료 입고'!$K$4:$K$400,$B$2,'📥 원재료 입고'!$B$4:$B$400,B15,'📥 원재료 입고'!$D$4:$D$400,"위탁공급"),0)</f>
        <v>0</v>
      </c>
      <c r="G15" s="46">
        <f>IFERROR(SUMIF('📦 일일 생산 입력'!$CL$5:$CL$505,$B$2,'📦 일일 생산 입력'!$Q$5:$Q$505),0)</f>
        <v>0</v>
      </c>
      <c r="H15" s="45">
        <f t="shared" si="0"/>
        <v>5</v>
      </c>
      <c r="I15" s="48">
        <f>IFERROR('🏭 원료 마스터'!$C$14,"")</f>
        <v>0</v>
      </c>
      <c r="J15" s="44">
        <f t="shared" si="1"/>
        <v>0</v>
      </c>
    </row>
    <row r="16" spans="1:10" ht="18" customHeight="1">
      <c r="A16" s="7">
        <v>12</v>
      </c>
      <c r="B16" s="12" t="s">
        <v>65</v>
      </c>
      <c r="C16" s="27">
        <v>1.98</v>
      </c>
      <c r="D16" s="43">
        <f>IFERROR(SUMIFS('📥 원재료 입고'!$E$4:$E$400,'📥 원재료 입고'!$K$4:$K$400,$B$2,'📥 원재료 입고'!$B$4:$B$400,B16),0)</f>
        <v>0</v>
      </c>
      <c r="E16" s="44">
        <f>IFERROR(SUMIFS('📥 원재료 입고'!$E$4:$E$400,'📥 원재료 입고'!$K$4:$K$400,$B$2,'📥 원재료 입고'!$B$4:$B$400,B16,'📥 원재료 입고'!$D$4:$D$400,"자체구매"),0)</f>
        <v>0</v>
      </c>
      <c r="F16" s="45">
        <f>IFERROR(SUMIFS('📥 원재료 입고'!$E$4:$E$400,'📥 원재료 입고'!$K$4:$K$400,$B$2,'📥 원재료 입고'!$B$4:$B$400,B16,'📥 원재료 입고'!$D$4:$D$400,"위탁공급"),0)</f>
        <v>0</v>
      </c>
      <c r="G16" s="46">
        <f>IFERROR(SUMIF('📦 일일 생산 입력'!$CL$5:$CL$505,$B$2,'📦 일일 생산 입력'!$R$5:$R$505),0)</f>
        <v>0.77</v>
      </c>
      <c r="H16" s="45">
        <f t="shared" si="0"/>
        <v>1.21</v>
      </c>
      <c r="I16" s="45">
        <f>IFERROR('🏭 원료 마스터'!$C$15,"")</f>
        <v>0</v>
      </c>
      <c r="J16" s="44">
        <f t="shared" si="1"/>
        <v>0</v>
      </c>
    </row>
    <row r="17" spans="1:10" ht="18" customHeight="1">
      <c r="A17" s="11">
        <v>13</v>
      </c>
      <c r="B17" s="47" t="s">
        <v>66</v>
      </c>
      <c r="C17" s="27">
        <v>0</v>
      </c>
      <c r="D17" s="43">
        <f>IFERROR(SUMIFS('📥 원재료 입고'!$E$4:$E$400,'📥 원재료 입고'!$K$4:$K$400,$B$2,'📥 원재료 입고'!$B$4:$B$400,B17),0)</f>
        <v>0</v>
      </c>
      <c r="E17" s="44">
        <f>IFERROR(SUMIFS('📥 원재료 입고'!$E$4:$E$400,'📥 원재료 입고'!$K$4:$K$400,$B$2,'📥 원재료 입고'!$B$4:$B$400,B17,'📥 원재료 입고'!$D$4:$D$400,"자체구매"),0)</f>
        <v>0</v>
      </c>
      <c r="F17" s="45">
        <f>IFERROR(SUMIFS('📥 원재료 입고'!$E$4:$E$400,'📥 원재료 입고'!$K$4:$K$400,$B$2,'📥 원재료 입고'!$B$4:$B$400,B17,'📥 원재료 입고'!$D$4:$D$400,"위탁공급"),0)</f>
        <v>0</v>
      </c>
      <c r="G17" s="46">
        <f>IFERROR(SUMIF('📦 일일 생산 입력'!$CL$5:$CL$505,$B$2,'📦 일일 생산 입력'!$S$5:$S$505),0)</f>
        <v>0</v>
      </c>
      <c r="H17" s="45">
        <f t="shared" si="0"/>
        <v>0</v>
      </c>
      <c r="I17" s="48">
        <f>IFERROR('🏭 원료 마스터'!$C$16,"")</f>
        <v>0</v>
      </c>
      <c r="J17" s="44">
        <f t="shared" si="1"/>
        <v>0</v>
      </c>
    </row>
    <row r="18" spans="1:10" ht="18" customHeight="1">
      <c r="A18" s="7">
        <v>14</v>
      </c>
      <c r="B18" s="12" t="s">
        <v>67</v>
      </c>
      <c r="C18" s="27">
        <v>0</v>
      </c>
      <c r="D18" s="43">
        <f>IFERROR(SUMIFS('📥 원재료 입고'!$E$4:$E$400,'📥 원재료 입고'!$K$4:$K$400,$B$2,'📥 원재료 입고'!$B$4:$B$400,B18),0)</f>
        <v>0</v>
      </c>
      <c r="E18" s="44">
        <f>IFERROR(SUMIFS('📥 원재료 입고'!$E$4:$E$400,'📥 원재료 입고'!$K$4:$K$400,$B$2,'📥 원재료 입고'!$B$4:$B$400,B18,'📥 원재료 입고'!$D$4:$D$400,"자체구매"),0)</f>
        <v>0</v>
      </c>
      <c r="F18" s="45">
        <f>IFERROR(SUMIFS('📥 원재료 입고'!$E$4:$E$400,'📥 원재료 입고'!$K$4:$K$400,$B$2,'📥 원재료 입고'!$B$4:$B$400,B18,'📥 원재료 입고'!$D$4:$D$400,"위탁공급"),0)</f>
        <v>0</v>
      </c>
      <c r="G18" s="46">
        <f>IFERROR(SUMIF('📦 일일 생산 입력'!$CL$5:$CL$505,$B$2,'📦 일일 생산 입력'!$T$5:$T$505),0)</f>
        <v>0</v>
      </c>
      <c r="H18" s="45">
        <f t="shared" si="0"/>
        <v>0</v>
      </c>
      <c r="I18" s="45">
        <f>IFERROR('🏭 원료 마스터'!$C$17,"")</f>
        <v>0</v>
      </c>
      <c r="J18" s="44">
        <f t="shared" si="1"/>
        <v>0</v>
      </c>
    </row>
    <row r="19" spans="1:10" ht="18" customHeight="1">
      <c r="A19" s="11">
        <v>15</v>
      </c>
      <c r="B19" s="47" t="s">
        <v>68</v>
      </c>
      <c r="C19" s="27">
        <v>0</v>
      </c>
      <c r="D19" s="43">
        <f>IFERROR(SUMIFS('📥 원재료 입고'!$E$4:$E$400,'📥 원재료 입고'!$K$4:$K$400,$B$2,'📥 원재료 입고'!$B$4:$B$400,B19),0)</f>
        <v>154</v>
      </c>
      <c r="E19" s="44">
        <f>IFERROR(SUMIFS('📥 원재료 입고'!$E$4:$E$400,'📥 원재료 입고'!$K$4:$K$400,$B$2,'📥 원재료 입고'!$B$4:$B$400,B19,'📥 원재료 입고'!$D$4:$D$400,"자체구매"),0)</f>
        <v>154</v>
      </c>
      <c r="F19" s="45">
        <f>IFERROR(SUMIFS('📥 원재료 입고'!$E$4:$E$400,'📥 원재료 입고'!$K$4:$K$400,$B$2,'📥 원재료 입고'!$B$4:$B$400,B19,'📥 원재료 입고'!$D$4:$D$400,"위탁공급"),0)</f>
        <v>0</v>
      </c>
      <c r="G19" s="46">
        <f>IFERROR(SUMIF('📦 일일 생산 입력'!$CL$5:$CL$505,$B$2,'📦 일일 생산 입력'!$U$5:$U$505),0)</f>
        <v>46.622</v>
      </c>
      <c r="H19" s="45">
        <f t="shared" si="0"/>
        <v>107.378</v>
      </c>
      <c r="I19" s="48">
        <f>IFERROR('🏭 원료 마스터'!$C$18,"")</f>
        <v>8291.2999999999993</v>
      </c>
      <c r="J19" s="44">
        <f t="shared" si="1"/>
        <v>386556.98859999998</v>
      </c>
    </row>
    <row r="20" spans="1:10" ht="18" customHeight="1">
      <c r="A20" s="7">
        <v>16</v>
      </c>
      <c r="B20" s="12" t="s">
        <v>69</v>
      </c>
      <c r="C20" s="27">
        <v>10.61</v>
      </c>
      <c r="D20" s="43">
        <f>IFERROR(SUMIFS('📥 원재료 입고'!$E$4:$E$400,'📥 원재료 입고'!$K$4:$K$400,$B$2,'📥 원재료 입고'!$B$4:$B$400,B20),0)</f>
        <v>0</v>
      </c>
      <c r="E20" s="44">
        <f>IFERROR(SUMIFS('📥 원재료 입고'!$E$4:$E$400,'📥 원재료 입고'!$K$4:$K$400,$B$2,'📥 원재료 입고'!$B$4:$B$400,B20,'📥 원재료 입고'!$D$4:$D$400,"자체구매"),0)</f>
        <v>0</v>
      </c>
      <c r="F20" s="45">
        <f>IFERROR(SUMIFS('📥 원재료 입고'!$E$4:$E$400,'📥 원재료 입고'!$K$4:$K$400,$B$2,'📥 원재료 입고'!$B$4:$B$400,B20,'📥 원재료 입고'!$D$4:$D$400,"위탁공급"),0)</f>
        <v>0</v>
      </c>
      <c r="G20" s="46">
        <f>IFERROR(SUMIF('📦 일일 생산 입력'!$CL$5:$CL$505,$B$2,'📦 일일 생산 입력'!$V$5:$V$505),0)</f>
        <v>16.608000000000001</v>
      </c>
      <c r="H20" s="45">
        <f t="shared" si="0"/>
        <v>0</v>
      </c>
      <c r="I20" s="45">
        <f>IFERROR('🏭 원료 마스터'!$C$19,"")</f>
        <v>12900</v>
      </c>
      <c r="J20" s="44">
        <f t="shared" si="1"/>
        <v>214243.20000000001</v>
      </c>
    </row>
    <row r="21" spans="1:10" ht="18" customHeight="1">
      <c r="A21" s="11">
        <v>17</v>
      </c>
      <c r="B21" s="47" t="s">
        <v>70</v>
      </c>
      <c r="C21" s="27">
        <v>71.069999999999993</v>
      </c>
      <c r="D21" s="43">
        <f>IFERROR(SUMIFS('📥 원재료 입고'!$E$4:$E$400,'📥 원재료 입고'!$K$4:$K$400,$B$2,'📥 원재료 입고'!$B$4:$B$400,B21),0)</f>
        <v>0</v>
      </c>
      <c r="E21" s="44">
        <f>IFERROR(SUMIFS('📥 원재료 입고'!$E$4:$E$400,'📥 원재료 입고'!$K$4:$K$400,$B$2,'📥 원재료 입고'!$B$4:$B$400,B21,'📥 원재료 입고'!$D$4:$D$400,"자체구매"),0)</f>
        <v>0</v>
      </c>
      <c r="F21" s="45">
        <f>IFERROR(SUMIFS('📥 원재료 입고'!$E$4:$E$400,'📥 원재료 입고'!$K$4:$K$400,$B$2,'📥 원재료 입고'!$B$4:$B$400,B21,'📥 원재료 입고'!$D$4:$D$400,"위탁공급"),0)</f>
        <v>0</v>
      </c>
      <c r="G21" s="46">
        <f>IFERROR(SUMIF('📦 일일 생산 입력'!$CL$5:$CL$505,$B$2,'📦 일일 생산 입력'!$W$5:$W$505),0)</f>
        <v>26.07</v>
      </c>
      <c r="H21" s="45">
        <f t="shared" si="0"/>
        <v>44.999999999999993</v>
      </c>
      <c r="I21" s="48">
        <f>IFERROR('🏭 원료 마스터'!$C$20,"")</f>
        <v>0</v>
      </c>
      <c r="J21" s="44">
        <f t="shared" si="1"/>
        <v>0</v>
      </c>
    </row>
    <row r="22" spans="1:10" ht="18" customHeight="1">
      <c r="A22" s="7">
        <v>18</v>
      </c>
      <c r="B22" s="12" t="s">
        <v>71</v>
      </c>
      <c r="C22" s="27">
        <v>27.46</v>
      </c>
      <c r="D22" s="43">
        <f>IFERROR(SUMIFS('📥 원재료 입고'!$E$4:$E$400,'📥 원재료 입고'!$K$4:$K$400,$B$2,'📥 원재료 입고'!$B$4:$B$400,B22),0)</f>
        <v>30</v>
      </c>
      <c r="E22" s="44">
        <f>IFERROR(SUMIFS('📥 원재료 입고'!$E$4:$E$400,'📥 원재료 입고'!$K$4:$K$400,$B$2,'📥 원재료 입고'!$B$4:$B$400,B22,'📥 원재료 입고'!$D$4:$D$400,"자체구매"),0)</f>
        <v>30</v>
      </c>
      <c r="F22" s="45">
        <f>IFERROR(SUMIFS('📥 원재료 입고'!$E$4:$E$400,'📥 원재료 입고'!$K$4:$K$400,$B$2,'📥 원재료 입고'!$B$4:$B$400,B22,'📥 원재료 입고'!$D$4:$D$400,"위탁공급"),0)</f>
        <v>0</v>
      </c>
      <c r="G22" s="46">
        <f>IFERROR(SUMIF('📦 일일 생산 입력'!$CL$5:$CL$505,$B$2,'📦 일일 생산 입력'!$X$5:$X$505),0)</f>
        <v>34.54</v>
      </c>
      <c r="H22" s="45">
        <f t="shared" si="0"/>
        <v>22.92</v>
      </c>
      <c r="I22" s="45">
        <f>IFERROR('🏭 원료 마스터'!$C$21,"")</f>
        <v>7800</v>
      </c>
      <c r="J22" s="44">
        <f t="shared" si="1"/>
        <v>269412</v>
      </c>
    </row>
    <row r="23" spans="1:10" ht="18" customHeight="1">
      <c r="A23" s="11">
        <v>19</v>
      </c>
      <c r="B23" s="47" t="s">
        <v>72</v>
      </c>
      <c r="C23" s="27">
        <v>2.25</v>
      </c>
      <c r="D23" s="43">
        <f>IFERROR(SUMIFS('📥 원재료 입고'!$E$4:$E$400,'📥 원재료 입고'!$K$4:$K$400,$B$2,'📥 원재료 입고'!$B$4:$B$400,B23),0)</f>
        <v>0</v>
      </c>
      <c r="E23" s="44">
        <f>IFERROR(SUMIFS('📥 원재료 입고'!$E$4:$E$400,'📥 원재료 입고'!$K$4:$K$400,$B$2,'📥 원재료 입고'!$B$4:$B$400,B23,'📥 원재료 입고'!$D$4:$D$400,"자체구매"),0)</f>
        <v>0</v>
      </c>
      <c r="F23" s="45">
        <f>IFERROR(SUMIFS('📥 원재료 입고'!$E$4:$E$400,'📥 원재료 입고'!$K$4:$K$400,$B$2,'📥 원재료 입고'!$B$4:$B$400,B23,'📥 원재료 입고'!$D$4:$D$400,"위탁공급"),0)</f>
        <v>0</v>
      </c>
      <c r="G23" s="46">
        <f>IFERROR(SUMIF('📦 일일 생산 입력'!$CL$5:$CL$505,$B$2,'📦 일일 생산 입력'!$Y$5:$Y$505),0)</f>
        <v>2.25</v>
      </c>
      <c r="H23" s="45">
        <f t="shared" si="0"/>
        <v>0</v>
      </c>
      <c r="I23" s="48">
        <f>IFERROR('🏭 원료 마스터'!$C$22,"")</f>
        <v>0</v>
      </c>
      <c r="J23" s="44">
        <f t="shared" si="1"/>
        <v>0</v>
      </c>
    </row>
    <row r="24" spans="1:10" ht="18" customHeight="1">
      <c r="A24" s="7">
        <v>20</v>
      </c>
      <c r="B24" s="12" t="s">
        <v>73</v>
      </c>
      <c r="C24" s="27">
        <v>13.71</v>
      </c>
      <c r="D24" s="43">
        <f>IFERROR(SUMIFS('📥 원재료 입고'!$E$4:$E$400,'📥 원재료 입고'!$K$4:$K$400,$B$2,'📥 원재료 입고'!$B$4:$B$400,B24),0)</f>
        <v>2</v>
      </c>
      <c r="E24" s="44">
        <f>IFERROR(SUMIFS('📥 원재료 입고'!$E$4:$E$400,'📥 원재료 입고'!$K$4:$K$400,$B$2,'📥 원재료 입고'!$B$4:$B$400,B24,'📥 원재료 입고'!$D$4:$D$400,"자체구매"),0)</f>
        <v>2</v>
      </c>
      <c r="F24" s="45">
        <f>IFERROR(SUMIFS('📥 원재료 입고'!$E$4:$E$400,'📥 원재료 입고'!$K$4:$K$400,$B$2,'📥 원재료 입고'!$B$4:$B$400,B24,'📥 원재료 입고'!$D$4:$D$400,"위탁공급"),0)</f>
        <v>0</v>
      </c>
      <c r="G24" s="46">
        <f>IFERROR(SUMIF('📦 일일 생산 입력'!$CL$5:$CL$505,$B$2,'📦 일일 생산 입력'!$Z$5:$Z$505),0)</f>
        <v>15.708</v>
      </c>
      <c r="H24" s="45">
        <f t="shared" si="0"/>
        <v>2.0000000000006679E-3</v>
      </c>
      <c r="I24" s="45">
        <f>IFERROR('🏭 원료 마스터'!$C$23,"")</f>
        <v>32453.33</v>
      </c>
      <c r="J24" s="44">
        <f t="shared" si="1"/>
        <v>509776.90764000005</v>
      </c>
    </row>
    <row r="25" spans="1:10" ht="18" customHeight="1">
      <c r="A25" s="11">
        <v>21</v>
      </c>
      <c r="B25" s="47" t="s">
        <v>74</v>
      </c>
      <c r="C25" s="27">
        <v>18.71</v>
      </c>
      <c r="D25" s="43">
        <f>IFERROR(SUMIFS('📥 원재료 입고'!$E$4:$E$400,'📥 원재료 입고'!$K$4:$K$400,$B$2,'📥 원재료 입고'!$B$4:$B$400,B25),0)</f>
        <v>1</v>
      </c>
      <c r="E25" s="44">
        <f>IFERROR(SUMIFS('📥 원재료 입고'!$E$4:$E$400,'📥 원재료 입고'!$K$4:$K$400,$B$2,'📥 원재료 입고'!$B$4:$B$400,B25,'📥 원재료 입고'!$D$4:$D$400,"자체구매"),0)</f>
        <v>1</v>
      </c>
      <c r="F25" s="45">
        <f>IFERROR(SUMIFS('📥 원재료 입고'!$E$4:$E$400,'📥 원재료 입고'!$K$4:$K$400,$B$2,'📥 원재료 입고'!$B$4:$B$400,B25,'📥 원재료 입고'!$D$4:$D$400,"위탁공급"),0)</f>
        <v>0</v>
      </c>
      <c r="G25" s="46">
        <f>IFERROR(SUMIF('📦 일일 생산 입력'!$CL$5:$CL$505,$B$2,'📦 일일 생산 입력'!$AA$5:$AA$505),0)</f>
        <v>7.8540000000000001</v>
      </c>
      <c r="H25" s="45">
        <f t="shared" si="0"/>
        <v>11.856000000000002</v>
      </c>
      <c r="I25" s="48">
        <f>IFERROR('🏭 원료 마스터'!$C$24,"")</f>
        <v>23900</v>
      </c>
      <c r="J25" s="44">
        <f t="shared" si="1"/>
        <v>187710.6</v>
      </c>
    </row>
    <row r="26" spans="1:10" ht="18" customHeight="1">
      <c r="A26" s="7">
        <v>22</v>
      </c>
      <c r="B26" s="12" t="s">
        <v>75</v>
      </c>
      <c r="C26" s="27">
        <v>15.06</v>
      </c>
      <c r="D26" s="43">
        <f>IFERROR(SUMIFS('📥 원재료 입고'!$E$4:$E$400,'📥 원재료 입고'!$K$4:$K$400,$B$2,'📥 원재료 입고'!$B$4:$B$400,B26),0)</f>
        <v>0</v>
      </c>
      <c r="E26" s="44">
        <f>IFERROR(SUMIFS('📥 원재료 입고'!$E$4:$E$400,'📥 원재료 입고'!$K$4:$K$400,$B$2,'📥 원재료 입고'!$B$4:$B$400,B26,'📥 원재료 입고'!$D$4:$D$400,"자체구매"),0)</f>
        <v>0</v>
      </c>
      <c r="F26" s="45">
        <f>IFERROR(SUMIFS('📥 원재료 입고'!$E$4:$E$400,'📥 원재료 입고'!$K$4:$K$400,$B$2,'📥 원재료 입고'!$B$4:$B$400,B26,'📥 원재료 입고'!$D$4:$D$400,"위탁공급"),0)</f>
        <v>0</v>
      </c>
      <c r="G26" s="46">
        <f>IFERROR(SUMIF('📦 일일 생산 입력'!$CL$5:$CL$505,$B$2,'📦 일일 생산 입력'!$AB$5:$AB$505),0)</f>
        <v>3.8475000000000001</v>
      </c>
      <c r="H26" s="45">
        <f t="shared" si="0"/>
        <v>11.2125</v>
      </c>
      <c r="I26" s="45">
        <f>IFERROR('🏭 원료 마스터'!$C$25,"")</f>
        <v>0</v>
      </c>
      <c r="J26" s="44">
        <f t="shared" si="1"/>
        <v>0</v>
      </c>
    </row>
    <row r="27" spans="1:10" ht="18" customHeight="1">
      <c r="A27" s="11">
        <v>23</v>
      </c>
      <c r="B27" s="47" t="s">
        <v>76</v>
      </c>
      <c r="C27" s="27">
        <v>2</v>
      </c>
      <c r="D27" s="43">
        <f>IFERROR(SUMIFS('📥 원재료 입고'!$E$4:$E$400,'📥 원재료 입고'!$K$4:$K$400,$B$2,'📥 원재료 입고'!$B$4:$B$400,B27),0)</f>
        <v>0</v>
      </c>
      <c r="E27" s="44">
        <f>IFERROR(SUMIFS('📥 원재료 입고'!$E$4:$E$400,'📥 원재료 입고'!$K$4:$K$400,$B$2,'📥 원재료 입고'!$B$4:$B$400,B27,'📥 원재료 입고'!$D$4:$D$400,"자체구매"),0)</f>
        <v>0</v>
      </c>
      <c r="F27" s="45">
        <f>IFERROR(SUMIFS('📥 원재료 입고'!$E$4:$E$400,'📥 원재료 입고'!$K$4:$K$400,$B$2,'📥 원재료 입고'!$B$4:$B$400,B27,'📥 원재료 입고'!$D$4:$D$400,"위탁공급"),0)</f>
        <v>0</v>
      </c>
      <c r="G27" s="46">
        <f>IFERROR(SUMIF('📦 일일 생산 입력'!$CL$5:$CL$505,$B$2,'📦 일일 생산 입력'!$AC$5:$AC$505),0)</f>
        <v>0</v>
      </c>
      <c r="H27" s="45">
        <f t="shared" si="0"/>
        <v>2</v>
      </c>
      <c r="I27" s="48">
        <f>IFERROR('🏭 원료 마스터'!$C$26,"")</f>
        <v>0</v>
      </c>
      <c r="J27" s="44">
        <f t="shared" si="1"/>
        <v>0</v>
      </c>
    </row>
    <row r="28" spans="1:10" ht="18" customHeight="1">
      <c r="A28" s="7">
        <v>24</v>
      </c>
      <c r="B28" s="12" t="s">
        <v>77</v>
      </c>
      <c r="C28" s="27">
        <v>10</v>
      </c>
      <c r="D28" s="43">
        <f>IFERROR(SUMIFS('📥 원재료 입고'!$E$4:$E$400,'📥 원재료 입고'!$K$4:$K$400,$B$2,'📥 원재료 입고'!$B$4:$B$400,B28),0)</f>
        <v>0</v>
      </c>
      <c r="E28" s="44">
        <f>IFERROR(SUMIFS('📥 원재료 입고'!$E$4:$E$400,'📥 원재료 입고'!$K$4:$K$400,$B$2,'📥 원재료 입고'!$B$4:$B$400,B28,'📥 원재료 입고'!$D$4:$D$400,"자체구매"),0)</f>
        <v>0</v>
      </c>
      <c r="F28" s="45">
        <f>IFERROR(SUMIFS('📥 원재료 입고'!$E$4:$E$400,'📥 원재료 입고'!$K$4:$K$400,$B$2,'📥 원재료 입고'!$B$4:$B$400,B28,'📥 원재료 입고'!$D$4:$D$400,"위탁공급"),0)</f>
        <v>0</v>
      </c>
      <c r="G28" s="46">
        <f>IFERROR(SUMIF('📦 일일 생산 입력'!$CL$5:$CL$505,$B$2,'📦 일일 생산 입력'!$AD$5:$AD$505),0)</f>
        <v>0</v>
      </c>
      <c r="H28" s="45">
        <f t="shared" si="0"/>
        <v>10</v>
      </c>
      <c r="I28" s="45">
        <f>IFERROR('🏭 원료 마스터'!$C$27,"")</f>
        <v>0</v>
      </c>
      <c r="J28" s="44">
        <f t="shared" si="1"/>
        <v>0</v>
      </c>
    </row>
    <row r="29" spans="1:10" ht="18" customHeight="1">
      <c r="A29" s="11">
        <v>25</v>
      </c>
      <c r="B29" s="47" t="s">
        <v>78</v>
      </c>
      <c r="C29" s="27">
        <v>0</v>
      </c>
      <c r="D29" s="43">
        <f>IFERROR(SUMIFS('📥 원재료 입고'!$E$4:$E$400,'📥 원재료 입고'!$K$4:$K$400,$B$2,'📥 원재료 입고'!$B$4:$B$400,B29),0)</f>
        <v>0</v>
      </c>
      <c r="E29" s="44">
        <f>IFERROR(SUMIFS('📥 원재료 입고'!$E$4:$E$400,'📥 원재료 입고'!$K$4:$K$400,$B$2,'📥 원재료 입고'!$B$4:$B$400,B29,'📥 원재료 입고'!$D$4:$D$400,"자체구매"),0)</f>
        <v>0</v>
      </c>
      <c r="F29" s="45">
        <f>IFERROR(SUMIFS('📥 원재료 입고'!$E$4:$E$400,'📥 원재료 입고'!$K$4:$K$400,$B$2,'📥 원재료 입고'!$B$4:$B$400,B29,'📥 원재료 입고'!$D$4:$D$400,"위탁공급"),0)</f>
        <v>0</v>
      </c>
      <c r="G29" s="46">
        <f>IFERROR(SUMIF('📦 일일 생산 입력'!$CL$5:$CL$505,$B$2,'📦 일일 생산 입력'!$AE$5:$AE$505),0)</f>
        <v>0</v>
      </c>
      <c r="H29" s="45">
        <f t="shared" si="0"/>
        <v>0</v>
      </c>
      <c r="I29" s="48">
        <f>IFERROR('🏭 원료 마스터'!$C$28,"")</f>
        <v>0</v>
      </c>
      <c r="J29" s="44">
        <f t="shared" si="1"/>
        <v>0</v>
      </c>
    </row>
    <row r="30" spans="1:10" ht="18" customHeight="1">
      <c r="A30" s="7">
        <v>26</v>
      </c>
      <c r="B30" s="12" t="s">
        <v>79</v>
      </c>
      <c r="C30" s="27">
        <v>0</v>
      </c>
      <c r="D30" s="43">
        <f>IFERROR(SUMIFS('📥 원재료 입고'!$E$4:$E$400,'📥 원재료 입고'!$K$4:$K$400,$B$2,'📥 원재료 입고'!$B$4:$B$400,B30),0)</f>
        <v>0</v>
      </c>
      <c r="E30" s="44">
        <f>IFERROR(SUMIFS('📥 원재료 입고'!$E$4:$E$400,'📥 원재료 입고'!$K$4:$K$400,$B$2,'📥 원재료 입고'!$B$4:$B$400,B30,'📥 원재료 입고'!$D$4:$D$400,"자체구매"),0)</f>
        <v>0</v>
      </c>
      <c r="F30" s="45">
        <f>IFERROR(SUMIFS('📥 원재료 입고'!$E$4:$E$400,'📥 원재료 입고'!$K$4:$K$400,$B$2,'📥 원재료 입고'!$B$4:$B$400,B30,'📥 원재료 입고'!$D$4:$D$400,"위탁공급"),0)</f>
        <v>0</v>
      </c>
      <c r="G30" s="46">
        <f>IFERROR(SUMIF('📦 일일 생산 입력'!$CL$5:$CL$505,$B$2,'📦 일일 생산 입력'!$AF$5:$AF$505),0)</f>
        <v>0</v>
      </c>
      <c r="H30" s="45">
        <f t="shared" si="0"/>
        <v>0</v>
      </c>
      <c r="I30" s="45">
        <f>IFERROR('🏭 원료 마스터'!$C$29,"")</f>
        <v>0</v>
      </c>
      <c r="J30" s="44">
        <f t="shared" si="1"/>
        <v>0</v>
      </c>
    </row>
    <row r="31" spans="1:10" ht="18" customHeight="1">
      <c r="A31" s="11">
        <v>27</v>
      </c>
      <c r="B31" s="47" t="s">
        <v>80</v>
      </c>
      <c r="C31" s="27">
        <v>1.1599999999999999</v>
      </c>
      <c r="D31" s="43">
        <f>IFERROR(SUMIFS('📥 원재료 입고'!$E$4:$E$400,'📥 원재료 입고'!$K$4:$K$400,$B$2,'📥 원재료 입고'!$B$4:$B$400,B31),0)</f>
        <v>0</v>
      </c>
      <c r="E31" s="44">
        <f>IFERROR(SUMIFS('📥 원재료 입고'!$E$4:$E$400,'📥 원재료 입고'!$K$4:$K$400,$B$2,'📥 원재료 입고'!$B$4:$B$400,B31,'📥 원재료 입고'!$D$4:$D$400,"자체구매"),0)</f>
        <v>0</v>
      </c>
      <c r="F31" s="45">
        <f>IFERROR(SUMIFS('📥 원재료 입고'!$E$4:$E$400,'📥 원재료 입고'!$K$4:$K$400,$B$2,'📥 원재료 입고'!$B$4:$B$400,B31,'📥 원재료 입고'!$D$4:$D$400,"위탁공급"),0)</f>
        <v>0</v>
      </c>
      <c r="G31" s="46">
        <f>IFERROR(SUMIF('📦 일일 생산 입력'!$CL$5:$CL$505,$B$2,'📦 일일 생산 입력'!$AG$5:$AG$505),0)</f>
        <v>1.1599999999999999</v>
      </c>
      <c r="H31" s="45">
        <f t="shared" si="0"/>
        <v>0</v>
      </c>
      <c r="I31" s="48">
        <f>IFERROR('🏭 원료 마스터'!$C$30,"")</f>
        <v>0</v>
      </c>
      <c r="J31" s="44">
        <f t="shared" si="1"/>
        <v>0</v>
      </c>
    </row>
    <row r="32" spans="1:10" ht="18" customHeight="1">
      <c r="A32" s="7">
        <v>28</v>
      </c>
      <c r="B32" s="12" t="s">
        <v>81</v>
      </c>
      <c r="C32" s="27">
        <v>20.48</v>
      </c>
      <c r="D32" s="43">
        <f>IFERROR(SUMIFS('📥 원재료 입고'!$E$4:$E$400,'📥 원재료 입고'!$K$4:$K$400,$B$2,'📥 원재료 입고'!$B$4:$B$400,B32),0)</f>
        <v>0</v>
      </c>
      <c r="E32" s="44">
        <f>IFERROR(SUMIFS('📥 원재료 입고'!$E$4:$E$400,'📥 원재료 입고'!$K$4:$K$400,$B$2,'📥 원재료 입고'!$B$4:$B$400,B32,'📥 원재료 입고'!$D$4:$D$400,"자체구매"),0)</f>
        <v>0</v>
      </c>
      <c r="F32" s="45">
        <f>IFERROR(SUMIFS('📥 원재료 입고'!$E$4:$E$400,'📥 원재료 입고'!$K$4:$K$400,$B$2,'📥 원재료 입고'!$B$4:$B$400,B32,'📥 원재료 입고'!$D$4:$D$400,"위탁공급"),0)</f>
        <v>0</v>
      </c>
      <c r="G32" s="46">
        <f>IFERROR(SUMIF('📦 일일 생산 입력'!$CL$5:$CL$505,$B$2,'📦 일일 생산 입력'!$AH$5:$AH$505),0)</f>
        <v>0.48</v>
      </c>
      <c r="H32" s="45">
        <f t="shared" si="0"/>
        <v>20</v>
      </c>
      <c r="I32" s="45">
        <f>IFERROR('🏭 원료 마스터'!$C$31,"")</f>
        <v>0</v>
      </c>
      <c r="J32" s="44">
        <f t="shared" si="1"/>
        <v>0</v>
      </c>
    </row>
    <row r="33" spans="1:10" ht="18" customHeight="1">
      <c r="A33" s="11">
        <v>29</v>
      </c>
      <c r="B33" s="47" t="s">
        <v>82</v>
      </c>
      <c r="C33" s="27">
        <v>119.12</v>
      </c>
      <c r="D33" s="43">
        <f>IFERROR(SUMIFS('📥 원재료 입고'!$E$4:$E$400,'📥 원재료 입고'!$K$4:$K$400,$B$2,'📥 원재료 입고'!$B$4:$B$400,B33),0)</f>
        <v>0</v>
      </c>
      <c r="E33" s="44">
        <f>IFERROR(SUMIFS('📥 원재료 입고'!$E$4:$E$400,'📥 원재료 입고'!$K$4:$K$400,$B$2,'📥 원재료 입고'!$B$4:$B$400,B33,'📥 원재료 입고'!$D$4:$D$400,"자체구매"),0)</f>
        <v>0</v>
      </c>
      <c r="F33" s="45">
        <f>IFERROR(SUMIFS('📥 원재료 입고'!$E$4:$E$400,'📥 원재료 입고'!$K$4:$K$400,$B$2,'📥 원재료 입고'!$B$4:$B$400,B33,'📥 원재료 입고'!$D$4:$D$400,"위탁공급"),0)</f>
        <v>0</v>
      </c>
      <c r="G33" s="46">
        <f>IFERROR(SUMIF('📦 일일 생산 입력'!$CL$5:$CL$505,$B$2,'📦 일일 생산 입력'!$AI$5:$AI$505),0)</f>
        <v>27.28</v>
      </c>
      <c r="H33" s="45">
        <f t="shared" si="0"/>
        <v>91.84</v>
      </c>
      <c r="I33" s="48">
        <f>IFERROR('🏭 원료 마스터'!$C$32,"")</f>
        <v>3215</v>
      </c>
      <c r="J33" s="44">
        <f t="shared" si="1"/>
        <v>87705.2</v>
      </c>
    </row>
    <row r="34" spans="1:10" ht="18" customHeight="1">
      <c r="A34" s="7">
        <v>30</v>
      </c>
      <c r="B34" s="12" t="s">
        <v>83</v>
      </c>
      <c r="C34" s="27">
        <v>0</v>
      </c>
      <c r="D34" s="43">
        <f>IFERROR(SUMIFS('📥 원재료 입고'!$E$4:$E$400,'📥 원재료 입고'!$K$4:$K$400,$B$2,'📥 원재료 입고'!$B$4:$B$400,B34),0)</f>
        <v>0</v>
      </c>
      <c r="E34" s="44">
        <f>IFERROR(SUMIFS('📥 원재료 입고'!$E$4:$E$400,'📥 원재료 입고'!$K$4:$K$400,$B$2,'📥 원재료 입고'!$B$4:$B$400,B34,'📥 원재료 입고'!$D$4:$D$400,"자체구매"),0)</f>
        <v>0</v>
      </c>
      <c r="F34" s="45">
        <f>IFERROR(SUMIFS('📥 원재료 입고'!$E$4:$E$400,'📥 원재료 입고'!$K$4:$K$400,$B$2,'📥 원재료 입고'!$B$4:$B$400,B34,'📥 원재료 입고'!$D$4:$D$400,"위탁공급"),0)</f>
        <v>0</v>
      </c>
      <c r="G34" s="46">
        <f>IFERROR(SUMIF('📦 일일 생산 입력'!$CL$5:$CL$505,$B$2,'📦 일일 생산 입력'!$AJ$5:$AJ$505),0)</f>
        <v>0</v>
      </c>
      <c r="H34" s="45">
        <f t="shared" si="0"/>
        <v>0</v>
      </c>
      <c r="I34" s="45">
        <f>IFERROR('🏭 원료 마스터'!$C$33,"")</f>
        <v>0</v>
      </c>
      <c r="J34" s="44">
        <f t="shared" si="1"/>
        <v>0</v>
      </c>
    </row>
    <row r="35" spans="1:10" ht="18" customHeight="1">
      <c r="A35" s="11">
        <v>31</v>
      </c>
      <c r="B35" s="47" t="s">
        <v>84</v>
      </c>
      <c r="C35" s="27">
        <v>0</v>
      </c>
      <c r="D35" s="43">
        <f>IFERROR(SUMIFS('📥 원재료 입고'!$E$4:$E$400,'📥 원재료 입고'!$K$4:$K$400,$B$2,'📥 원재료 입고'!$B$4:$B$400,B35),0)</f>
        <v>62.5</v>
      </c>
      <c r="E35" s="44">
        <f>IFERROR(SUMIFS('📥 원재료 입고'!$E$4:$E$400,'📥 원재료 입고'!$K$4:$K$400,$B$2,'📥 원재료 입고'!$B$4:$B$400,B35,'📥 원재료 입고'!$D$4:$D$400,"자체구매"),0)</f>
        <v>62.5</v>
      </c>
      <c r="F35" s="45">
        <f>IFERROR(SUMIFS('📥 원재료 입고'!$E$4:$E$400,'📥 원재료 입고'!$K$4:$K$400,$B$2,'📥 원재료 입고'!$B$4:$B$400,B35,'📥 원재료 입고'!$D$4:$D$400,"위탁공급"),0)</f>
        <v>0</v>
      </c>
      <c r="G35" s="46">
        <f>IFERROR(SUMIF('📦 일일 생산 입력'!$CL$5:$CL$505,$B$2,'📦 일일 생산 입력'!$AK$5:$AK$505),0)</f>
        <v>30.54</v>
      </c>
      <c r="H35" s="45">
        <f t="shared" si="0"/>
        <v>31.96</v>
      </c>
      <c r="I35" s="48">
        <f>IFERROR('🏭 원료 마스터'!$C$34,"")</f>
        <v>6651.54</v>
      </c>
      <c r="J35" s="44">
        <f t="shared" si="1"/>
        <v>203138.03159999999</v>
      </c>
    </row>
    <row r="36" spans="1:10" ht="18" customHeight="1">
      <c r="A36" s="7">
        <v>32</v>
      </c>
      <c r="B36" s="12" t="s">
        <v>85</v>
      </c>
      <c r="C36" s="27">
        <v>0</v>
      </c>
      <c r="D36" s="43">
        <f>IFERROR(SUMIFS('📥 원재료 입고'!$E$4:$E$400,'📥 원재료 입고'!$K$4:$K$400,$B$2,'📥 원재료 입고'!$B$4:$B$400,B36),0)</f>
        <v>0</v>
      </c>
      <c r="E36" s="44">
        <f>IFERROR(SUMIFS('📥 원재료 입고'!$E$4:$E$400,'📥 원재료 입고'!$K$4:$K$400,$B$2,'📥 원재료 입고'!$B$4:$B$400,B36,'📥 원재료 입고'!$D$4:$D$400,"자체구매"),0)</f>
        <v>0</v>
      </c>
      <c r="F36" s="45">
        <f>IFERROR(SUMIFS('📥 원재료 입고'!$E$4:$E$400,'📥 원재료 입고'!$K$4:$K$400,$B$2,'📥 원재료 입고'!$B$4:$B$400,B36,'📥 원재료 입고'!$D$4:$D$400,"위탁공급"),0)</f>
        <v>0</v>
      </c>
      <c r="G36" s="46">
        <f>IFERROR(SUMIF('📦 일일 생산 입력'!$CL$5:$CL$505,$B$2,'📦 일일 생산 입력'!$AL$5:$AL$505),0)</f>
        <v>0</v>
      </c>
      <c r="H36" s="45">
        <f t="shared" si="0"/>
        <v>0</v>
      </c>
      <c r="I36" s="45">
        <f>IFERROR('🏭 원료 마스터'!$C$35,"")</f>
        <v>0</v>
      </c>
      <c r="J36" s="44">
        <f t="shared" si="1"/>
        <v>0</v>
      </c>
    </row>
    <row r="37" spans="1:10" ht="18" customHeight="1">
      <c r="A37" s="11">
        <v>33</v>
      </c>
      <c r="B37" s="47" t="s">
        <v>86</v>
      </c>
      <c r="C37" s="27">
        <v>11.81</v>
      </c>
      <c r="D37" s="43">
        <f>IFERROR(SUMIFS('📥 원재료 입고'!$E$4:$E$400,'📥 원재료 입고'!$K$4:$K$400,$B$2,'📥 원재료 입고'!$B$4:$B$400,B37),0)</f>
        <v>0</v>
      </c>
      <c r="E37" s="44">
        <f>IFERROR(SUMIFS('📥 원재료 입고'!$E$4:$E$400,'📥 원재료 입고'!$K$4:$K$400,$B$2,'📥 원재료 입고'!$B$4:$B$400,B37,'📥 원재료 입고'!$D$4:$D$400,"자체구매"),0)</f>
        <v>0</v>
      </c>
      <c r="F37" s="45">
        <f>IFERROR(SUMIFS('📥 원재료 입고'!$E$4:$E$400,'📥 원재료 입고'!$K$4:$K$400,$B$2,'📥 원재료 입고'!$B$4:$B$400,B37,'📥 원재료 입고'!$D$4:$D$400,"위탁공급"),0)</f>
        <v>0</v>
      </c>
      <c r="G37" s="46">
        <f>IFERROR(SUMIF('📦 일일 생산 입력'!$CL$5:$CL$505,$B$2,'📦 일일 생산 입력'!$AM$5:$AM$505),0)</f>
        <v>7.8815</v>
      </c>
      <c r="H37" s="45">
        <f t="shared" ref="H37:H68" si="2">IFERROR(MAX(C37+D37-G37,0),"")</f>
        <v>3.9285000000000005</v>
      </c>
      <c r="I37" s="48">
        <f>IFERROR('🏭 원료 마스터'!$C$36,"")</f>
        <v>12870</v>
      </c>
      <c r="J37" s="44">
        <f t="shared" ref="J37:J68" si="3">IFERROR(G37*I37,"")</f>
        <v>101434.905</v>
      </c>
    </row>
    <row r="38" spans="1:10" ht="18" customHeight="1">
      <c r="A38" s="7">
        <v>34</v>
      </c>
      <c r="B38" s="12" t="s">
        <v>87</v>
      </c>
      <c r="C38" s="27">
        <v>0</v>
      </c>
      <c r="D38" s="43">
        <f>IFERROR(SUMIFS('📥 원재료 입고'!$E$4:$E$400,'📥 원재료 입고'!$K$4:$K$400,$B$2,'📥 원재료 입고'!$B$4:$B$400,B38),0)</f>
        <v>0</v>
      </c>
      <c r="E38" s="44">
        <f>IFERROR(SUMIFS('📥 원재료 입고'!$E$4:$E$400,'📥 원재료 입고'!$K$4:$K$400,$B$2,'📥 원재료 입고'!$B$4:$B$400,B38,'📥 원재료 입고'!$D$4:$D$400,"자체구매"),0)</f>
        <v>0</v>
      </c>
      <c r="F38" s="45">
        <f>IFERROR(SUMIFS('📥 원재료 입고'!$E$4:$E$400,'📥 원재료 입고'!$K$4:$K$400,$B$2,'📥 원재료 입고'!$B$4:$B$400,B38,'📥 원재료 입고'!$D$4:$D$400,"위탁공급"),0)</f>
        <v>0</v>
      </c>
      <c r="G38" s="46">
        <f>IFERROR(SUMIF('📦 일일 생산 입력'!$CL$5:$CL$505,$B$2,'📦 일일 생산 입력'!$AN$5:$AN$505),0)</f>
        <v>0.38500000000000001</v>
      </c>
      <c r="H38" s="45">
        <f t="shared" si="2"/>
        <v>0</v>
      </c>
      <c r="I38" s="45">
        <f>IFERROR('🏭 원료 마스터'!$C$37,"")</f>
        <v>5500</v>
      </c>
      <c r="J38" s="44">
        <f t="shared" si="3"/>
        <v>2117.5</v>
      </c>
    </row>
    <row r="39" spans="1:10" ht="18" customHeight="1">
      <c r="A39" s="11">
        <v>35</v>
      </c>
      <c r="B39" s="47" t="s">
        <v>88</v>
      </c>
      <c r="C39" s="27">
        <v>23.56</v>
      </c>
      <c r="D39" s="43">
        <f>IFERROR(SUMIFS('📥 원재료 입고'!$E$4:$E$400,'📥 원재료 입고'!$K$4:$K$400,$B$2,'📥 원재료 입고'!$B$4:$B$400,B39),0)</f>
        <v>0</v>
      </c>
      <c r="E39" s="44">
        <f>IFERROR(SUMIFS('📥 원재료 입고'!$E$4:$E$400,'📥 원재료 입고'!$K$4:$K$400,$B$2,'📥 원재료 입고'!$B$4:$B$400,B39,'📥 원재료 입고'!$D$4:$D$400,"자체구매"),0)</f>
        <v>0</v>
      </c>
      <c r="F39" s="45">
        <f>IFERROR(SUMIFS('📥 원재료 입고'!$E$4:$E$400,'📥 원재료 입고'!$K$4:$K$400,$B$2,'📥 원재료 입고'!$B$4:$B$400,B39,'📥 원재료 입고'!$D$4:$D$400,"위탁공급"),0)</f>
        <v>0</v>
      </c>
      <c r="G39" s="46">
        <f>IFERROR(SUMIF('📦 일일 생산 입력'!$CL$5:$CL$505,$B$2,'📦 일일 생산 입력'!$AO$5:$AO$505),0)</f>
        <v>15.708</v>
      </c>
      <c r="H39" s="45">
        <f t="shared" si="2"/>
        <v>7.8519999999999985</v>
      </c>
      <c r="I39" s="48">
        <f>IFERROR('🏭 원료 마스터'!$C$38,"")</f>
        <v>0</v>
      </c>
      <c r="J39" s="44">
        <f t="shared" si="3"/>
        <v>0</v>
      </c>
    </row>
    <row r="40" spans="1:10" ht="18" customHeight="1">
      <c r="A40" s="7">
        <v>36</v>
      </c>
      <c r="B40" s="12" t="s">
        <v>89</v>
      </c>
      <c r="C40" s="27">
        <v>35.26</v>
      </c>
      <c r="D40" s="43">
        <f>IFERROR(SUMIFS('📥 원재료 입고'!$E$4:$E$400,'📥 원재료 입고'!$K$4:$K$400,$B$2,'📥 원재료 입고'!$B$4:$B$400,B40),0)</f>
        <v>0</v>
      </c>
      <c r="E40" s="44">
        <f>IFERROR(SUMIFS('📥 원재료 입고'!$E$4:$E$400,'📥 원재료 입고'!$K$4:$K$400,$B$2,'📥 원재료 입고'!$B$4:$B$400,B40,'📥 원재료 입고'!$D$4:$D$400,"자체구매"),0)</f>
        <v>0</v>
      </c>
      <c r="F40" s="45">
        <f>IFERROR(SUMIFS('📥 원재료 입고'!$E$4:$E$400,'📥 원재료 입고'!$K$4:$K$400,$B$2,'📥 원재료 입고'!$B$4:$B$400,B40,'📥 원재료 입고'!$D$4:$D$400,"위탁공급"),0)</f>
        <v>0</v>
      </c>
      <c r="G40" s="46">
        <f>IFERROR(SUMIF('📦 일일 생산 입력'!$CL$5:$CL$505,$B$2,'📦 일일 생산 입력'!$AP$5:$AP$505),0)</f>
        <v>15.020000000000001</v>
      </c>
      <c r="H40" s="45">
        <f t="shared" si="2"/>
        <v>20.239999999999995</v>
      </c>
      <c r="I40" s="45">
        <f>IFERROR('🏭 원료 마스터'!$C$39,"")</f>
        <v>24500</v>
      </c>
      <c r="J40" s="44">
        <f t="shared" si="3"/>
        <v>367990.00000000006</v>
      </c>
    </row>
    <row r="41" spans="1:10" ht="18" customHeight="1">
      <c r="A41" s="11">
        <v>37</v>
      </c>
      <c r="B41" s="47" t="s">
        <v>90</v>
      </c>
      <c r="C41" s="27">
        <v>2207.7600000000002</v>
      </c>
      <c r="D41" s="43">
        <f>IFERROR(SUMIFS('📥 원재료 입고'!$E$4:$E$400,'📥 원재료 입고'!$K$4:$K$400,$B$2,'📥 원재료 입고'!$B$4:$B$400,B41),0)</f>
        <v>0</v>
      </c>
      <c r="E41" s="44">
        <f>IFERROR(SUMIFS('📥 원재료 입고'!$E$4:$E$400,'📥 원재료 입고'!$K$4:$K$400,$B$2,'📥 원재료 입고'!$B$4:$B$400,B41,'📥 원재료 입고'!$D$4:$D$400,"자체구매"),0)</f>
        <v>0</v>
      </c>
      <c r="F41" s="45">
        <f>IFERROR(SUMIFS('📥 원재료 입고'!$E$4:$E$400,'📥 원재료 입고'!$K$4:$K$400,$B$2,'📥 원재료 입고'!$B$4:$B$400,B41,'📥 원재료 입고'!$D$4:$D$400,"위탁공급"),0)</f>
        <v>0</v>
      </c>
      <c r="G41" s="46">
        <f>IFERROR(SUMIF('📦 일일 생산 입력'!$CL$5:$CL$505,$B$2,'📦 일일 생산 입력'!$AQ$5:$AQ$505),0)</f>
        <v>551.95499999999993</v>
      </c>
      <c r="H41" s="45">
        <f t="shared" si="2"/>
        <v>1655.8050000000003</v>
      </c>
      <c r="I41" s="48">
        <f>IFERROR('🏭 원료 마스터'!$C$40,"")</f>
        <v>0</v>
      </c>
      <c r="J41" s="44">
        <f t="shared" si="3"/>
        <v>0</v>
      </c>
    </row>
    <row r="42" spans="1:10" ht="18" customHeight="1">
      <c r="A42" s="7">
        <v>38</v>
      </c>
      <c r="B42" s="12" t="s">
        <v>91</v>
      </c>
      <c r="C42" s="27">
        <v>60</v>
      </c>
      <c r="D42" s="43">
        <f>IFERROR(SUMIFS('📥 원재료 입고'!$E$4:$E$400,'📥 원재료 입고'!$K$4:$K$400,$B$2,'📥 원재료 입고'!$B$4:$B$400,B42),0)</f>
        <v>0</v>
      </c>
      <c r="E42" s="44">
        <f>IFERROR(SUMIFS('📥 원재료 입고'!$E$4:$E$400,'📥 원재료 입고'!$K$4:$K$400,$B$2,'📥 원재료 입고'!$B$4:$B$400,B42,'📥 원재료 입고'!$D$4:$D$400,"자체구매"),0)</f>
        <v>0</v>
      </c>
      <c r="F42" s="45">
        <f>IFERROR(SUMIFS('📥 원재료 입고'!$E$4:$E$400,'📥 원재료 입고'!$K$4:$K$400,$B$2,'📥 원재료 입고'!$B$4:$B$400,B42,'📥 원재료 입고'!$D$4:$D$400,"위탁공급"),0)</f>
        <v>0</v>
      </c>
      <c r="G42" s="46">
        <f>IFERROR(SUMIF('📦 일일 생산 입력'!$CL$5:$CL$505,$B$2,'📦 일일 생산 입력'!$AR$5:$AR$505),0)</f>
        <v>0</v>
      </c>
      <c r="H42" s="45">
        <f t="shared" si="2"/>
        <v>60</v>
      </c>
      <c r="I42" s="45">
        <f>IFERROR('🏭 원료 마스터'!$C$41,"")</f>
        <v>0</v>
      </c>
      <c r="J42" s="44">
        <f t="shared" si="3"/>
        <v>0</v>
      </c>
    </row>
    <row r="43" spans="1:10" ht="18" customHeight="1">
      <c r="A43" s="11">
        <v>39</v>
      </c>
      <c r="B43" s="47" t="s">
        <v>92</v>
      </c>
      <c r="C43" s="27">
        <v>75.58</v>
      </c>
      <c r="D43" s="43">
        <f>IFERROR(SUMIFS('📥 원재료 입고'!$E$4:$E$400,'📥 원재료 입고'!$K$4:$K$400,$B$2,'📥 원재료 입고'!$B$4:$B$400,B43),0)</f>
        <v>240</v>
      </c>
      <c r="E43" s="44">
        <f>IFERROR(SUMIFS('📥 원재료 입고'!$E$4:$E$400,'📥 원재료 입고'!$K$4:$K$400,$B$2,'📥 원재료 입고'!$B$4:$B$400,B43,'📥 원재료 입고'!$D$4:$D$400,"자체구매"),0)</f>
        <v>240</v>
      </c>
      <c r="F43" s="45">
        <f>IFERROR(SUMIFS('📥 원재료 입고'!$E$4:$E$400,'📥 원재료 입고'!$K$4:$K$400,$B$2,'📥 원재료 입고'!$B$4:$B$400,B43,'📥 원재료 입고'!$D$4:$D$400,"위탁공급"),0)</f>
        <v>0</v>
      </c>
      <c r="G43" s="46">
        <f>IFERROR(SUMIF('📦 일일 생산 입력'!$CL$5:$CL$505,$B$2,'📦 일일 생산 입력'!$AS$5:$AS$505),0)</f>
        <v>155.38399999999996</v>
      </c>
      <c r="H43" s="45">
        <f t="shared" si="2"/>
        <v>160.19600000000003</v>
      </c>
      <c r="I43" s="48">
        <f>IFERROR('🏭 원료 마스터'!$C$42,"")</f>
        <v>1613.28</v>
      </c>
      <c r="J43" s="44">
        <f t="shared" si="3"/>
        <v>250677.89951999992</v>
      </c>
    </row>
    <row r="44" spans="1:10" ht="18" customHeight="1">
      <c r="A44" s="7">
        <v>40</v>
      </c>
      <c r="B44" s="12" t="s">
        <v>93</v>
      </c>
      <c r="C44" s="27">
        <v>13.95</v>
      </c>
      <c r="D44" s="43">
        <f>IFERROR(SUMIFS('📥 원재료 입고'!$E$4:$E$400,'📥 원재료 입고'!$K$4:$K$400,$B$2,'📥 원재료 입고'!$B$4:$B$400,B44),0)</f>
        <v>0</v>
      </c>
      <c r="E44" s="44">
        <f>IFERROR(SUMIFS('📥 원재료 입고'!$E$4:$E$400,'📥 원재료 입고'!$K$4:$K$400,$B$2,'📥 원재료 입고'!$B$4:$B$400,B44,'📥 원재료 입고'!$D$4:$D$400,"자체구매"),0)</f>
        <v>0</v>
      </c>
      <c r="F44" s="45">
        <f>IFERROR(SUMIFS('📥 원재료 입고'!$E$4:$E$400,'📥 원재료 입고'!$K$4:$K$400,$B$2,'📥 원재료 입고'!$B$4:$B$400,B44,'📥 원재료 입고'!$D$4:$D$400,"위탁공급"),0)</f>
        <v>0</v>
      </c>
      <c r="G44" s="46">
        <f>IFERROR(SUMIF('📦 일일 생산 입력'!$CL$5:$CL$505,$B$2,'📦 일일 생산 입력'!$AT$5:$AT$505),0)</f>
        <v>9.7675000000000001</v>
      </c>
      <c r="H44" s="45">
        <f t="shared" si="2"/>
        <v>4.1824999999999992</v>
      </c>
      <c r="I44" s="45">
        <f>IFERROR('🏭 원료 마스터'!$C$43,"")</f>
        <v>0</v>
      </c>
      <c r="J44" s="44">
        <f t="shared" si="3"/>
        <v>0</v>
      </c>
    </row>
    <row r="45" spans="1:10" ht="18" customHeight="1">
      <c r="A45" s="11">
        <v>41</v>
      </c>
      <c r="B45" s="47" t="s">
        <v>94</v>
      </c>
      <c r="C45" s="27">
        <v>0</v>
      </c>
      <c r="D45" s="43">
        <f>IFERROR(SUMIFS('📥 원재료 입고'!$E$4:$E$400,'📥 원재료 입고'!$K$4:$K$400,$B$2,'📥 원재료 입고'!$B$4:$B$400,B45),0)</f>
        <v>0</v>
      </c>
      <c r="E45" s="44">
        <f>IFERROR(SUMIFS('📥 원재료 입고'!$E$4:$E$400,'📥 원재료 입고'!$K$4:$K$400,$B$2,'📥 원재료 입고'!$B$4:$B$400,B45,'📥 원재료 입고'!$D$4:$D$400,"자체구매"),0)</f>
        <v>0</v>
      </c>
      <c r="F45" s="45">
        <f>IFERROR(SUMIFS('📥 원재료 입고'!$E$4:$E$400,'📥 원재료 입고'!$K$4:$K$400,$B$2,'📥 원재료 입고'!$B$4:$B$400,B45,'📥 원재료 입고'!$D$4:$D$400,"위탁공급"),0)</f>
        <v>0</v>
      </c>
      <c r="G45" s="46">
        <f>IFERROR(SUMIF('📦 일일 생산 입력'!$CL$5:$CL$505,$B$2,'📦 일일 생산 입력'!$AU$5:$AU$505),0)</f>
        <v>0</v>
      </c>
      <c r="H45" s="45">
        <f t="shared" si="2"/>
        <v>0</v>
      </c>
      <c r="I45" s="48">
        <f>IFERROR('🏭 원료 마스터'!$C$44,"")</f>
        <v>0</v>
      </c>
      <c r="J45" s="44">
        <f t="shared" si="3"/>
        <v>0</v>
      </c>
    </row>
    <row r="46" spans="1:10" ht="18" customHeight="1">
      <c r="A46" s="7">
        <v>42</v>
      </c>
      <c r="B46" s="12" t="s">
        <v>95</v>
      </c>
      <c r="C46" s="27">
        <v>3</v>
      </c>
      <c r="D46" s="43">
        <f>IFERROR(SUMIFS('📥 원재료 입고'!$E$4:$E$400,'📥 원재료 입고'!$K$4:$K$400,$B$2,'📥 원재료 입고'!$B$4:$B$400,B46),0)</f>
        <v>0</v>
      </c>
      <c r="E46" s="44">
        <f>IFERROR(SUMIFS('📥 원재료 입고'!$E$4:$E$400,'📥 원재료 입고'!$K$4:$K$400,$B$2,'📥 원재료 입고'!$B$4:$B$400,B46,'📥 원재료 입고'!$D$4:$D$400,"자체구매"),0)</f>
        <v>0</v>
      </c>
      <c r="F46" s="45">
        <f>IFERROR(SUMIFS('📥 원재료 입고'!$E$4:$E$400,'📥 원재료 입고'!$K$4:$K$400,$B$2,'📥 원재료 입고'!$B$4:$B$400,B46,'📥 원재료 입고'!$D$4:$D$400,"위탁공급"),0)</f>
        <v>0</v>
      </c>
      <c r="G46" s="46">
        <f>IFERROR(SUMIF('📦 일일 생산 입력'!$CL$5:$CL$505,$B$2,'📦 일일 생산 입력'!$AV$5:$AV$505),0)</f>
        <v>0</v>
      </c>
      <c r="H46" s="45">
        <f t="shared" si="2"/>
        <v>3</v>
      </c>
      <c r="I46" s="45">
        <f>IFERROR('🏭 원료 마스터'!$C$45,"")</f>
        <v>4900</v>
      </c>
      <c r="J46" s="44">
        <f t="shared" si="3"/>
        <v>0</v>
      </c>
    </row>
    <row r="47" spans="1:10" ht="18" customHeight="1">
      <c r="A47" s="11">
        <v>43</v>
      </c>
      <c r="B47" s="47" t="s">
        <v>96</v>
      </c>
      <c r="C47" s="27">
        <v>6.71</v>
      </c>
      <c r="D47" s="43">
        <f>IFERROR(SUMIFS('📥 원재료 입고'!$E$4:$E$400,'📥 원재료 입고'!$K$4:$K$400,$B$2,'📥 원재료 입고'!$B$4:$B$400,B47),0)</f>
        <v>0</v>
      </c>
      <c r="E47" s="44">
        <f>IFERROR(SUMIFS('📥 원재료 입고'!$E$4:$E$400,'📥 원재료 입고'!$K$4:$K$400,$B$2,'📥 원재료 입고'!$B$4:$B$400,B47,'📥 원재료 입고'!$D$4:$D$400,"자체구매"),0)</f>
        <v>0</v>
      </c>
      <c r="F47" s="45">
        <f>IFERROR(SUMIFS('📥 원재료 입고'!$E$4:$E$400,'📥 원재료 입고'!$K$4:$K$400,$B$2,'📥 원재료 입고'!$B$4:$B$400,B47,'📥 원재료 입고'!$D$4:$D$400,"위탁공급"),0)</f>
        <v>0</v>
      </c>
      <c r="G47" s="46">
        <f>IFERROR(SUMIF('📦 일일 생산 입력'!$CL$5:$CL$505,$B$2,'📦 일일 생산 입력'!$AW$5:$AW$505),0)</f>
        <v>6.7125000000000004</v>
      </c>
      <c r="H47" s="45">
        <f t="shared" si="2"/>
        <v>0</v>
      </c>
      <c r="I47" s="48">
        <f>IFERROR('🏭 원료 마스터'!$C$46,"")</f>
        <v>0</v>
      </c>
      <c r="J47" s="44">
        <f t="shared" si="3"/>
        <v>0</v>
      </c>
    </row>
    <row r="48" spans="1:10" ht="18" customHeight="1">
      <c r="A48" s="7">
        <v>44</v>
      </c>
      <c r="B48" s="12" t="s">
        <v>97</v>
      </c>
      <c r="C48" s="27">
        <v>0</v>
      </c>
      <c r="D48" s="43">
        <f>IFERROR(SUMIFS('📥 원재료 입고'!$E$4:$E$400,'📥 원재료 입고'!$K$4:$K$400,$B$2,'📥 원재료 입고'!$B$4:$B$400,B48),0)</f>
        <v>120</v>
      </c>
      <c r="E48" s="44">
        <f>IFERROR(SUMIFS('📥 원재료 입고'!$E$4:$E$400,'📥 원재료 입고'!$K$4:$K$400,$B$2,'📥 원재료 입고'!$B$4:$B$400,B48,'📥 원재료 입고'!$D$4:$D$400,"자체구매"),0)</f>
        <v>120</v>
      </c>
      <c r="F48" s="45">
        <f>IFERROR(SUMIFS('📥 원재료 입고'!$E$4:$E$400,'📥 원재료 입고'!$K$4:$K$400,$B$2,'📥 원재료 입고'!$B$4:$B$400,B48,'📥 원재료 입고'!$D$4:$D$400,"위탁공급"),0)</f>
        <v>0</v>
      </c>
      <c r="G48" s="46">
        <f>IFERROR(SUMIF('📦 일일 생산 입력'!$CL$5:$CL$505,$B$2,'📦 일일 생산 입력'!$AX$5:$AX$505),0)</f>
        <v>87.383999999999986</v>
      </c>
      <c r="H48" s="45">
        <f t="shared" si="2"/>
        <v>32.616000000000014</v>
      </c>
      <c r="I48" s="45">
        <f>IFERROR('🏭 원료 마스터'!$C$47,"")</f>
        <v>7714.29</v>
      </c>
      <c r="J48" s="44">
        <f t="shared" si="3"/>
        <v>674105.51735999994</v>
      </c>
    </row>
    <row r="49" spans="1:10" ht="18" customHeight="1">
      <c r="A49" s="11">
        <v>45</v>
      </c>
      <c r="B49" s="47" t="s">
        <v>98</v>
      </c>
      <c r="C49" s="27">
        <v>15.87</v>
      </c>
      <c r="D49" s="43">
        <f>IFERROR(SUMIFS('📥 원재료 입고'!$E$4:$E$400,'📥 원재료 입고'!$K$4:$K$400,$B$2,'📥 원재료 입고'!$B$4:$B$400,B49),0)</f>
        <v>0</v>
      </c>
      <c r="E49" s="44">
        <f>IFERROR(SUMIFS('📥 원재료 입고'!$E$4:$E$400,'📥 원재료 입고'!$K$4:$K$400,$B$2,'📥 원재료 입고'!$B$4:$B$400,B49,'📥 원재료 입고'!$D$4:$D$400,"자체구매"),0)</f>
        <v>0</v>
      </c>
      <c r="F49" s="45">
        <f>IFERROR(SUMIFS('📥 원재료 입고'!$E$4:$E$400,'📥 원재료 입고'!$K$4:$K$400,$B$2,'📥 원재료 입고'!$B$4:$B$400,B49,'📥 원재료 입고'!$D$4:$D$400,"위탁공급"),0)</f>
        <v>0</v>
      </c>
      <c r="G49" s="46">
        <f>IFERROR(SUMIF('📦 일일 생산 입력'!$CL$5:$CL$505,$B$2,'📦 일일 생산 입력'!$AY$5:$AY$505),0)</f>
        <v>15.87</v>
      </c>
      <c r="H49" s="45">
        <f t="shared" si="2"/>
        <v>0</v>
      </c>
      <c r="I49" s="48">
        <f>IFERROR('🏭 원료 마스터'!$C$48,"")</f>
        <v>0</v>
      </c>
      <c r="J49" s="44">
        <f t="shared" si="3"/>
        <v>0</v>
      </c>
    </row>
    <row r="50" spans="1:10" ht="18" customHeight="1">
      <c r="A50" s="7">
        <v>46</v>
      </c>
      <c r="B50" s="12" t="s">
        <v>99</v>
      </c>
      <c r="C50" s="27">
        <v>358.04</v>
      </c>
      <c r="D50" s="43">
        <f>IFERROR(SUMIFS('📥 원재료 입고'!$E$4:$E$400,'📥 원재료 입고'!$K$4:$K$400,$B$2,'📥 원재료 입고'!$B$4:$B$400,B50),0)</f>
        <v>2820</v>
      </c>
      <c r="E50" s="44">
        <f>IFERROR(SUMIFS('📥 원재료 입고'!$E$4:$E$400,'📥 원재료 입고'!$K$4:$K$400,$B$2,'📥 원재료 입고'!$B$4:$B$400,B50,'📥 원재료 입고'!$D$4:$D$400,"자체구매"),0)</f>
        <v>300</v>
      </c>
      <c r="F50" s="45">
        <f>IFERROR(SUMIFS('📥 원재료 입고'!$E$4:$E$400,'📥 원재료 입고'!$K$4:$K$400,$B$2,'📥 원재료 입고'!$B$4:$B$400,B50,'📥 원재료 입고'!$D$4:$D$400,"위탁공급"),0)</f>
        <v>2520</v>
      </c>
      <c r="G50" s="46">
        <f>IFERROR(SUMIF('📦 일일 생산 입력'!$CL$5:$CL$505,$B$2,'📦 일일 생산 입력'!$AZ$5:$AZ$505),0)</f>
        <v>1074.7270000000001</v>
      </c>
      <c r="H50" s="45">
        <f t="shared" si="2"/>
        <v>2103.3130000000001</v>
      </c>
      <c r="I50" s="45">
        <f>IFERROR('🏭 원료 마스터'!$C$49,"")</f>
        <v>1168.99</v>
      </c>
      <c r="J50" s="44">
        <f t="shared" si="3"/>
        <v>1256345.1157300002</v>
      </c>
    </row>
    <row r="51" spans="1:10" ht="18" customHeight="1">
      <c r="A51" s="11">
        <v>47</v>
      </c>
      <c r="B51" s="47" t="s">
        <v>100</v>
      </c>
      <c r="C51" s="27">
        <v>13.18</v>
      </c>
      <c r="D51" s="43">
        <f>IFERROR(SUMIFS('📥 원재료 입고'!$E$4:$E$400,'📥 원재료 입고'!$K$4:$K$400,$B$2,'📥 원재료 입고'!$B$4:$B$400,B51),0)</f>
        <v>0</v>
      </c>
      <c r="E51" s="44">
        <f>IFERROR(SUMIFS('📥 원재료 입고'!$E$4:$E$400,'📥 원재료 입고'!$K$4:$K$400,$B$2,'📥 원재료 입고'!$B$4:$B$400,B51,'📥 원재료 입고'!$D$4:$D$400,"자체구매"),0)</f>
        <v>0</v>
      </c>
      <c r="F51" s="45">
        <f>IFERROR(SUMIFS('📥 원재료 입고'!$E$4:$E$400,'📥 원재료 입고'!$K$4:$K$400,$B$2,'📥 원재료 입고'!$B$4:$B$400,B51,'📥 원재료 입고'!$D$4:$D$400,"위탁공급"),0)</f>
        <v>0</v>
      </c>
      <c r="G51" s="46">
        <f>IFERROR(SUMIF('📦 일일 생산 입력'!$CL$5:$CL$505,$B$2,'📦 일일 생산 입력'!$BA$5:$BA$505),0)</f>
        <v>7.8540000000000001</v>
      </c>
      <c r="H51" s="45">
        <f t="shared" si="2"/>
        <v>5.3259999999999996</v>
      </c>
      <c r="I51" s="48">
        <f>IFERROR('🏭 원료 마스터'!$C$50,"")</f>
        <v>0</v>
      </c>
      <c r="J51" s="44">
        <f t="shared" si="3"/>
        <v>0</v>
      </c>
    </row>
    <row r="52" spans="1:10" ht="18" customHeight="1">
      <c r="A52" s="7">
        <v>48</v>
      </c>
      <c r="B52" s="12" t="s">
        <v>101</v>
      </c>
      <c r="C52" s="27">
        <v>0</v>
      </c>
      <c r="D52" s="43">
        <f>IFERROR(SUMIFS('📥 원재료 입고'!$E$4:$E$400,'📥 원재료 입고'!$K$4:$K$400,$B$2,'📥 원재료 입고'!$B$4:$B$400,B52),0)</f>
        <v>0</v>
      </c>
      <c r="E52" s="44">
        <f>IFERROR(SUMIFS('📥 원재료 입고'!$E$4:$E$400,'📥 원재료 입고'!$K$4:$K$400,$B$2,'📥 원재료 입고'!$B$4:$B$400,B52,'📥 원재료 입고'!$D$4:$D$400,"자체구매"),0)</f>
        <v>0</v>
      </c>
      <c r="F52" s="45">
        <f>IFERROR(SUMIFS('📥 원재료 입고'!$E$4:$E$400,'📥 원재료 입고'!$K$4:$K$400,$B$2,'📥 원재료 입고'!$B$4:$B$400,B52,'📥 원재료 입고'!$D$4:$D$400,"위탁공급"),0)</f>
        <v>0</v>
      </c>
      <c r="G52" s="46">
        <f>IFERROR(SUMIF('📦 일일 생산 입력'!$CL$5:$CL$505,$B$2,'📦 일일 생산 입력'!$BB$5:$BB$505),0)</f>
        <v>0</v>
      </c>
      <c r="H52" s="45">
        <f t="shared" si="2"/>
        <v>0</v>
      </c>
      <c r="I52" s="45">
        <f>IFERROR('🏭 원료 마스터'!$C$51,"")</f>
        <v>0</v>
      </c>
      <c r="J52" s="44">
        <f t="shared" si="3"/>
        <v>0</v>
      </c>
    </row>
    <row r="53" spans="1:10" ht="18" customHeight="1">
      <c r="A53" s="11">
        <v>49</v>
      </c>
      <c r="B53" s="47" t="s">
        <v>102</v>
      </c>
      <c r="C53" s="27">
        <v>0</v>
      </c>
      <c r="D53" s="43">
        <f>IFERROR(SUMIFS('📥 원재료 입고'!$E$4:$E$400,'📥 원재료 입고'!$K$4:$K$400,$B$2,'📥 원재료 입고'!$B$4:$B$400,B53),0)</f>
        <v>0</v>
      </c>
      <c r="E53" s="44">
        <f>IFERROR(SUMIFS('📥 원재료 입고'!$E$4:$E$400,'📥 원재료 입고'!$K$4:$K$400,$B$2,'📥 원재료 입고'!$B$4:$B$400,B53,'📥 원재료 입고'!$D$4:$D$400,"자체구매"),0)</f>
        <v>0</v>
      </c>
      <c r="F53" s="45">
        <f>IFERROR(SUMIFS('📥 원재료 입고'!$E$4:$E$400,'📥 원재료 입고'!$K$4:$K$400,$B$2,'📥 원재료 입고'!$B$4:$B$400,B53,'📥 원재료 입고'!$D$4:$D$400,"위탁공급"),0)</f>
        <v>0</v>
      </c>
      <c r="G53" s="46">
        <f>IFERROR(SUMIF('📦 일일 생산 입력'!$CL$5:$CL$505,$B$2,'📦 일일 생산 입력'!$BC$5:$BC$505),0)</f>
        <v>0</v>
      </c>
      <c r="H53" s="45">
        <f t="shared" si="2"/>
        <v>0</v>
      </c>
      <c r="I53" s="48">
        <f>IFERROR('🏭 원료 마스터'!$C$52,"")</f>
        <v>0</v>
      </c>
      <c r="J53" s="44">
        <f t="shared" si="3"/>
        <v>0</v>
      </c>
    </row>
    <row r="54" spans="1:10" ht="18" customHeight="1">
      <c r="A54" s="7">
        <v>50</v>
      </c>
      <c r="B54" s="12" t="s">
        <v>103</v>
      </c>
      <c r="C54" s="27">
        <v>0</v>
      </c>
      <c r="D54" s="43">
        <f>IFERROR(SUMIFS('📥 원재료 입고'!$E$4:$E$400,'📥 원재료 입고'!$K$4:$K$400,$B$2,'📥 원재료 입고'!$B$4:$B$400,B54),0)</f>
        <v>0</v>
      </c>
      <c r="E54" s="44">
        <f>IFERROR(SUMIFS('📥 원재료 입고'!$E$4:$E$400,'📥 원재료 입고'!$K$4:$K$400,$B$2,'📥 원재료 입고'!$B$4:$B$400,B54,'📥 원재료 입고'!$D$4:$D$400,"자체구매"),0)</f>
        <v>0</v>
      </c>
      <c r="F54" s="45">
        <f>IFERROR(SUMIFS('📥 원재료 입고'!$E$4:$E$400,'📥 원재료 입고'!$K$4:$K$400,$B$2,'📥 원재료 입고'!$B$4:$B$400,B54,'📥 원재료 입고'!$D$4:$D$400,"위탁공급"),0)</f>
        <v>0</v>
      </c>
      <c r="G54" s="46">
        <f>IFERROR(SUMIF('📦 일일 생산 입력'!$CL$5:$CL$505,$B$2,'📦 일일 생산 입력'!$BD$5:$BD$505),0)</f>
        <v>0</v>
      </c>
      <c r="H54" s="45">
        <f t="shared" si="2"/>
        <v>0</v>
      </c>
      <c r="I54" s="45">
        <f>IFERROR('🏭 원료 마스터'!$C$53,"")</f>
        <v>0</v>
      </c>
      <c r="J54" s="44">
        <f t="shared" si="3"/>
        <v>0</v>
      </c>
    </row>
    <row r="55" spans="1:10" ht="18" customHeight="1">
      <c r="A55" s="11">
        <v>51</v>
      </c>
      <c r="B55" s="47" t="s">
        <v>104</v>
      </c>
      <c r="C55" s="27">
        <v>7.02</v>
      </c>
      <c r="D55" s="43">
        <f>IFERROR(SUMIFS('📥 원재료 입고'!$E$4:$E$400,'📥 원재료 입고'!$K$4:$K$400,$B$2,'📥 원재료 입고'!$B$4:$B$400,B55),0)</f>
        <v>8</v>
      </c>
      <c r="E55" s="44">
        <f>IFERROR(SUMIFS('📥 원재료 입고'!$E$4:$E$400,'📥 원재료 입고'!$K$4:$K$400,$B$2,'📥 원재료 입고'!$B$4:$B$400,B55,'📥 원재료 입고'!$D$4:$D$400,"자체구매"),0)</f>
        <v>8</v>
      </c>
      <c r="F55" s="45">
        <f>IFERROR(SUMIFS('📥 원재료 입고'!$E$4:$E$400,'📥 원재료 입고'!$K$4:$K$400,$B$2,'📥 원재료 입고'!$B$4:$B$400,B55,'📥 원재료 입고'!$D$4:$D$400,"위탁공급"),0)</f>
        <v>0</v>
      </c>
      <c r="G55" s="46">
        <f>IFERROR(SUMIF('📦 일일 생산 입력'!$CL$5:$CL$505,$B$2,'📦 일일 생산 입력'!$BE$5:$BE$505),0)</f>
        <v>9.5680000000000014</v>
      </c>
      <c r="H55" s="45">
        <f t="shared" si="2"/>
        <v>5.4519999999999982</v>
      </c>
      <c r="I55" s="48">
        <f>IFERROR('🏭 원료 마스터'!$C$54,"")</f>
        <v>14135</v>
      </c>
      <c r="J55" s="44">
        <f t="shared" si="3"/>
        <v>135243.68000000002</v>
      </c>
    </row>
    <row r="56" spans="1:10" ht="18" customHeight="1">
      <c r="A56" s="7">
        <v>52</v>
      </c>
      <c r="B56" s="12" t="s">
        <v>105</v>
      </c>
      <c r="C56" s="27">
        <v>11.15</v>
      </c>
      <c r="D56" s="43">
        <f>IFERROR(SUMIFS('📥 원재료 입고'!$E$4:$E$400,'📥 원재료 입고'!$K$4:$K$400,$B$2,'📥 원재료 입고'!$B$4:$B$400,B56),0)</f>
        <v>0</v>
      </c>
      <c r="E56" s="44">
        <f>IFERROR(SUMIFS('📥 원재료 입고'!$E$4:$E$400,'📥 원재료 입고'!$K$4:$K$400,$B$2,'📥 원재료 입고'!$B$4:$B$400,B56,'📥 원재료 입고'!$D$4:$D$400,"자체구매"),0)</f>
        <v>0</v>
      </c>
      <c r="F56" s="45">
        <f>IFERROR(SUMIFS('📥 원재료 입고'!$E$4:$E$400,'📥 원재료 입고'!$K$4:$K$400,$B$2,'📥 원재료 입고'!$B$4:$B$400,B56,'📥 원재료 입고'!$D$4:$D$400,"위탁공급"),0)</f>
        <v>0</v>
      </c>
      <c r="G56" s="46">
        <f>IFERROR(SUMIF('📦 일일 생산 입력'!$CL$5:$CL$505,$B$2,'📦 일일 생산 입력'!$BF$5:$BF$505),0)</f>
        <v>1.1499999999999999</v>
      </c>
      <c r="H56" s="45">
        <f t="shared" si="2"/>
        <v>10</v>
      </c>
      <c r="I56" s="45">
        <f>IFERROR('🏭 원료 마스터'!$C$55,"")</f>
        <v>0</v>
      </c>
      <c r="J56" s="44">
        <f t="shared" si="3"/>
        <v>0</v>
      </c>
    </row>
    <row r="57" spans="1:10" ht="18" customHeight="1">
      <c r="A57" s="11">
        <v>53</v>
      </c>
      <c r="B57" s="47" t="s">
        <v>106</v>
      </c>
      <c r="C57" s="27">
        <v>0</v>
      </c>
      <c r="D57" s="43">
        <f>IFERROR(SUMIFS('📥 원재료 입고'!$E$4:$E$400,'📥 원재료 입고'!$K$4:$K$400,$B$2,'📥 원재료 입고'!$B$4:$B$400,B57),0)</f>
        <v>0</v>
      </c>
      <c r="E57" s="44">
        <f>IFERROR(SUMIFS('📥 원재료 입고'!$E$4:$E$400,'📥 원재료 입고'!$K$4:$K$400,$B$2,'📥 원재료 입고'!$B$4:$B$400,B57,'📥 원재료 입고'!$D$4:$D$400,"자체구매"),0)</f>
        <v>0</v>
      </c>
      <c r="F57" s="45">
        <f>IFERROR(SUMIFS('📥 원재료 입고'!$E$4:$E$400,'📥 원재료 입고'!$K$4:$K$400,$B$2,'📥 원재료 입고'!$B$4:$B$400,B57,'📥 원재료 입고'!$D$4:$D$400,"위탁공급"),0)</f>
        <v>0</v>
      </c>
      <c r="G57" s="46">
        <f>IFERROR(SUMIF('📦 일일 생산 입력'!$CL$5:$CL$505,$B$2,'📦 일일 생산 입력'!$BG$5:$BG$505),0)</f>
        <v>0</v>
      </c>
      <c r="H57" s="45">
        <f t="shared" si="2"/>
        <v>0</v>
      </c>
      <c r="I57" s="48">
        <f>IFERROR('🏭 원료 마스터'!$C$56,"")</f>
        <v>0</v>
      </c>
      <c r="J57" s="44">
        <f t="shared" si="3"/>
        <v>0</v>
      </c>
    </row>
    <row r="58" spans="1:10" ht="18" customHeight="1">
      <c r="A58" s="7">
        <v>54</v>
      </c>
      <c r="B58" s="12" t="s">
        <v>107</v>
      </c>
      <c r="C58" s="27">
        <v>8.66</v>
      </c>
      <c r="D58" s="43">
        <f>IFERROR(SUMIFS('📥 원재료 입고'!$E$4:$E$400,'📥 원재료 입고'!$K$4:$K$400,$B$2,'📥 원재료 입고'!$B$4:$B$400,B58),0)</f>
        <v>0.5</v>
      </c>
      <c r="E58" s="44">
        <f>IFERROR(SUMIFS('📥 원재료 입고'!$E$4:$E$400,'📥 원재료 입고'!$K$4:$K$400,$B$2,'📥 원재료 입고'!$B$4:$B$400,B58,'📥 원재료 입고'!$D$4:$D$400,"자체구매"),0)</f>
        <v>0.5</v>
      </c>
      <c r="F58" s="45">
        <f>IFERROR(SUMIFS('📥 원재료 입고'!$E$4:$E$400,'📥 원재료 입고'!$K$4:$K$400,$B$2,'📥 원재료 입고'!$B$4:$B$400,B58,'📥 원재료 입고'!$D$4:$D$400,"위탁공급"),0)</f>
        <v>0</v>
      </c>
      <c r="G58" s="46">
        <f>IFERROR(SUMIF('📦 일일 생산 입력'!$CL$5:$CL$505,$B$2,'📦 일일 생산 입력'!$BH$5:$BH$505),0)</f>
        <v>6.4680000000000009</v>
      </c>
      <c r="H58" s="45">
        <f t="shared" si="2"/>
        <v>2.6919999999999993</v>
      </c>
      <c r="I58" s="45">
        <f>IFERROR('🏭 원료 마스터'!$C$57,"")</f>
        <v>19980</v>
      </c>
      <c r="J58" s="44">
        <f t="shared" si="3"/>
        <v>129230.64000000001</v>
      </c>
    </row>
    <row r="59" spans="1:10" ht="18" customHeight="1">
      <c r="A59" s="11">
        <v>55</v>
      </c>
      <c r="B59" s="47" t="s">
        <v>108</v>
      </c>
      <c r="C59" s="27">
        <v>0</v>
      </c>
      <c r="D59" s="43">
        <f>IFERROR(SUMIFS('📥 원재료 입고'!$E$4:$E$400,'📥 원재료 입고'!$K$4:$K$400,$B$2,'📥 원재료 입고'!$B$4:$B$400,B59),0)</f>
        <v>660</v>
      </c>
      <c r="E59" s="44">
        <f>IFERROR(SUMIFS('📥 원재료 입고'!$E$4:$E$400,'📥 원재료 입고'!$K$4:$K$400,$B$2,'📥 원재료 입고'!$B$4:$B$400,B59,'📥 원재료 입고'!$D$4:$D$400,"자체구매"),0)</f>
        <v>160</v>
      </c>
      <c r="F59" s="45">
        <f>IFERROR(SUMIFS('📥 원재료 입고'!$E$4:$E$400,'📥 원재료 입고'!$K$4:$K$400,$B$2,'📥 원재료 입고'!$B$4:$B$400,B59,'📥 원재료 입고'!$D$4:$D$400,"위탁공급"),0)</f>
        <v>500</v>
      </c>
      <c r="G59" s="46">
        <f>IFERROR(SUMIF('📦 일일 생산 입력'!$CL$5:$CL$505,$B$2,'📦 일일 생산 입력'!$BI$5:$BI$505),0)</f>
        <v>25.810000000000002</v>
      </c>
      <c r="H59" s="45">
        <f t="shared" si="2"/>
        <v>634.19000000000005</v>
      </c>
      <c r="I59" s="48">
        <f>IFERROR('🏭 원료 마스터'!$C$58,"")</f>
        <v>1212.8800000000001</v>
      </c>
      <c r="J59" s="44">
        <f t="shared" si="3"/>
        <v>31304.432800000006</v>
      </c>
    </row>
    <row r="60" spans="1:10" ht="18" customHeight="1">
      <c r="A60" s="7">
        <v>56</v>
      </c>
      <c r="B60" s="12" t="s">
        <v>109</v>
      </c>
      <c r="C60" s="27">
        <v>4.24</v>
      </c>
      <c r="D60" s="43">
        <f>IFERROR(SUMIFS('📥 원재료 입고'!$E$4:$E$400,'📥 원재료 입고'!$K$4:$K$400,$B$2,'📥 원재료 입고'!$B$4:$B$400,B60),0)</f>
        <v>0</v>
      </c>
      <c r="E60" s="44">
        <f>IFERROR(SUMIFS('📥 원재료 입고'!$E$4:$E$400,'📥 원재료 입고'!$K$4:$K$400,$B$2,'📥 원재료 입고'!$B$4:$B$400,B60,'📥 원재료 입고'!$D$4:$D$400,"자체구매"),0)</f>
        <v>0</v>
      </c>
      <c r="F60" s="45">
        <f>IFERROR(SUMIFS('📥 원재료 입고'!$E$4:$E$400,'📥 원재료 입고'!$K$4:$K$400,$B$2,'📥 원재료 입고'!$B$4:$B$400,B60,'📥 원재료 입고'!$D$4:$D$400,"위탁공급"),0)</f>
        <v>0</v>
      </c>
      <c r="G60" s="46">
        <f>IFERROR(SUMIF('📦 일일 생산 입력'!$CL$5:$CL$505,$B$2,'📦 일일 생산 입력'!$BJ$5:$BJ$505),0)</f>
        <v>1.2375</v>
      </c>
      <c r="H60" s="45">
        <f t="shared" si="2"/>
        <v>3.0025000000000004</v>
      </c>
      <c r="I60" s="45">
        <f>IFERROR('🏭 원료 마스터'!$C$59,"")</f>
        <v>0</v>
      </c>
      <c r="J60" s="44">
        <f t="shared" si="3"/>
        <v>0</v>
      </c>
    </row>
    <row r="61" spans="1:10" ht="18" customHeight="1">
      <c r="A61" s="11">
        <v>57</v>
      </c>
      <c r="B61" s="47" t="s">
        <v>110</v>
      </c>
      <c r="C61" s="27">
        <v>0</v>
      </c>
      <c r="D61" s="43">
        <f>IFERROR(SUMIFS('📥 원재료 입고'!$E$4:$E$400,'📥 원재료 입고'!$K$4:$K$400,$B$2,'📥 원재료 입고'!$B$4:$B$400,B61),0)</f>
        <v>0</v>
      </c>
      <c r="E61" s="44">
        <f>IFERROR(SUMIFS('📥 원재료 입고'!$E$4:$E$400,'📥 원재료 입고'!$K$4:$K$400,$B$2,'📥 원재료 입고'!$B$4:$B$400,B61,'📥 원재료 입고'!$D$4:$D$400,"자체구매"),0)</f>
        <v>0</v>
      </c>
      <c r="F61" s="45">
        <f>IFERROR(SUMIFS('📥 원재료 입고'!$E$4:$E$400,'📥 원재료 입고'!$K$4:$K$400,$B$2,'📥 원재료 입고'!$B$4:$B$400,B61,'📥 원재료 입고'!$D$4:$D$400,"위탁공급"),0)</f>
        <v>0</v>
      </c>
      <c r="G61" s="46">
        <f>IFERROR(SUMIF('📦 일일 생산 입력'!$CL$5:$CL$505,$B$2,'📦 일일 생산 입력'!$BK$5:$BK$505),0)</f>
        <v>0</v>
      </c>
      <c r="H61" s="45">
        <f t="shared" si="2"/>
        <v>0</v>
      </c>
      <c r="I61" s="48">
        <f>IFERROR('🏭 원료 마스터'!$C$60,"")</f>
        <v>0</v>
      </c>
      <c r="J61" s="44">
        <f t="shared" si="3"/>
        <v>0</v>
      </c>
    </row>
    <row r="62" spans="1:10" ht="18" customHeight="1">
      <c r="A62" s="7">
        <v>58</v>
      </c>
      <c r="B62" s="12" t="s">
        <v>111</v>
      </c>
      <c r="C62" s="27">
        <v>0</v>
      </c>
      <c r="D62" s="43">
        <f>IFERROR(SUMIFS('📥 원재료 입고'!$E$4:$E$400,'📥 원재료 입고'!$K$4:$K$400,$B$2,'📥 원재료 입고'!$B$4:$B$400,B62),0)</f>
        <v>2</v>
      </c>
      <c r="E62" s="44">
        <f>IFERROR(SUMIFS('📥 원재료 입고'!$E$4:$E$400,'📥 원재료 입고'!$K$4:$K$400,$B$2,'📥 원재료 입고'!$B$4:$B$400,B62,'📥 원재료 입고'!$D$4:$D$400,"자체구매"),0)</f>
        <v>2</v>
      </c>
      <c r="F62" s="45">
        <f>IFERROR(SUMIFS('📥 원재료 입고'!$E$4:$E$400,'📥 원재료 입고'!$K$4:$K$400,$B$2,'📥 원재료 입고'!$B$4:$B$400,B62,'📥 원재료 입고'!$D$4:$D$400,"위탁공급"),0)</f>
        <v>0</v>
      </c>
      <c r="G62" s="46">
        <f>IFERROR(SUMIF('📦 일일 생산 입력'!$CL$5:$CL$505,$B$2,'📦 일일 생산 입력'!$BL$5:$BL$505),0)</f>
        <v>0.45</v>
      </c>
      <c r="H62" s="45">
        <f t="shared" si="2"/>
        <v>1.55</v>
      </c>
      <c r="I62" s="45">
        <f>IFERROR('🏭 원료 마스터'!$C$61,"")</f>
        <v>11500</v>
      </c>
      <c r="J62" s="44">
        <f t="shared" si="3"/>
        <v>5175</v>
      </c>
    </row>
    <row r="63" spans="1:10" ht="18" customHeight="1">
      <c r="A63" s="11">
        <v>59</v>
      </c>
      <c r="B63" s="47" t="s">
        <v>112</v>
      </c>
      <c r="C63" s="27">
        <v>5.17</v>
      </c>
      <c r="D63" s="43">
        <f>IFERROR(SUMIFS('📥 원재료 입고'!$E$4:$E$400,'📥 원재료 입고'!$K$4:$K$400,$B$2,'📥 원재료 입고'!$B$4:$B$400,B63),0)</f>
        <v>0</v>
      </c>
      <c r="E63" s="44">
        <f>IFERROR(SUMIFS('📥 원재료 입고'!$E$4:$E$400,'📥 원재료 입고'!$K$4:$K$400,$B$2,'📥 원재료 입고'!$B$4:$B$400,B63,'📥 원재료 입고'!$D$4:$D$400,"자체구매"),0)</f>
        <v>0</v>
      </c>
      <c r="F63" s="45">
        <f>IFERROR(SUMIFS('📥 원재료 입고'!$E$4:$E$400,'📥 원재료 입고'!$K$4:$K$400,$B$2,'📥 원재료 입고'!$B$4:$B$400,B63,'📥 원재료 입고'!$D$4:$D$400,"위탁공급"),0)</f>
        <v>0</v>
      </c>
      <c r="G63" s="46">
        <f>IFERROR(SUMIF('📦 일일 생산 입력'!$CL$5:$CL$505,$B$2,'📦 일일 생산 입력'!$BM$5:$BM$505),0)</f>
        <v>5.1749999999999998</v>
      </c>
      <c r="H63" s="45">
        <f t="shared" si="2"/>
        <v>0</v>
      </c>
      <c r="I63" s="48">
        <f>IFERROR('🏭 원료 마스터'!$C$62,"")</f>
        <v>0</v>
      </c>
      <c r="J63" s="44">
        <f t="shared" si="3"/>
        <v>0</v>
      </c>
    </row>
    <row r="64" spans="1:10" ht="18" customHeight="1">
      <c r="A64" s="7">
        <v>60</v>
      </c>
      <c r="B64" s="12" t="s">
        <v>113</v>
      </c>
      <c r="C64" s="27">
        <v>1158.49</v>
      </c>
      <c r="D64" s="43">
        <f>IFERROR(SUMIFS('📥 원재료 입고'!$E$4:$E$400,'📥 원재료 입고'!$K$4:$K$400,$B$2,'📥 원재료 입고'!$B$4:$B$400,B64),0)</f>
        <v>0</v>
      </c>
      <c r="E64" s="44">
        <f>IFERROR(SUMIFS('📥 원재료 입고'!$E$4:$E$400,'📥 원재료 입고'!$K$4:$K$400,$B$2,'📥 원재료 입고'!$B$4:$B$400,B64,'📥 원재료 입고'!$D$4:$D$400,"자체구매"),0)</f>
        <v>0</v>
      </c>
      <c r="F64" s="45">
        <f>IFERROR(SUMIFS('📥 원재료 입고'!$E$4:$E$400,'📥 원재료 입고'!$K$4:$K$400,$B$2,'📥 원재료 입고'!$B$4:$B$400,B64,'📥 원재료 입고'!$D$4:$D$400,"위탁공급"),0)</f>
        <v>0</v>
      </c>
      <c r="G64" s="46">
        <f>IFERROR(SUMIF('📦 일일 생산 입력'!$CL$5:$CL$505,$B$2,'📦 일일 생산 입력'!$BN$5:$BN$505),0)</f>
        <v>570.89499999999998</v>
      </c>
      <c r="H64" s="45">
        <f t="shared" si="2"/>
        <v>587.59500000000003</v>
      </c>
      <c r="I64" s="45">
        <f>IFERROR('🏭 원료 마스터'!$C$63,"")</f>
        <v>0</v>
      </c>
      <c r="J64" s="44">
        <f t="shared" si="3"/>
        <v>0</v>
      </c>
    </row>
    <row r="65" spans="1:10" ht="18" customHeight="1">
      <c r="A65" s="11">
        <v>61</v>
      </c>
      <c r="B65" s="47" t="s">
        <v>114</v>
      </c>
      <c r="C65" s="27">
        <v>2.4900000000000002</v>
      </c>
      <c r="D65" s="43">
        <f>IFERROR(SUMIFS('📥 원재료 입고'!$E$4:$E$400,'📥 원재료 입고'!$K$4:$K$400,$B$2,'📥 원재료 입고'!$B$4:$B$400,B65),0)</f>
        <v>0</v>
      </c>
      <c r="E65" s="44">
        <f>IFERROR(SUMIFS('📥 원재료 입고'!$E$4:$E$400,'📥 원재료 입고'!$K$4:$K$400,$B$2,'📥 원재료 입고'!$B$4:$B$400,B65,'📥 원재료 입고'!$D$4:$D$400,"자체구매"),0)</f>
        <v>0</v>
      </c>
      <c r="F65" s="45">
        <f>IFERROR(SUMIFS('📥 원재료 입고'!$E$4:$E$400,'📥 원재료 입고'!$K$4:$K$400,$B$2,'📥 원재료 입고'!$B$4:$B$400,B65,'📥 원재료 입고'!$D$4:$D$400,"위탁공급"),0)</f>
        <v>0</v>
      </c>
      <c r="G65" s="46">
        <f>IFERROR(SUMIF('📦 일일 생산 입력'!$CL$5:$CL$505,$B$2,'📦 일일 생산 입력'!$BO$5:$BO$505),0)</f>
        <v>3.1680000000000001</v>
      </c>
      <c r="H65" s="45">
        <f t="shared" si="2"/>
        <v>0</v>
      </c>
      <c r="I65" s="48">
        <f>IFERROR('🏭 원료 마스터'!$C$64,"")</f>
        <v>20800</v>
      </c>
      <c r="J65" s="44">
        <f t="shared" si="3"/>
        <v>65894.400000000009</v>
      </c>
    </row>
    <row r="66" spans="1:10" ht="18" customHeight="1">
      <c r="A66" s="7">
        <v>62</v>
      </c>
      <c r="B66" s="12" t="s">
        <v>115</v>
      </c>
      <c r="C66" s="27">
        <v>0</v>
      </c>
      <c r="D66" s="43">
        <f>IFERROR(SUMIFS('📥 원재료 입고'!$E$4:$E$400,'📥 원재료 입고'!$K$4:$K$400,$B$2,'📥 원재료 입고'!$B$4:$B$400,B66),0)</f>
        <v>460</v>
      </c>
      <c r="E66" s="44">
        <f>IFERROR(SUMIFS('📥 원재료 입고'!$E$4:$E$400,'📥 원재료 입고'!$K$4:$K$400,$B$2,'📥 원재료 입고'!$B$4:$B$400,B66,'📥 원재료 입고'!$D$4:$D$400,"자체구매"),0)</f>
        <v>460</v>
      </c>
      <c r="F66" s="45">
        <f>IFERROR(SUMIFS('📥 원재료 입고'!$E$4:$E$400,'📥 원재료 입고'!$K$4:$K$400,$B$2,'📥 원재료 입고'!$B$4:$B$400,B66,'📥 원재료 입고'!$D$4:$D$400,"위탁공급"),0)</f>
        <v>0</v>
      </c>
      <c r="G66" s="46">
        <f>IFERROR(SUMIF('📦 일일 생산 입력'!$CL$5:$CL$505,$B$2,'📦 일일 생산 입력'!$BP$5:$BP$505),0)</f>
        <v>188.672</v>
      </c>
      <c r="H66" s="45">
        <f t="shared" si="2"/>
        <v>271.32799999999997</v>
      </c>
      <c r="I66" s="45">
        <f>IFERROR('🏭 원료 마스터'!$C$65,"")</f>
        <v>3123.24</v>
      </c>
      <c r="J66" s="44">
        <f t="shared" si="3"/>
        <v>589267.93727999995</v>
      </c>
    </row>
    <row r="67" spans="1:10" ht="18" customHeight="1">
      <c r="A67" s="11">
        <v>63</v>
      </c>
      <c r="B67" s="47" t="s">
        <v>116</v>
      </c>
      <c r="C67" s="27">
        <v>0</v>
      </c>
      <c r="D67" s="43">
        <f>IFERROR(SUMIFS('📥 원재료 입고'!$E$4:$E$400,'📥 원재료 입고'!$K$4:$K$400,$B$2,'📥 원재료 입고'!$B$4:$B$400,B67),0)</f>
        <v>4000</v>
      </c>
      <c r="E67" s="44">
        <f>IFERROR(SUMIFS('📥 원재료 입고'!$E$4:$E$400,'📥 원재료 입고'!$K$4:$K$400,$B$2,'📥 원재료 입고'!$B$4:$B$400,B67,'📥 원재료 입고'!$D$4:$D$400,"자체구매"),0)</f>
        <v>0</v>
      </c>
      <c r="F67" s="45">
        <f>IFERROR(SUMIFS('📥 원재료 입고'!$E$4:$E$400,'📥 원재료 입고'!$K$4:$K$400,$B$2,'📥 원재료 입고'!$B$4:$B$400,B67,'📥 원재료 입고'!$D$4:$D$400,"위탁공급"),0)</f>
        <v>4000</v>
      </c>
      <c r="G67" s="46">
        <f>IFERROR(SUMIF('📦 일일 생산 입력'!$CL$5:$CL$505,$B$2,'📦 일일 생산 입력'!$BQ$5:$BQ$505),0)</f>
        <v>1920.32</v>
      </c>
      <c r="H67" s="45">
        <f t="shared" si="2"/>
        <v>2079.6800000000003</v>
      </c>
      <c r="I67" s="48">
        <f>IFERROR('🏭 원료 마스터'!$C$66,"")</f>
        <v>2780.56</v>
      </c>
      <c r="J67" s="44">
        <f t="shared" si="3"/>
        <v>5339564.9791999999</v>
      </c>
    </row>
    <row r="68" spans="1:10" ht="18" customHeight="1">
      <c r="A68" s="7">
        <v>64</v>
      </c>
      <c r="B68" s="12" t="s">
        <v>117</v>
      </c>
      <c r="C68" s="27">
        <v>0.85</v>
      </c>
      <c r="D68" s="43">
        <f>IFERROR(SUMIFS('📥 원재료 입고'!$E$4:$E$400,'📥 원재료 입고'!$K$4:$K$400,$B$2,'📥 원재료 입고'!$B$4:$B$400,B68),0)</f>
        <v>0</v>
      </c>
      <c r="E68" s="44">
        <f>IFERROR(SUMIFS('📥 원재료 입고'!$E$4:$E$400,'📥 원재료 입고'!$K$4:$K$400,$B$2,'📥 원재료 입고'!$B$4:$B$400,B68,'📥 원재료 입고'!$D$4:$D$400,"자체구매"),0)</f>
        <v>0</v>
      </c>
      <c r="F68" s="45">
        <f>IFERROR(SUMIFS('📥 원재료 입고'!$E$4:$E$400,'📥 원재료 입고'!$K$4:$K$400,$B$2,'📥 원재료 입고'!$B$4:$B$400,B68,'📥 원재료 입고'!$D$4:$D$400,"위탁공급"),0)</f>
        <v>0</v>
      </c>
      <c r="G68" s="46">
        <f>IFERROR(SUMIF('📦 일일 생산 입력'!$CL$5:$CL$505,$B$2,'📦 일일 생산 입력'!$BR$5:$BR$505),0)</f>
        <v>0.85</v>
      </c>
      <c r="H68" s="45">
        <f t="shared" si="2"/>
        <v>0</v>
      </c>
      <c r="I68" s="45">
        <f>IFERROR('🏭 원료 마스터'!$C$67,"")</f>
        <v>0</v>
      </c>
      <c r="J68" s="44">
        <f t="shared" si="3"/>
        <v>0</v>
      </c>
    </row>
    <row r="69" spans="1:10" ht="18" customHeight="1">
      <c r="A69" s="11">
        <v>65</v>
      </c>
      <c r="B69" s="47" t="s">
        <v>118</v>
      </c>
      <c r="C69" s="27">
        <v>318.47000000000003</v>
      </c>
      <c r="D69" s="43">
        <f>IFERROR(SUMIFS('📥 원재료 입고'!$E$4:$E$400,'📥 원재료 입고'!$K$4:$K$400,$B$2,'📥 원재료 입고'!$B$4:$B$400,B69),0)</f>
        <v>0</v>
      </c>
      <c r="E69" s="44">
        <f>IFERROR(SUMIFS('📥 원재료 입고'!$E$4:$E$400,'📥 원재료 입고'!$K$4:$K$400,$B$2,'📥 원재료 입고'!$B$4:$B$400,B69,'📥 원재료 입고'!$D$4:$D$400,"자체구매"),0)</f>
        <v>0</v>
      </c>
      <c r="F69" s="45">
        <f>IFERROR(SUMIFS('📥 원재료 입고'!$E$4:$E$400,'📥 원재료 입고'!$K$4:$K$400,$B$2,'📥 원재료 입고'!$B$4:$B$400,B69,'📥 원재료 입고'!$D$4:$D$400,"위탁공급"),0)</f>
        <v>0</v>
      </c>
      <c r="G69" s="46">
        <f>IFERROR(SUMIF('📦 일일 생산 입력'!$CL$5:$CL$505,$B$2,'📦 일일 생산 입력'!$BS$5:$BS$505),0)</f>
        <v>115.74599999999998</v>
      </c>
      <c r="H69" s="45">
        <f t="shared" ref="H69:H100" si="4">IFERROR(MAX(C69+D69-G69,0),"")</f>
        <v>202.72400000000005</v>
      </c>
      <c r="I69" s="48">
        <f>IFERROR('🏭 원료 마스터'!$C$68,"")</f>
        <v>899.09</v>
      </c>
      <c r="J69" s="44">
        <f t="shared" ref="J69:J100" si="5">IFERROR(G69*I69,"")</f>
        <v>104066.07113999999</v>
      </c>
    </row>
    <row r="70" spans="1:10" ht="18" customHeight="1">
      <c r="A70" s="7">
        <v>66</v>
      </c>
      <c r="B70" s="12" t="s">
        <v>119</v>
      </c>
      <c r="C70" s="27">
        <v>13</v>
      </c>
      <c r="D70" s="43">
        <f>IFERROR(SUMIFS('📥 원재료 입고'!$E$4:$E$400,'📥 원재료 입고'!$K$4:$K$400,$B$2,'📥 원재료 입고'!$B$4:$B$400,B70),0)</f>
        <v>0</v>
      </c>
      <c r="E70" s="44">
        <f>IFERROR(SUMIFS('📥 원재료 입고'!$E$4:$E$400,'📥 원재료 입고'!$K$4:$K$400,$B$2,'📥 원재료 입고'!$B$4:$B$400,B70,'📥 원재료 입고'!$D$4:$D$400,"자체구매"),0)</f>
        <v>0</v>
      </c>
      <c r="F70" s="45">
        <f>IFERROR(SUMIFS('📥 원재료 입고'!$E$4:$E$400,'📥 원재료 입고'!$K$4:$K$400,$B$2,'📥 원재료 입고'!$B$4:$B$400,B70,'📥 원재료 입고'!$D$4:$D$400,"위탁공급"),0)</f>
        <v>0</v>
      </c>
      <c r="G70" s="46">
        <f>IFERROR(SUMIF('📦 일일 생산 입력'!$CL$5:$CL$505,$B$2,'📦 일일 생산 입력'!$BT$5:$BT$505),0)</f>
        <v>0</v>
      </c>
      <c r="H70" s="45">
        <f t="shared" si="4"/>
        <v>13</v>
      </c>
      <c r="I70" s="45">
        <f>IFERROR('🏭 원료 마스터'!$C$69,"")</f>
        <v>0</v>
      </c>
      <c r="J70" s="44">
        <f t="shared" si="5"/>
        <v>0</v>
      </c>
    </row>
    <row r="71" spans="1:10" ht="18" customHeight="1">
      <c r="A71" s="11">
        <v>67</v>
      </c>
      <c r="B71" s="47" t="s">
        <v>120</v>
      </c>
      <c r="C71" s="27">
        <v>5954.17</v>
      </c>
      <c r="D71" s="43">
        <f>IFERROR(SUMIFS('📥 원재료 입고'!$E$4:$E$400,'📥 원재료 입고'!$K$4:$K$400,$B$2,'📥 원재료 입고'!$B$4:$B$400,B71),0)</f>
        <v>4420</v>
      </c>
      <c r="E71" s="44">
        <f>IFERROR(SUMIFS('📥 원재료 입고'!$E$4:$E$400,'📥 원재료 입고'!$K$4:$K$400,$B$2,'📥 원재료 입고'!$B$4:$B$400,B71,'📥 원재료 입고'!$D$4:$D$400,"자체구매"),0)</f>
        <v>820</v>
      </c>
      <c r="F71" s="45">
        <f>IFERROR(SUMIFS('📥 원재료 입고'!$E$4:$E$400,'📥 원재료 입고'!$K$4:$K$400,$B$2,'📥 원재료 입고'!$B$4:$B$400,B71,'📥 원재료 입고'!$D$4:$D$400,"위탁공급"),0)</f>
        <v>3600</v>
      </c>
      <c r="G71" s="46">
        <f>IFERROR(SUMIF('📦 일일 생산 입력'!$CL$5:$CL$505,$B$2,'📦 일일 생산 입력'!$BU$5:$BU$505),0)</f>
        <v>4259.0619999999999</v>
      </c>
      <c r="H71" s="45">
        <f t="shared" si="4"/>
        <v>6115.1080000000002</v>
      </c>
      <c r="I71" s="48">
        <f>IFERROR('🏭 원료 마스터'!$C$70,"")</f>
        <v>3380.54</v>
      </c>
      <c r="J71" s="44">
        <f t="shared" si="5"/>
        <v>14397929.45348</v>
      </c>
    </row>
    <row r="72" spans="1:10" ht="18" customHeight="1">
      <c r="A72" s="7">
        <v>68</v>
      </c>
      <c r="B72" s="12" t="s">
        <v>121</v>
      </c>
      <c r="C72" s="27">
        <v>252.4</v>
      </c>
      <c r="D72" s="43">
        <f>IFERROR(SUMIFS('📥 원재료 입고'!$E$4:$E$400,'📥 원재료 입고'!$K$4:$K$400,$B$2,'📥 원재료 입고'!$B$4:$B$400,B72),0)</f>
        <v>160</v>
      </c>
      <c r="E72" s="44">
        <f>IFERROR(SUMIFS('📥 원재료 입고'!$E$4:$E$400,'📥 원재료 입고'!$K$4:$K$400,$B$2,'📥 원재료 입고'!$B$4:$B$400,B72,'📥 원재료 입고'!$D$4:$D$400,"자체구매"),0)</f>
        <v>160</v>
      </c>
      <c r="F72" s="45">
        <f>IFERROR(SUMIFS('📥 원재료 입고'!$E$4:$E$400,'📥 원재료 입고'!$K$4:$K$400,$B$2,'📥 원재료 입고'!$B$4:$B$400,B72,'📥 원재료 입고'!$D$4:$D$400,"위탁공급"),0)</f>
        <v>0</v>
      </c>
      <c r="G72" s="46">
        <f>IFERROR(SUMIF('📦 일일 생산 입력'!$CL$5:$CL$505,$B$2,'📦 일일 생산 입력'!$BV$5:$BV$505),0)</f>
        <v>128.96899999999999</v>
      </c>
      <c r="H72" s="45">
        <f t="shared" si="4"/>
        <v>283.43099999999998</v>
      </c>
      <c r="I72" s="45">
        <f>IFERROR('🏭 원료 마스터'!$C$71,"")</f>
        <v>620</v>
      </c>
      <c r="J72" s="44">
        <f t="shared" si="5"/>
        <v>79960.78</v>
      </c>
    </row>
    <row r="73" spans="1:10" ht="18" customHeight="1">
      <c r="A73" s="11">
        <v>69</v>
      </c>
      <c r="B73" s="47" t="s">
        <v>122</v>
      </c>
      <c r="C73" s="27">
        <v>54.35</v>
      </c>
      <c r="D73" s="43">
        <f>IFERROR(SUMIFS('📥 원재료 입고'!$E$4:$E$400,'📥 원재료 입고'!$K$4:$K$400,$B$2,'📥 원재료 입고'!$B$4:$B$400,B73),0)</f>
        <v>20</v>
      </c>
      <c r="E73" s="44">
        <f>IFERROR(SUMIFS('📥 원재료 입고'!$E$4:$E$400,'📥 원재료 입고'!$K$4:$K$400,$B$2,'📥 원재료 입고'!$B$4:$B$400,B73,'📥 원재료 입고'!$D$4:$D$400,"자체구매"),0)</f>
        <v>20</v>
      </c>
      <c r="F73" s="45">
        <f>IFERROR(SUMIFS('📥 원재료 입고'!$E$4:$E$400,'📥 원재료 입고'!$K$4:$K$400,$B$2,'📥 원재료 입고'!$B$4:$B$400,B73,'📥 원재료 입고'!$D$4:$D$400,"위탁공급"),0)</f>
        <v>0</v>
      </c>
      <c r="G73" s="46">
        <f>IFERROR(SUMIF('📦 일일 생산 입력'!$CL$5:$CL$505,$B$2,'📦 일일 생산 입력'!$BW$5:$BW$505),0)</f>
        <v>87.78</v>
      </c>
      <c r="H73" s="45">
        <f t="shared" si="4"/>
        <v>0</v>
      </c>
      <c r="I73" s="48">
        <f>IFERROR('🏭 원료 마스터'!$C$72,"")</f>
        <v>17350</v>
      </c>
      <c r="J73" s="44">
        <f t="shared" si="5"/>
        <v>1522983</v>
      </c>
    </row>
    <row r="74" spans="1:10" ht="18" customHeight="1">
      <c r="A74" s="7">
        <v>70</v>
      </c>
      <c r="B74" s="12" t="s">
        <v>123</v>
      </c>
      <c r="C74" s="27">
        <v>24.03</v>
      </c>
      <c r="D74" s="43">
        <f>IFERROR(SUMIFS('📥 원재료 입고'!$E$4:$E$400,'📥 원재료 입고'!$K$4:$K$400,$B$2,'📥 원재료 입고'!$B$4:$B$400,B74),0)</f>
        <v>0</v>
      </c>
      <c r="E74" s="44">
        <f>IFERROR(SUMIFS('📥 원재료 입고'!$E$4:$E$400,'📥 원재료 입고'!$K$4:$K$400,$B$2,'📥 원재료 입고'!$B$4:$B$400,B74,'📥 원재료 입고'!$D$4:$D$400,"자체구매"),0)</f>
        <v>0</v>
      </c>
      <c r="F74" s="45">
        <f>IFERROR(SUMIFS('📥 원재료 입고'!$E$4:$E$400,'📥 원재료 입고'!$K$4:$K$400,$B$2,'📥 원재료 입고'!$B$4:$B$400,B74,'📥 원재료 입고'!$D$4:$D$400,"위탁공급"),0)</f>
        <v>0</v>
      </c>
      <c r="G74" s="46">
        <f>IFERROR(SUMIF('📦 일일 생산 입력'!$CL$5:$CL$505,$B$2,'📦 일일 생산 입력'!$BX$5:$BX$505),0)</f>
        <v>8.1790000000000003</v>
      </c>
      <c r="H74" s="45">
        <f t="shared" si="4"/>
        <v>15.851000000000001</v>
      </c>
      <c r="I74" s="45">
        <f>IFERROR('🏭 원료 마스터'!$C$73,"")</f>
        <v>0</v>
      </c>
      <c r="J74" s="44">
        <f t="shared" si="5"/>
        <v>0</v>
      </c>
    </row>
    <row r="75" spans="1:10" ht="18" customHeight="1">
      <c r="A75" s="11">
        <v>71</v>
      </c>
      <c r="B75" s="47" t="s">
        <v>124</v>
      </c>
      <c r="C75" s="27">
        <v>18.239999999999998</v>
      </c>
      <c r="D75" s="43">
        <f>IFERROR(SUMIFS('📥 원재료 입고'!$E$4:$E$400,'📥 원재료 입고'!$K$4:$K$400,$B$2,'📥 원재료 입고'!$B$4:$B$400,B75),0)</f>
        <v>0</v>
      </c>
      <c r="E75" s="44">
        <f>IFERROR(SUMIFS('📥 원재료 입고'!$E$4:$E$400,'📥 원재료 입고'!$K$4:$K$400,$B$2,'📥 원재료 입고'!$B$4:$B$400,B75,'📥 원재료 입고'!$D$4:$D$400,"자체구매"),0)</f>
        <v>0</v>
      </c>
      <c r="F75" s="45">
        <f>IFERROR(SUMIFS('📥 원재료 입고'!$E$4:$E$400,'📥 원재료 입고'!$K$4:$K$400,$B$2,'📥 원재료 입고'!$B$4:$B$400,B75,'📥 원재료 입고'!$D$4:$D$400,"위탁공급"),0)</f>
        <v>0</v>
      </c>
      <c r="G75" s="46">
        <f>IFERROR(SUMIF('📦 일일 생산 입력'!$CL$5:$CL$505,$B$2,'📦 일일 생산 입력'!$BY$5:$BY$505),0)</f>
        <v>0.24</v>
      </c>
      <c r="H75" s="45">
        <f t="shared" si="4"/>
        <v>18</v>
      </c>
      <c r="I75" s="48">
        <f>IFERROR('🏭 원료 마스터'!$C$74,"")</f>
        <v>0</v>
      </c>
      <c r="J75" s="44">
        <f t="shared" si="5"/>
        <v>0</v>
      </c>
    </row>
    <row r="76" spans="1:10" ht="18" customHeight="1">
      <c r="A76" s="7">
        <v>72</v>
      </c>
      <c r="B76" s="12" t="s">
        <v>125</v>
      </c>
      <c r="C76" s="27">
        <v>0.93</v>
      </c>
      <c r="D76" s="43">
        <f>IFERROR(SUMIFS('📥 원재료 입고'!$E$4:$E$400,'📥 원재료 입고'!$K$4:$K$400,$B$2,'📥 원재료 입고'!$B$4:$B$400,B76),0)</f>
        <v>0</v>
      </c>
      <c r="E76" s="44">
        <f>IFERROR(SUMIFS('📥 원재료 입고'!$E$4:$E$400,'📥 원재료 입고'!$K$4:$K$400,$B$2,'📥 원재료 입고'!$B$4:$B$400,B76,'📥 원재료 입고'!$D$4:$D$400,"자체구매"),0)</f>
        <v>0</v>
      </c>
      <c r="F76" s="45">
        <f>IFERROR(SUMIFS('📥 원재료 입고'!$E$4:$E$400,'📥 원재료 입고'!$K$4:$K$400,$B$2,'📥 원재료 입고'!$B$4:$B$400,B76,'📥 원재료 입고'!$D$4:$D$400,"위탁공급"),0)</f>
        <v>0</v>
      </c>
      <c r="G76" s="46">
        <f>IFERROR(SUMIF('📦 일일 생산 입력'!$CL$5:$CL$505,$B$2,'📦 일일 생산 입력'!$BZ$5:$BZ$505),0)</f>
        <v>0.92999999999999994</v>
      </c>
      <c r="H76" s="45">
        <f t="shared" si="4"/>
        <v>1.1102230246251565E-16</v>
      </c>
      <c r="I76" s="45">
        <f>IFERROR('🏭 원료 마스터'!$C$75,"")</f>
        <v>3000</v>
      </c>
      <c r="J76" s="44">
        <f t="shared" si="5"/>
        <v>2790</v>
      </c>
    </row>
    <row r="77" spans="1:10" ht="18" customHeight="1">
      <c r="A77" s="11">
        <v>73</v>
      </c>
      <c r="B77" s="47" t="s">
        <v>126</v>
      </c>
      <c r="C77" s="27">
        <v>0</v>
      </c>
      <c r="D77" s="43">
        <f>IFERROR(SUMIFS('📥 원재료 입고'!$E$4:$E$400,'📥 원재료 입고'!$K$4:$K$400,$B$2,'📥 원재료 입고'!$B$4:$B$400,B77),0)</f>
        <v>0</v>
      </c>
      <c r="E77" s="44">
        <f>IFERROR(SUMIFS('📥 원재료 입고'!$E$4:$E$400,'📥 원재료 입고'!$K$4:$K$400,$B$2,'📥 원재료 입고'!$B$4:$B$400,B77,'📥 원재료 입고'!$D$4:$D$400,"자체구매"),0)</f>
        <v>0</v>
      </c>
      <c r="F77" s="45">
        <f>IFERROR(SUMIFS('📥 원재료 입고'!$E$4:$E$400,'📥 원재료 입고'!$K$4:$K$400,$B$2,'📥 원재료 입고'!$B$4:$B$400,B77,'📥 원재료 입고'!$D$4:$D$400,"위탁공급"),0)</f>
        <v>0</v>
      </c>
      <c r="G77" s="46">
        <f>IFERROR(SUMIF('📦 일일 생산 입력'!$CL$5:$CL$505,$B$2,'📦 일일 생산 입력'!$CA$5:$CA$505),0)</f>
        <v>0</v>
      </c>
      <c r="H77" s="45">
        <f t="shared" si="4"/>
        <v>0</v>
      </c>
      <c r="I77" s="48">
        <f>IFERROR('🏭 원료 마스터'!$C$76,"")</f>
        <v>0</v>
      </c>
      <c r="J77" s="44">
        <f t="shared" si="5"/>
        <v>0</v>
      </c>
    </row>
    <row r="78" spans="1:10" ht="18" customHeight="1">
      <c r="A78" s="7">
        <v>74</v>
      </c>
      <c r="B78" s="12" t="s">
        <v>127</v>
      </c>
      <c r="C78" s="27">
        <v>0</v>
      </c>
      <c r="D78" s="43">
        <f>IFERROR(SUMIFS('📥 원재료 입고'!$E$4:$E$400,'📥 원재료 입고'!$K$4:$K$400,$B$2,'📥 원재료 입고'!$B$4:$B$400,B78),0)</f>
        <v>0</v>
      </c>
      <c r="E78" s="44">
        <f>IFERROR(SUMIFS('📥 원재료 입고'!$E$4:$E$400,'📥 원재료 입고'!$K$4:$K$400,$B$2,'📥 원재료 입고'!$B$4:$B$400,B78,'📥 원재료 입고'!$D$4:$D$400,"자체구매"),0)</f>
        <v>0</v>
      </c>
      <c r="F78" s="45">
        <f>IFERROR(SUMIFS('📥 원재료 입고'!$E$4:$E$400,'📥 원재료 입고'!$K$4:$K$400,$B$2,'📥 원재료 입고'!$B$4:$B$400,B78,'📥 원재료 입고'!$D$4:$D$400,"위탁공급"),0)</f>
        <v>0</v>
      </c>
      <c r="G78" s="46">
        <f>IFERROR(SUMIF('📦 일일 생산 입력'!$CL$5:$CL$505,$B$2,'📦 일일 생산 입력'!$CB$5:$CB$505),0)</f>
        <v>0</v>
      </c>
      <c r="H78" s="45">
        <f t="shared" si="4"/>
        <v>0</v>
      </c>
      <c r="I78" s="45">
        <f>IFERROR('🏭 원료 마스터'!$C$77,"")</f>
        <v>0</v>
      </c>
      <c r="J78" s="44">
        <f t="shared" si="5"/>
        <v>0</v>
      </c>
    </row>
    <row r="79" spans="1:10" ht="18" customHeight="1">
      <c r="A79" s="11">
        <v>75</v>
      </c>
      <c r="B79" s="47" t="s">
        <v>128</v>
      </c>
      <c r="C79" s="27">
        <v>36.24</v>
      </c>
      <c r="D79" s="43">
        <f>IFERROR(SUMIFS('📥 원재료 입고'!$E$4:$E$400,'📥 원재료 입고'!$K$4:$K$400,$B$2,'📥 원재료 입고'!$B$4:$B$400,B79),0)</f>
        <v>0</v>
      </c>
      <c r="E79" s="44">
        <f>IFERROR(SUMIFS('📥 원재료 입고'!$E$4:$E$400,'📥 원재료 입고'!$K$4:$K$400,$B$2,'📥 원재료 입고'!$B$4:$B$400,B79,'📥 원재료 입고'!$D$4:$D$400,"자체구매"),0)</f>
        <v>0</v>
      </c>
      <c r="F79" s="45">
        <f>IFERROR(SUMIFS('📥 원재료 입고'!$E$4:$E$400,'📥 원재료 입고'!$K$4:$K$400,$B$2,'📥 원재료 입고'!$B$4:$B$400,B79,'📥 원재료 입고'!$D$4:$D$400,"위탁공급"),0)</f>
        <v>0</v>
      </c>
      <c r="G79" s="46">
        <f>IFERROR(SUMIF('📦 일일 생산 입력'!$CL$5:$CL$505,$B$2,'📦 일일 생산 입력'!$CC$5:$CC$505),0)</f>
        <v>9.67</v>
      </c>
      <c r="H79" s="45">
        <f t="shared" si="4"/>
        <v>26.57</v>
      </c>
      <c r="I79" s="48">
        <f>IFERROR('🏭 원료 마스터'!$C$78,"")</f>
        <v>12490.82</v>
      </c>
      <c r="J79" s="44">
        <f t="shared" si="5"/>
        <v>120786.2294</v>
      </c>
    </row>
    <row r="80" spans="1:10" ht="18" customHeight="1">
      <c r="A80" s="7">
        <v>76</v>
      </c>
      <c r="B80" s="12" t="s">
        <v>129</v>
      </c>
      <c r="C80" s="27">
        <v>1.48</v>
      </c>
      <c r="D80" s="43">
        <f>IFERROR(SUMIFS('📥 원재료 입고'!$E$4:$E$400,'📥 원재료 입고'!$K$4:$K$400,$B$2,'📥 원재료 입고'!$B$4:$B$400,B80),0)</f>
        <v>0</v>
      </c>
      <c r="E80" s="44">
        <f>IFERROR(SUMIFS('📥 원재료 입고'!$E$4:$E$400,'📥 원재료 입고'!$K$4:$K$400,$B$2,'📥 원재료 입고'!$B$4:$B$400,B80,'📥 원재료 입고'!$D$4:$D$400,"자체구매"),0)</f>
        <v>0</v>
      </c>
      <c r="F80" s="45">
        <f>IFERROR(SUMIFS('📥 원재료 입고'!$E$4:$E$400,'📥 원재료 입고'!$K$4:$K$400,$B$2,'📥 원재료 입고'!$B$4:$B$400,B80,'📥 원재료 입고'!$D$4:$D$400,"위탁공급"),0)</f>
        <v>0</v>
      </c>
      <c r="G80" s="46">
        <f>IFERROR(SUMIF('📦 일일 생산 입력'!$CL$5:$CL$505,$B$2,'📦 일일 생산 입력'!$CD$5:$CD$505),0)</f>
        <v>0.48</v>
      </c>
      <c r="H80" s="45">
        <f t="shared" si="4"/>
        <v>1</v>
      </c>
      <c r="I80" s="45">
        <f>IFERROR('🏭 원료 마스터'!$C$79,"")</f>
        <v>6000</v>
      </c>
      <c r="J80" s="44">
        <f t="shared" si="5"/>
        <v>2880</v>
      </c>
    </row>
    <row r="81" spans="1:10" ht="18" customHeight="1">
      <c r="A81" s="11">
        <v>77</v>
      </c>
      <c r="B81" s="47" t="s">
        <v>130</v>
      </c>
      <c r="C81" s="27">
        <v>225.37</v>
      </c>
      <c r="D81" s="43">
        <f>IFERROR(SUMIFS('📥 원재료 입고'!$E$4:$E$400,'📥 원재료 입고'!$K$4:$K$400,$B$2,'📥 원재료 입고'!$B$4:$B$400,B81),0)</f>
        <v>54</v>
      </c>
      <c r="E81" s="44">
        <f>IFERROR(SUMIFS('📥 원재료 입고'!$E$4:$E$400,'📥 원재료 입고'!$K$4:$K$400,$B$2,'📥 원재료 입고'!$B$4:$B$400,B81,'📥 원재료 입고'!$D$4:$D$400,"자체구매"),0)</f>
        <v>54</v>
      </c>
      <c r="F81" s="45">
        <f>IFERROR(SUMIFS('📥 원재료 입고'!$E$4:$E$400,'📥 원재료 입고'!$K$4:$K$400,$B$2,'📥 원재료 입고'!$B$4:$B$400,B81,'📥 원재료 입고'!$D$4:$D$400,"위탁공급"),0)</f>
        <v>0</v>
      </c>
      <c r="G81" s="46">
        <f>IFERROR(SUMIF('📦 일일 생산 입력'!$CL$5:$CL$505,$B$2,'📦 일일 생산 입력'!$CE$5:$CE$505),0)</f>
        <v>106.90199999999999</v>
      </c>
      <c r="H81" s="45">
        <f t="shared" si="4"/>
        <v>172.46800000000002</v>
      </c>
      <c r="I81" s="48">
        <f>IFERROR('🏭 원료 마스터'!$C$80,"")</f>
        <v>5430.55</v>
      </c>
      <c r="J81" s="44">
        <f t="shared" si="5"/>
        <v>580536.65609999991</v>
      </c>
    </row>
    <row r="82" spans="1:10" ht="18" customHeight="1">
      <c r="A82" s="7">
        <v>78</v>
      </c>
      <c r="B82" s="12" t="s">
        <v>131</v>
      </c>
      <c r="C82" s="27">
        <v>0</v>
      </c>
      <c r="D82" s="43">
        <f>IFERROR(SUMIFS('📥 원재료 입고'!$E$4:$E$400,'📥 원재료 입고'!$K$4:$K$400,$B$2,'📥 원재료 입고'!$B$4:$B$400,B82),0)</f>
        <v>0</v>
      </c>
      <c r="E82" s="44">
        <f>IFERROR(SUMIFS('📥 원재료 입고'!$E$4:$E$400,'📥 원재료 입고'!$K$4:$K$400,$B$2,'📥 원재료 입고'!$B$4:$B$400,B82,'📥 원재료 입고'!$D$4:$D$400,"자체구매"),0)</f>
        <v>0</v>
      </c>
      <c r="F82" s="45">
        <f>IFERROR(SUMIFS('📥 원재료 입고'!$E$4:$E$400,'📥 원재료 입고'!$K$4:$K$400,$B$2,'📥 원재료 입고'!$B$4:$B$400,B82,'📥 원재료 입고'!$D$4:$D$400,"위탁공급"),0)</f>
        <v>0</v>
      </c>
      <c r="G82" s="46">
        <f>IFERROR(SUMIF('📦 일일 생산 입력'!$CL$5:$CL$505,$B$2,'📦 일일 생산 입력'!$CF$5:$CF$505),0)</f>
        <v>0</v>
      </c>
      <c r="H82" s="45">
        <f t="shared" si="4"/>
        <v>0</v>
      </c>
      <c r="I82" s="45">
        <f>IFERROR('🏭 원료 마스터'!$C$81,"")</f>
        <v>0</v>
      </c>
      <c r="J82" s="44">
        <f t="shared" si="5"/>
        <v>0</v>
      </c>
    </row>
    <row r="83" spans="1:10" ht="18" customHeight="1">
      <c r="A83" s="11">
        <v>79</v>
      </c>
      <c r="B83" s="47" t="s">
        <v>132</v>
      </c>
      <c r="C83" s="27">
        <v>13.14</v>
      </c>
      <c r="D83" s="43">
        <f>IFERROR(SUMIFS('📥 원재료 입고'!$E$4:$E$400,'📥 원재료 입고'!$K$4:$K$400,$B$2,'📥 원재료 입고'!$B$4:$B$400,B83),0)</f>
        <v>28</v>
      </c>
      <c r="E83" s="44">
        <f>IFERROR(SUMIFS('📥 원재료 입고'!$E$4:$E$400,'📥 원재료 입고'!$K$4:$K$400,$B$2,'📥 원재료 입고'!$B$4:$B$400,B83,'📥 원재료 입고'!$D$4:$D$400,"자체구매"),0)</f>
        <v>28</v>
      </c>
      <c r="F83" s="45">
        <f>IFERROR(SUMIFS('📥 원재료 입고'!$E$4:$E$400,'📥 원재료 입고'!$K$4:$K$400,$B$2,'📥 원재료 입고'!$B$4:$B$400,B83,'📥 원재료 입고'!$D$4:$D$400,"위탁공급"),0)</f>
        <v>0</v>
      </c>
      <c r="G83" s="46">
        <f>IFERROR(SUMIF('📦 일일 생산 입력'!$CL$5:$CL$505,$B$2,'📦 일일 생산 입력'!$CG$5:$CG$505),0)</f>
        <v>29.04</v>
      </c>
      <c r="H83" s="45">
        <f t="shared" si="4"/>
        <v>12.100000000000001</v>
      </c>
      <c r="I83" s="48">
        <f>IFERROR('🏭 원료 마스터'!$C$82,"")</f>
        <v>9557.14</v>
      </c>
      <c r="J83" s="44">
        <f t="shared" si="5"/>
        <v>277539.3456</v>
      </c>
    </row>
    <row r="84" spans="1:10" ht="18" customHeight="1">
      <c r="A84" s="7">
        <v>80</v>
      </c>
      <c r="B84" s="12" t="s">
        <v>133</v>
      </c>
      <c r="C84" s="27">
        <v>0</v>
      </c>
      <c r="D84" s="43">
        <f>IFERROR(SUMIFS('📥 원재료 입고'!$E$4:$E$400,'📥 원재료 입고'!$K$4:$K$400,$B$2,'📥 원재료 입고'!$B$4:$B$400,B84),0)</f>
        <v>0</v>
      </c>
      <c r="E84" s="44">
        <f>IFERROR(SUMIFS('📥 원재료 입고'!$E$4:$E$400,'📥 원재료 입고'!$K$4:$K$400,$B$2,'📥 원재료 입고'!$B$4:$B$400,B84,'📥 원재료 입고'!$D$4:$D$400,"자체구매"),0)</f>
        <v>0</v>
      </c>
      <c r="F84" s="45">
        <f>IFERROR(SUMIFS('📥 원재료 입고'!$E$4:$E$400,'📥 원재료 입고'!$K$4:$K$400,$B$2,'📥 원재료 입고'!$B$4:$B$400,B84,'📥 원재료 입고'!$D$4:$D$400,"위탁공급"),0)</f>
        <v>0</v>
      </c>
      <c r="G84" s="46">
        <f>IFERROR(SUMIF('📦 일일 생산 입력'!$CL$5:$CL$505,$B$2,'📦 일일 생산 입력'!$CH$5:$CH$505),0)</f>
        <v>0</v>
      </c>
      <c r="H84" s="45">
        <f t="shared" si="4"/>
        <v>0</v>
      </c>
      <c r="I84" s="45">
        <f>IFERROR('🏭 원료 마스터'!$C$83,"")</f>
        <v>0</v>
      </c>
      <c r="J84" s="44">
        <f t="shared" si="5"/>
        <v>0</v>
      </c>
    </row>
    <row r="85" spans="1:10" ht="24" customHeight="1">
      <c r="A85" s="7">
        <v>81</v>
      </c>
      <c r="B85" s="12" t="s">
        <v>134</v>
      </c>
      <c r="C85" s="27">
        <v>0</v>
      </c>
      <c r="D85" s="43">
        <f>IFERROR(SUMIFS('📥 원재료 입고'!$E$4:$E$400,'📥 원재료 입고'!$K$4:$K$400,$B$2,'📥 원재료 입고'!$B$4:$B$400,B85),0)</f>
        <v>1780</v>
      </c>
      <c r="E85" s="44">
        <f>IFERROR(SUMIFS('📥 원재료 입고'!$E$4:$E$400,'📥 원재료 입고'!$K$4:$K$400,$B$2,'📥 원재료 입고'!$B$4:$B$400,B85,'📥 원재료 입고'!$D$4:$D$400,"자체구매"),0)</f>
        <v>0</v>
      </c>
      <c r="F85" s="45">
        <f>IFERROR(SUMIFS('📥 원재료 입고'!$E$4:$E$400,'📥 원재료 입고'!$K$4:$K$400,$B$2,'📥 원재료 입고'!$B$4:$B$400,B85,'📥 원재료 입고'!$D$4:$D$400,"위탁공급"),0)</f>
        <v>1780</v>
      </c>
      <c r="G85" s="46">
        <f>IFERROR(SUMIF('📦 일일 생산 입력'!$CL$5:$CL$505,$B$2,'📦 일일 생산 입력'!$CI$5:$CI$505),0)</f>
        <v>425.70000000000005</v>
      </c>
      <c r="H85" s="45">
        <f t="shared" si="4"/>
        <v>1354.3</v>
      </c>
      <c r="I85" s="45">
        <f>IFERROR('🏭 원료 마스터'!$C$84,"")</f>
        <v>2900</v>
      </c>
      <c r="J85" s="44">
        <f t="shared" si="5"/>
        <v>1234530.0000000002</v>
      </c>
    </row>
    <row r="86" spans="1:10" ht="15" customHeight="1">
      <c r="A86" s="7">
        <v>82</v>
      </c>
      <c r="B86" s="12" t="s">
        <v>135</v>
      </c>
      <c r="C86" s="27">
        <v>400</v>
      </c>
      <c r="D86" s="43">
        <f>IFERROR(SUMIFS('📥 원재료 입고'!$E$4:$E$400,'📥 원재료 입고'!$K$4:$K$400,$B$2,'📥 원재료 입고'!$B$4:$B$400,B86),0)</f>
        <v>0</v>
      </c>
      <c r="E86" s="44">
        <f>IFERROR(SUMIFS('📥 원재료 입고'!$E$4:$E$400,'📥 원재료 입고'!$K$4:$K$400,$B$2,'📥 원재료 입고'!$B$4:$B$400,B86,'📥 원재료 입고'!$D$4:$D$400,"자체구매"),0)</f>
        <v>0</v>
      </c>
      <c r="F86" s="45">
        <f>IFERROR(SUMIFS('📥 원재료 입고'!$E$4:$E$400,'📥 원재료 입고'!$K$4:$K$400,$B$2,'📥 원재료 입고'!$B$4:$B$400,B86,'📥 원재료 입고'!$D$4:$D$400,"위탁공급"),0)</f>
        <v>0</v>
      </c>
      <c r="G86" s="46">
        <v>0</v>
      </c>
      <c r="H86" s="45">
        <f t="shared" si="4"/>
        <v>400</v>
      </c>
      <c r="I86" s="45"/>
      <c r="J86" s="44">
        <f t="shared" si="5"/>
        <v>0</v>
      </c>
    </row>
    <row r="87" spans="1:10" ht="15" customHeight="1">
      <c r="A87" s="7">
        <v>83</v>
      </c>
      <c r="B87" s="12" t="s">
        <v>136</v>
      </c>
      <c r="C87" s="27">
        <v>40</v>
      </c>
      <c r="D87" s="43">
        <f>IFERROR(SUMIFS('📥 원재료 입고'!$E$4:$E$400,'📥 원재료 입고'!$K$4:$K$400,$B$2,'📥 원재료 입고'!$B$4:$B$400,B87),0)</f>
        <v>0</v>
      </c>
      <c r="E87" s="44">
        <f>IFERROR(SUMIFS('📥 원재료 입고'!$E$4:$E$400,'📥 원재료 입고'!$K$4:$K$400,$B$2,'📥 원재료 입고'!$B$4:$B$400,B87,'📥 원재료 입고'!$D$4:$D$400,"자체구매"),0)</f>
        <v>0</v>
      </c>
      <c r="F87" s="45">
        <f>IFERROR(SUMIFS('📥 원재료 입고'!$E$4:$E$400,'📥 원재료 입고'!$K$4:$K$400,$B$2,'📥 원재료 입고'!$B$4:$B$400,B87,'📥 원재료 입고'!$D$4:$D$400,"위탁공급"),0)</f>
        <v>0</v>
      </c>
      <c r="G87" s="46">
        <v>0</v>
      </c>
      <c r="H87" s="45">
        <f t="shared" si="4"/>
        <v>40</v>
      </c>
      <c r="I87" s="45"/>
      <c r="J87" s="44">
        <f t="shared" si="5"/>
        <v>0</v>
      </c>
    </row>
    <row r="88" spans="1:10" ht="15" customHeight="1">
      <c r="A88" s="7">
        <v>84</v>
      </c>
      <c r="B88" s="12" t="s">
        <v>137</v>
      </c>
      <c r="C88" s="27">
        <v>1.2</v>
      </c>
      <c r="D88" s="43">
        <f>IFERROR(SUMIFS('📥 원재료 입고'!$E$4:$E$400,'📥 원재료 입고'!$K$4:$K$400,$B$2,'📥 원재료 입고'!$B$4:$B$400,B88),0)</f>
        <v>0</v>
      </c>
      <c r="E88" s="44">
        <f>IFERROR(SUMIFS('📥 원재료 입고'!$E$4:$E$400,'📥 원재료 입고'!$K$4:$K$400,$B$2,'📥 원재료 입고'!$B$4:$B$400,B88,'📥 원재료 입고'!$D$4:$D$400,"자체구매"),0)</f>
        <v>0</v>
      </c>
      <c r="F88" s="45">
        <f>IFERROR(SUMIFS('📥 원재료 입고'!$E$4:$E$400,'📥 원재료 입고'!$K$4:$K$400,$B$2,'📥 원재료 입고'!$B$4:$B$400,B88,'📥 원재료 입고'!$D$4:$D$400,"위탁공급"),0)</f>
        <v>0</v>
      </c>
      <c r="G88" s="46">
        <v>0</v>
      </c>
      <c r="H88" s="45">
        <f t="shared" si="4"/>
        <v>1.2</v>
      </c>
      <c r="I88" s="45"/>
      <c r="J88" s="44">
        <f t="shared" si="5"/>
        <v>0</v>
      </c>
    </row>
    <row r="89" spans="1:10" ht="15" customHeight="1">
      <c r="A89" s="36">
        <v>85</v>
      </c>
      <c r="B89" s="49" t="s">
        <v>138</v>
      </c>
      <c r="C89" s="50">
        <v>30</v>
      </c>
      <c r="D89" s="51">
        <f>IFERROR(SUMIFS('📥 원재료 입고'!$E$4:$E$400,'📥 원재료 입고'!$K$4:$K$400,$B$2,'📥 원재료 입고'!$B$4:$B$400,B89),0)</f>
        <v>0</v>
      </c>
      <c r="E89" s="52">
        <f>IFERROR(SUMIFS('📥 원재료 입고'!$E$4:$E$400,'📥 원재료 입고'!$K$4:$K$400,$B$2,'📥 원재료 입고'!$B$4:$B$400,B89,'📥 원재료 입고'!$D$4:$D$400,"자체구매"),0)</f>
        <v>0</v>
      </c>
      <c r="F89" s="28">
        <f>IFERROR(SUMIFS('📥 원재료 입고'!$E$4:$E$400,'📥 원재료 입고'!$K$4:$K$400,$B$2,'📥 원재료 입고'!$B$4:$B$400,B89,'📥 원재료 입고'!$D$4:$D$400,"위탁공급"),0)</f>
        <v>0</v>
      </c>
      <c r="G89" s="53">
        <v>0</v>
      </c>
      <c r="H89" s="54">
        <f t="shared" si="4"/>
        <v>30</v>
      </c>
      <c r="I89" s="55"/>
      <c r="J89" s="56">
        <f t="shared" si="5"/>
        <v>0</v>
      </c>
    </row>
  </sheetData>
  <mergeCells count="4">
    <mergeCell ref="D2:J2"/>
    <mergeCell ref="A1:J1"/>
    <mergeCell ref="B2:C2"/>
    <mergeCell ref="A3:J3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10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4" sqref="C14"/>
    </sheetView>
  </sheetViews>
  <sheetFormatPr defaultColWidth="8.5" defaultRowHeight="16.5"/>
  <cols>
    <col min="1" max="1" width="5" customWidth="1"/>
    <col min="2" max="2" width="24" customWidth="1"/>
    <col min="3" max="3" width="17" customWidth="1"/>
    <col min="4" max="5" width="11" customWidth="1"/>
    <col min="6" max="6" width="11" hidden="1" customWidth="1"/>
    <col min="7" max="7" width="12" hidden="1" customWidth="1"/>
    <col min="8" max="8" width="14" hidden="1" customWidth="1"/>
    <col min="9" max="9" width="13" hidden="1" customWidth="1"/>
    <col min="10" max="91" width="8" customWidth="1"/>
  </cols>
  <sheetData>
    <row r="1" spans="1:91" ht="34.5" customHeight="1">
      <c r="A1" s="182" t="s">
        <v>253</v>
      </c>
      <c r="B1" s="178"/>
      <c r="C1" s="178"/>
      <c r="D1" s="178"/>
      <c r="E1" s="178"/>
      <c r="F1" s="57"/>
      <c r="G1" s="57"/>
      <c r="H1" s="57"/>
      <c r="I1" s="57"/>
    </row>
    <row r="2" spans="1:91" ht="21.75" customHeight="1">
      <c r="A2" s="181" t="s">
        <v>254</v>
      </c>
      <c r="B2" s="178"/>
      <c r="C2" s="178"/>
      <c r="D2" s="178"/>
      <c r="E2" s="178"/>
      <c r="F2" s="57"/>
      <c r="G2" s="57"/>
      <c r="H2" s="57"/>
      <c r="I2" s="57"/>
    </row>
    <row r="3" spans="1:91" ht="34.5" customHeight="1">
      <c r="A3" s="5" t="s">
        <v>46</v>
      </c>
      <c r="B3" s="6" t="s">
        <v>227</v>
      </c>
      <c r="C3" s="6" t="s">
        <v>255</v>
      </c>
      <c r="D3" s="6" t="s">
        <v>256</v>
      </c>
      <c r="E3" s="5" t="s">
        <v>257</v>
      </c>
      <c r="F3" s="58"/>
      <c r="G3" s="58"/>
      <c r="H3" s="58"/>
      <c r="I3" s="58"/>
      <c r="CK3" s="59"/>
      <c r="CL3" s="59"/>
    </row>
    <row r="4" spans="1:91" ht="45" customHeight="1">
      <c r="F4" s="57"/>
      <c r="G4" s="57"/>
      <c r="H4" s="57"/>
      <c r="I4" s="57"/>
      <c r="J4" s="23" t="s">
        <v>53</v>
      </c>
      <c r="K4" s="23" t="s">
        <v>55</v>
      </c>
      <c r="L4" s="23" t="s">
        <v>56</v>
      </c>
      <c r="M4" s="23" t="s">
        <v>57</v>
      </c>
      <c r="N4" s="23" t="s">
        <v>58</v>
      </c>
      <c r="O4" s="23" t="s">
        <v>59</v>
      </c>
      <c r="P4" s="23" t="s">
        <v>60</v>
      </c>
      <c r="Q4" s="23" t="s">
        <v>61</v>
      </c>
      <c r="R4" s="23" t="s">
        <v>62</v>
      </c>
      <c r="S4" s="23" t="s">
        <v>63</v>
      </c>
      <c r="T4" s="23" t="s">
        <v>64</v>
      </c>
      <c r="U4" s="23" t="s">
        <v>65</v>
      </c>
      <c r="V4" s="23" t="s">
        <v>66</v>
      </c>
      <c r="W4" s="23" t="s">
        <v>67</v>
      </c>
      <c r="X4" s="23" t="s">
        <v>68</v>
      </c>
      <c r="Y4" s="23" t="s">
        <v>69</v>
      </c>
      <c r="Z4" s="23" t="s">
        <v>70</v>
      </c>
      <c r="AA4" s="23" t="s">
        <v>71</v>
      </c>
      <c r="AB4" s="23" t="s">
        <v>72</v>
      </c>
      <c r="AC4" s="23" t="s">
        <v>73</v>
      </c>
      <c r="AD4" s="23" t="s">
        <v>74</v>
      </c>
      <c r="AE4" s="23" t="s">
        <v>75</v>
      </c>
      <c r="AF4" s="23" t="s">
        <v>76</v>
      </c>
      <c r="AG4" s="23" t="s">
        <v>77</v>
      </c>
      <c r="AH4" s="23" t="s">
        <v>78</v>
      </c>
      <c r="AI4" s="23" t="s">
        <v>79</v>
      </c>
      <c r="AJ4" s="23" t="s">
        <v>80</v>
      </c>
      <c r="AK4" s="23" t="s">
        <v>81</v>
      </c>
      <c r="AL4" s="23" t="s">
        <v>82</v>
      </c>
      <c r="AM4" s="23" t="s">
        <v>83</v>
      </c>
      <c r="AN4" s="23" t="s">
        <v>84</v>
      </c>
      <c r="AO4" s="23" t="s">
        <v>85</v>
      </c>
      <c r="AP4" s="23" t="s">
        <v>86</v>
      </c>
      <c r="AQ4" s="23" t="s">
        <v>87</v>
      </c>
      <c r="AR4" s="23" t="s">
        <v>88</v>
      </c>
      <c r="AS4" s="23" t="s">
        <v>89</v>
      </c>
      <c r="AT4" s="23" t="s">
        <v>90</v>
      </c>
      <c r="AU4" s="23" t="s">
        <v>91</v>
      </c>
      <c r="AV4" s="23" t="s">
        <v>92</v>
      </c>
      <c r="AW4" s="23" t="s">
        <v>93</v>
      </c>
      <c r="AX4" s="23" t="s">
        <v>94</v>
      </c>
      <c r="AY4" s="23" t="s">
        <v>95</v>
      </c>
      <c r="AZ4" s="23" t="s">
        <v>96</v>
      </c>
      <c r="BA4" s="23" t="s">
        <v>97</v>
      </c>
      <c r="BB4" s="23" t="s">
        <v>98</v>
      </c>
      <c r="BC4" s="23" t="s">
        <v>99</v>
      </c>
      <c r="BD4" s="23" t="s">
        <v>100</v>
      </c>
      <c r="BE4" s="23" t="s">
        <v>101</v>
      </c>
      <c r="BF4" s="23" t="s">
        <v>102</v>
      </c>
      <c r="BG4" s="23" t="s">
        <v>103</v>
      </c>
      <c r="BH4" s="23" t="s">
        <v>104</v>
      </c>
      <c r="BI4" s="23" t="s">
        <v>105</v>
      </c>
      <c r="BJ4" s="23" t="s">
        <v>106</v>
      </c>
      <c r="BK4" s="23" t="s">
        <v>107</v>
      </c>
      <c r="BL4" s="23" t="s">
        <v>108</v>
      </c>
      <c r="BM4" s="23" t="s">
        <v>109</v>
      </c>
      <c r="BN4" s="23" t="s">
        <v>110</v>
      </c>
      <c r="BO4" s="23" t="s">
        <v>111</v>
      </c>
      <c r="BP4" s="23" t="s">
        <v>112</v>
      </c>
      <c r="BQ4" s="23" t="s">
        <v>113</v>
      </c>
      <c r="BR4" s="23" t="s">
        <v>114</v>
      </c>
      <c r="BS4" s="23" t="s">
        <v>115</v>
      </c>
      <c r="BT4" s="23" t="s">
        <v>116</v>
      </c>
      <c r="BU4" s="23" t="s">
        <v>117</v>
      </c>
      <c r="BV4" s="23" t="s">
        <v>118</v>
      </c>
      <c r="BW4" s="23" t="s">
        <v>119</v>
      </c>
      <c r="BX4" s="23" t="s">
        <v>120</v>
      </c>
      <c r="BY4" s="23" t="s">
        <v>121</v>
      </c>
      <c r="BZ4" s="23" t="s">
        <v>122</v>
      </c>
      <c r="CA4" s="23" t="s">
        <v>123</v>
      </c>
      <c r="CB4" s="23" t="s">
        <v>124</v>
      </c>
      <c r="CC4" s="23" t="s">
        <v>125</v>
      </c>
      <c r="CD4" s="23" t="s">
        <v>126</v>
      </c>
      <c r="CE4" s="23" t="s">
        <v>127</v>
      </c>
      <c r="CF4" s="23" t="s">
        <v>128</v>
      </c>
      <c r="CG4" s="23" t="s">
        <v>129</v>
      </c>
      <c r="CH4" s="23" t="s">
        <v>130</v>
      </c>
      <c r="CI4" s="23" t="s">
        <v>131</v>
      </c>
      <c r="CJ4" s="23" t="s">
        <v>132</v>
      </c>
      <c r="CK4" s="23" t="s">
        <v>133</v>
      </c>
      <c r="CL4" s="23" t="s">
        <v>223</v>
      </c>
      <c r="CM4" s="23" t="s">
        <v>134</v>
      </c>
    </row>
    <row r="5" spans="1:91" ht="19.5" customHeight="1">
      <c r="A5" s="7">
        <v>1</v>
      </c>
      <c r="B5" s="60" t="s">
        <v>141</v>
      </c>
      <c r="C5" s="61" t="s">
        <v>258</v>
      </c>
      <c r="D5" s="62">
        <v>100</v>
      </c>
      <c r="E5" s="63">
        <f>IFERROR(0.4/100*'🏭 원료 마스터'!$C$8+0.9/100*'🏭 원료 마스터'!$C$20+0.8/100*'🏭 원료 마스터'!$C$24+0.04/100*'🏭 원료 마스터'!$C$25+2.7/100*'🏭 원료 마스터'!$C$41+2.7/100*'🏭 원료 마스터'!$C$48+0.4/100*'🏭 원료 마스터'!$C$53+36.5/100*'🏭 원료 마스터'!$C$65+1.2/100*'🏭 원료 마스터'!$C$67+53.1/100*'🏭 원료 마스터'!$C$69+0.86/100*'🏭 원료 마스터'!$C$70+0.4/100*'🏭 원료 마스터'!$C$79,"")</f>
        <v>1384.2552439999999</v>
      </c>
      <c r="F5" s="64"/>
      <c r="G5" s="64"/>
      <c r="H5" s="58"/>
      <c r="I5" s="57"/>
      <c r="J5" s="65"/>
      <c r="K5" s="65"/>
      <c r="L5" s="65"/>
      <c r="M5" s="65"/>
      <c r="N5" s="66">
        <v>0.4</v>
      </c>
      <c r="O5" s="65"/>
      <c r="P5" s="65"/>
      <c r="Q5" s="65"/>
      <c r="R5" s="67"/>
      <c r="S5" s="65"/>
      <c r="T5" s="65"/>
      <c r="U5" s="65"/>
      <c r="V5" s="65"/>
      <c r="W5" s="65"/>
      <c r="X5" s="65"/>
      <c r="Y5" s="65"/>
      <c r="Z5" s="65"/>
      <c r="AA5" s="66">
        <v>0.9</v>
      </c>
      <c r="AB5" s="65"/>
      <c r="AC5" s="65"/>
      <c r="AD5" s="65"/>
      <c r="AE5" s="66">
        <v>0.8</v>
      </c>
      <c r="AF5" s="66">
        <v>0.04</v>
      </c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6">
        <v>2.7</v>
      </c>
      <c r="AW5" s="65"/>
      <c r="AX5" s="65"/>
      <c r="AY5" s="65"/>
      <c r="AZ5" s="65"/>
      <c r="BA5" s="65"/>
      <c r="BB5" s="65"/>
      <c r="BC5" s="66">
        <v>2.7</v>
      </c>
      <c r="BD5" s="65"/>
      <c r="BE5" s="65"/>
      <c r="BF5" s="65"/>
      <c r="BG5" s="65"/>
      <c r="BH5" s="66">
        <v>0.4</v>
      </c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6">
        <v>36.5</v>
      </c>
      <c r="BU5" s="65"/>
      <c r="BV5" s="66">
        <v>1.2</v>
      </c>
      <c r="BW5" s="65"/>
      <c r="BX5" s="66">
        <v>53.1</v>
      </c>
      <c r="BY5" s="66">
        <v>0.86</v>
      </c>
      <c r="BZ5" s="65"/>
      <c r="CA5" s="65"/>
      <c r="CB5" s="65"/>
      <c r="CC5" s="65"/>
      <c r="CD5" s="65"/>
      <c r="CE5" s="65"/>
      <c r="CF5" s="65"/>
      <c r="CG5" s="65"/>
      <c r="CH5" s="66">
        <v>0.4</v>
      </c>
      <c r="CI5" s="65"/>
      <c r="CJ5" s="65"/>
      <c r="CK5" s="65"/>
      <c r="CL5" s="65"/>
      <c r="CM5" s="67"/>
    </row>
    <row r="6" spans="1:91" ht="19.5" customHeight="1">
      <c r="A6" s="11">
        <v>2</v>
      </c>
      <c r="B6" s="12" t="s">
        <v>142</v>
      </c>
      <c r="C6" s="68" t="s">
        <v>259</v>
      </c>
      <c r="D6" s="69">
        <v>100</v>
      </c>
      <c r="E6" s="70">
        <f>IFERROR(3.5/100*'🏭 원료 마스터'!$C$5+0.4/100*'🏭 원료 마스터'!$C$9+3.5/100*'🏭 원료 마스터'!$C$10+4.7/100*'🏭 원료 마스터'!$C$13+4.2/100*'🏭 원료 마스터'!$C$42+6.5/100*'🏭 원료 마스터'!$C$48+17.7/100*'🏭 원료 마스터'!$C$62+58.9/100*'🏭 원료 마스터'!$C$69+0.6/100*'🏭 원료 마스터'!$C$70,"")</f>
        <v>626.54099999999994</v>
      </c>
      <c r="F6" s="64"/>
      <c r="G6" s="64"/>
      <c r="H6" s="58"/>
      <c r="I6" s="57"/>
      <c r="J6" s="71"/>
      <c r="K6" s="72">
        <v>3.5</v>
      </c>
      <c r="L6" s="71"/>
      <c r="M6" s="71"/>
      <c r="N6" s="71"/>
      <c r="O6" s="72">
        <v>0.4</v>
      </c>
      <c r="P6" s="72">
        <v>3.5</v>
      </c>
      <c r="Q6" s="71"/>
      <c r="R6" s="67"/>
      <c r="S6" s="71"/>
      <c r="T6" s="72">
        <v>4.7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2">
        <v>4.2</v>
      </c>
      <c r="AX6" s="71"/>
      <c r="AY6" s="71"/>
      <c r="AZ6" s="71"/>
      <c r="BA6" s="71"/>
      <c r="BB6" s="71"/>
      <c r="BC6" s="72">
        <v>6.5</v>
      </c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2">
        <v>17.7</v>
      </c>
      <c r="BR6" s="71"/>
      <c r="BS6" s="71"/>
      <c r="BT6" s="71"/>
      <c r="BU6" s="71"/>
      <c r="BV6" s="71"/>
      <c r="BW6" s="71"/>
      <c r="BX6" s="72">
        <v>58.9</v>
      </c>
      <c r="BY6" s="72">
        <v>0.6</v>
      </c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67"/>
    </row>
    <row r="7" spans="1:91" ht="19.5" customHeight="1">
      <c r="A7" s="7">
        <v>3</v>
      </c>
      <c r="B7" s="8" t="s">
        <v>143</v>
      </c>
      <c r="C7" s="61" t="s">
        <v>260</v>
      </c>
      <c r="D7" s="62">
        <v>100</v>
      </c>
      <c r="E7" s="63">
        <f>IFERROR(8.4/100*'🏭 원료 마스터'!$C$19+67.3/100*'🏭 원료 마스터'!$C$39+2.2/100*'🏭 원료 마스터'!$C$45+8.4/100*'🏭 원료 마스터'!$C$48+12.6/100*'🏭 원료 마스터'!$C$62+1.1/100*'🏭 원료 마스터'!$C$70,"")</f>
        <v>17717.085939999997</v>
      </c>
      <c r="F7" s="64"/>
      <c r="G7" s="64"/>
      <c r="H7" s="58"/>
      <c r="I7" s="57"/>
      <c r="J7" s="65"/>
      <c r="K7" s="65"/>
      <c r="L7" s="65"/>
      <c r="M7" s="65"/>
      <c r="N7" s="65"/>
      <c r="O7" s="65"/>
      <c r="P7" s="65"/>
      <c r="Q7" s="65"/>
      <c r="R7" s="67"/>
      <c r="S7" s="65"/>
      <c r="T7" s="65"/>
      <c r="U7" s="65"/>
      <c r="V7" s="65"/>
      <c r="W7" s="65"/>
      <c r="X7" s="65"/>
      <c r="Y7" s="65"/>
      <c r="Z7" s="66">
        <v>8.4</v>
      </c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6">
        <v>67.3</v>
      </c>
      <c r="AU7" s="65"/>
      <c r="AV7" s="65"/>
      <c r="AW7" s="65"/>
      <c r="AX7" s="65"/>
      <c r="AY7" s="65"/>
      <c r="AZ7" s="66">
        <v>2.2000000000000002</v>
      </c>
      <c r="BA7" s="65"/>
      <c r="BB7" s="65"/>
      <c r="BC7" s="66">
        <v>8.4</v>
      </c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6">
        <v>12.6</v>
      </c>
      <c r="BR7" s="65"/>
      <c r="BS7" s="65"/>
      <c r="BT7" s="65"/>
      <c r="BU7" s="65"/>
      <c r="BV7" s="65"/>
      <c r="BW7" s="65"/>
      <c r="BX7" s="65"/>
      <c r="BY7" s="66">
        <v>1.1000000000000001</v>
      </c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7"/>
    </row>
    <row r="8" spans="1:91" ht="19.5" customHeight="1">
      <c r="A8" s="11">
        <v>4</v>
      </c>
      <c r="B8" s="12" t="s">
        <v>144</v>
      </c>
      <c r="C8" s="68" t="s">
        <v>261</v>
      </c>
      <c r="D8" s="69">
        <v>100</v>
      </c>
      <c r="E8" s="70">
        <f>IFERROR(3/100*'🏭 원료 마스터'!$C$33+4.7/100*'🏭 원료 마스터'!$C$41+4.7/100*'🏭 원료 마스터'!$C$48+37.9/100*'🏭 원료 마스터'!$C$62+0.9/100*'🏭 원료 마스터'!$C$67+47.5/100*'🏭 원료 마스터'!$C$69+0.9/100*'🏭 원료 마스터'!$C$70+0.4/100*'🏭 원료 마스터'!$C$79,"")</f>
        <v>54.424860000000002</v>
      </c>
      <c r="F8" s="64"/>
      <c r="G8" s="64"/>
      <c r="H8" s="58"/>
      <c r="I8" s="57"/>
      <c r="J8" s="71"/>
      <c r="K8" s="71"/>
      <c r="L8" s="71"/>
      <c r="M8" s="71"/>
      <c r="N8" s="71"/>
      <c r="O8" s="71"/>
      <c r="P8" s="71"/>
      <c r="Q8" s="71"/>
      <c r="R8" s="67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2">
        <v>3</v>
      </c>
      <c r="AO8" s="71"/>
      <c r="AP8" s="71"/>
      <c r="AQ8" s="71"/>
      <c r="AR8" s="71"/>
      <c r="AS8" s="71"/>
      <c r="AT8" s="71"/>
      <c r="AU8" s="71"/>
      <c r="AV8" s="72">
        <v>4.7</v>
      </c>
      <c r="AW8" s="71"/>
      <c r="AX8" s="71"/>
      <c r="AY8" s="71"/>
      <c r="AZ8" s="71"/>
      <c r="BA8" s="71"/>
      <c r="BB8" s="71"/>
      <c r="BC8" s="72">
        <v>4.7</v>
      </c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2">
        <v>37.9</v>
      </c>
      <c r="BR8" s="71"/>
      <c r="BS8" s="71"/>
      <c r="BT8" s="71"/>
      <c r="BU8" s="71"/>
      <c r="BV8" s="72">
        <v>0.9</v>
      </c>
      <c r="BW8" s="71"/>
      <c r="BX8" s="72">
        <v>47.5</v>
      </c>
      <c r="BY8" s="72">
        <v>0.9</v>
      </c>
      <c r="BZ8" s="71"/>
      <c r="CA8" s="71"/>
      <c r="CB8" s="71"/>
      <c r="CC8" s="71"/>
      <c r="CD8" s="71"/>
      <c r="CE8" s="71"/>
      <c r="CF8" s="71"/>
      <c r="CG8" s="71"/>
      <c r="CH8" s="72">
        <v>0.4</v>
      </c>
      <c r="CI8" s="71"/>
      <c r="CJ8" s="71"/>
      <c r="CK8" s="71"/>
      <c r="CL8" s="71"/>
      <c r="CM8" s="67"/>
    </row>
    <row r="9" spans="1:91" ht="19.5" customHeight="1">
      <c r="A9" s="7">
        <v>5</v>
      </c>
      <c r="B9" s="8" t="s">
        <v>145</v>
      </c>
      <c r="C9" s="61" t="s">
        <v>262</v>
      </c>
      <c r="D9" s="62">
        <v>100</v>
      </c>
      <c r="E9" s="63">
        <f>IFERROR(2/100*'🏭 원료 마스터'!$C$8+0.8/100*'🏭 원료 마스터'!$C$24+61.7/100*'🏭 원료 마스터'!$C$39+2.4/100*'🏭 원료 마스터'!$C$42+4.8/100*'🏭 원료 마스터'!$C$47+10/100*'🏭 원료 마스터'!$C$48+1.2/100*'🏭 원료 마스터'!$C$54+16.1/100*'🏭 원료 마스터'!$C$62+1/100*'🏭 원료 마스터'!$C$70,"")</f>
        <v>15920.130040000002</v>
      </c>
      <c r="F9" s="64"/>
      <c r="G9" s="64"/>
      <c r="H9" s="58"/>
      <c r="I9" s="57"/>
      <c r="J9" s="65"/>
      <c r="K9" s="65"/>
      <c r="L9" s="65"/>
      <c r="M9" s="65"/>
      <c r="N9" s="66">
        <v>2</v>
      </c>
      <c r="O9" s="65"/>
      <c r="P9" s="65"/>
      <c r="Q9" s="65"/>
      <c r="R9" s="67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6">
        <v>0.8</v>
      </c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6">
        <v>61.7</v>
      </c>
      <c r="AU9" s="65"/>
      <c r="AV9" s="65"/>
      <c r="AW9" s="66">
        <v>2.4</v>
      </c>
      <c r="AX9" s="65"/>
      <c r="AY9" s="65"/>
      <c r="AZ9" s="65"/>
      <c r="BA9" s="65"/>
      <c r="BB9" s="66">
        <v>4.8</v>
      </c>
      <c r="BC9" s="66">
        <v>10</v>
      </c>
      <c r="BD9" s="65"/>
      <c r="BE9" s="65"/>
      <c r="BF9" s="65"/>
      <c r="BG9" s="65"/>
      <c r="BH9" s="65"/>
      <c r="BI9" s="66">
        <v>1.2</v>
      </c>
      <c r="BJ9" s="65"/>
      <c r="BK9" s="65"/>
      <c r="BL9" s="65"/>
      <c r="BM9" s="65"/>
      <c r="BN9" s="65"/>
      <c r="BO9" s="65"/>
      <c r="BP9" s="65"/>
      <c r="BQ9" s="66">
        <v>16.100000000000001</v>
      </c>
      <c r="BR9" s="65"/>
      <c r="BS9" s="65"/>
      <c r="BT9" s="65"/>
      <c r="BU9" s="65"/>
      <c r="BV9" s="65"/>
      <c r="BW9" s="65"/>
      <c r="BX9" s="65"/>
      <c r="BY9" s="66">
        <v>1</v>
      </c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7"/>
    </row>
    <row r="10" spans="1:91" ht="19.5" customHeight="1">
      <c r="A10" s="11">
        <v>6</v>
      </c>
      <c r="B10" s="12" t="s">
        <v>146</v>
      </c>
      <c r="C10" s="68" t="s">
        <v>263</v>
      </c>
      <c r="D10" s="69">
        <v>100</v>
      </c>
      <c r="E10" s="70">
        <f>IFERROR(1.2/100*'🏭 원료 마스터'!$C$7+2.3/100*'🏭 원료 마스터'!$C$8+0.3/100*'🏭 원료 마스터'!$C$9+1.2/100*'🏭 원료 마스터'!$C$24+0.6/100*'🏭 원료 마스터'!$C$25+1.2/100*'🏭 원료 마스터'!$C$30+4.1/100*'🏭 원료 마스터'!$C$42+8.7/100*'🏭 원료 마스터'!$C$48+17.4/100*'🏭 원료 마스터'!$C$62+58/100*'🏭 원료 마스터'!$C$69+0.6/100*'🏭 원료 마스터'!$C$70+0.8/100*'🏭 원료 마스터'!$C$73+1.2/100*'🏭 원료 마스터'!$C$74+1.2/100*'🏭 원료 마스터'!$C$77+1.2/100*'🏭 원료 마스터'!$C$78,"")</f>
        <v>523.11755999999991</v>
      </c>
      <c r="F10" s="64"/>
      <c r="G10" s="64"/>
      <c r="H10" s="58"/>
      <c r="I10" s="57"/>
      <c r="J10" s="71"/>
      <c r="K10" s="71"/>
      <c r="L10" s="71"/>
      <c r="M10" s="72">
        <v>1.2</v>
      </c>
      <c r="N10" s="72">
        <v>2.2999999999999998</v>
      </c>
      <c r="O10" s="72">
        <v>0.3</v>
      </c>
      <c r="P10" s="71"/>
      <c r="Q10" s="71"/>
      <c r="R10" s="67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2">
        <v>1.2</v>
      </c>
      <c r="AF10" s="72">
        <v>0.6</v>
      </c>
      <c r="AG10" s="71"/>
      <c r="AH10" s="71"/>
      <c r="AI10" s="71"/>
      <c r="AJ10" s="71"/>
      <c r="AK10" s="72">
        <v>1.2</v>
      </c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2">
        <v>4.0999999999999996</v>
      </c>
      <c r="AX10" s="71"/>
      <c r="AY10" s="71"/>
      <c r="AZ10" s="71"/>
      <c r="BA10" s="71"/>
      <c r="BB10" s="71"/>
      <c r="BC10" s="72">
        <v>8.6999999999999993</v>
      </c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2">
        <v>17.399999999999999</v>
      </c>
      <c r="BR10" s="71"/>
      <c r="BS10" s="71"/>
      <c r="BT10" s="71"/>
      <c r="BU10" s="71"/>
      <c r="BV10" s="71"/>
      <c r="BW10" s="71"/>
      <c r="BX10" s="72">
        <v>58</v>
      </c>
      <c r="BY10" s="72">
        <v>0.6</v>
      </c>
      <c r="BZ10" s="71"/>
      <c r="CA10" s="71"/>
      <c r="CB10" s="72">
        <v>0.8</v>
      </c>
      <c r="CC10" s="72">
        <v>1.2</v>
      </c>
      <c r="CD10" s="71"/>
      <c r="CE10" s="71"/>
      <c r="CF10" s="72">
        <v>1.2</v>
      </c>
      <c r="CG10" s="72">
        <v>1.2</v>
      </c>
      <c r="CH10" s="71"/>
      <c r="CI10" s="71"/>
      <c r="CJ10" s="71"/>
      <c r="CK10" s="71"/>
      <c r="CL10" s="71"/>
      <c r="CM10" s="67"/>
    </row>
    <row r="11" spans="1:91" ht="19.5" customHeight="1">
      <c r="A11" s="7">
        <v>7</v>
      </c>
      <c r="B11" s="8" t="s">
        <v>147</v>
      </c>
      <c r="C11" s="61" t="s">
        <v>264</v>
      </c>
      <c r="D11" s="62">
        <v>100</v>
      </c>
      <c r="E11" s="63">
        <f>IFERROR(1.6/100*'🏭 원료 마스터'!$C$4+1.7/100*'🏭 원료 마스터'!$C$7+0.3/100*'🏭 원료 마스터'!$C$9+2.9/100*'🏭 원료 마스터'!$C$29+1.2/100*'🏭 원료 마스터'!$C$30+4.1/100*'🏭 원료 마스터'!$C$42+8.6/100*'🏭 원료 마스터'!$C$48+17.3/100*'🏭 원료 마스터'!$C$62+57.6/100*'🏭 원료 마스터'!$C$69+0.5/100*'🏭 원료 마스터'!$C$70+0.6/100*'🏭 원료 마스터'!$C$73+1.2/100*'🏭 원료 마스터'!$C$74+1.2/100*'🏭 원료 마스터'!$C$77+1.2/100*'🏭 원료 마스터'!$C$78,"")</f>
        <v>232.93701999999996</v>
      </c>
      <c r="F11" s="64"/>
      <c r="G11" s="64"/>
      <c r="H11" s="58"/>
      <c r="I11" s="57"/>
      <c r="J11" s="66">
        <v>1.6</v>
      </c>
      <c r="K11" s="65"/>
      <c r="L11" s="65"/>
      <c r="M11" s="66">
        <v>1.7</v>
      </c>
      <c r="N11" s="65"/>
      <c r="O11" s="66">
        <v>0.3</v>
      </c>
      <c r="P11" s="65"/>
      <c r="Q11" s="65"/>
      <c r="R11" s="67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6">
        <v>2.9</v>
      </c>
      <c r="AK11" s="66">
        <v>1.2</v>
      </c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6">
        <v>4.0999999999999996</v>
      </c>
      <c r="AX11" s="65"/>
      <c r="AY11" s="65"/>
      <c r="AZ11" s="65"/>
      <c r="BA11" s="65"/>
      <c r="BB11" s="65"/>
      <c r="BC11" s="66">
        <v>8.6</v>
      </c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6">
        <v>17.3</v>
      </c>
      <c r="BR11" s="65"/>
      <c r="BS11" s="65"/>
      <c r="BT11" s="65"/>
      <c r="BU11" s="65"/>
      <c r="BV11" s="65"/>
      <c r="BW11" s="65"/>
      <c r="BX11" s="66">
        <v>57.6</v>
      </c>
      <c r="BY11" s="66">
        <v>0.5</v>
      </c>
      <c r="BZ11" s="65"/>
      <c r="CA11" s="65"/>
      <c r="CB11" s="66">
        <v>0.6</v>
      </c>
      <c r="CC11" s="66">
        <v>1.2</v>
      </c>
      <c r="CD11" s="65"/>
      <c r="CE11" s="65"/>
      <c r="CF11" s="66">
        <v>1.2</v>
      </c>
      <c r="CG11" s="66">
        <v>1.2</v>
      </c>
      <c r="CH11" s="65"/>
      <c r="CI11" s="65"/>
      <c r="CJ11" s="65"/>
      <c r="CK11" s="65"/>
      <c r="CL11" s="65"/>
      <c r="CM11" s="67"/>
    </row>
    <row r="12" spans="1:91" ht="19.5" customHeight="1">
      <c r="A12" s="11">
        <v>8</v>
      </c>
      <c r="B12" s="12" t="s">
        <v>148</v>
      </c>
      <c r="C12" s="68" t="s">
        <v>265</v>
      </c>
      <c r="D12" s="69">
        <v>100</v>
      </c>
      <c r="E12" s="70">
        <f>IFERROR(0.9/100*'🏭 원료 마스터'!$C$6+0.1/100*'🏭 원료 마스터'!$C$35+1.4/100*'🏭 원료 마스터'!$C$36+68.1/100*'🏭 원료 마스터'!$C$39+10.6/100*'🏭 원료 마스터'!$C$48+17.7/100*'🏭 원료 마스터'!$C$62+1.2/100*'🏭 원료 마스터'!$C$70,"")</f>
        <v>16905.246480000002</v>
      </c>
      <c r="F12" s="64"/>
      <c r="G12" s="64"/>
      <c r="H12" s="58"/>
      <c r="I12" s="57"/>
      <c r="J12" s="71"/>
      <c r="K12" s="71"/>
      <c r="L12" s="72">
        <v>0.9</v>
      </c>
      <c r="M12" s="71"/>
      <c r="N12" s="71"/>
      <c r="O12" s="71"/>
      <c r="P12" s="71"/>
      <c r="Q12" s="71"/>
      <c r="R12" s="67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>
        <v>0.1</v>
      </c>
      <c r="AQ12" s="72">
        <v>1.4</v>
      </c>
      <c r="AR12" s="71"/>
      <c r="AS12" s="71"/>
      <c r="AT12" s="72">
        <v>68.099999999999994</v>
      </c>
      <c r="AU12" s="71"/>
      <c r="AV12" s="71"/>
      <c r="AW12" s="71"/>
      <c r="AX12" s="71"/>
      <c r="AY12" s="71"/>
      <c r="AZ12" s="71"/>
      <c r="BA12" s="71"/>
      <c r="BB12" s="71"/>
      <c r="BC12" s="72">
        <v>10.6</v>
      </c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2">
        <v>17.7</v>
      </c>
      <c r="BR12" s="71"/>
      <c r="BS12" s="71"/>
      <c r="BT12" s="71"/>
      <c r="BU12" s="71"/>
      <c r="BV12" s="71"/>
      <c r="BW12" s="71"/>
      <c r="BX12" s="71"/>
      <c r="BY12" s="72">
        <v>1.2</v>
      </c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67"/>
    </row>
    <row r="13" spans="1:91" ht="19.5" customHeight="1">
      <c r="A13" s="7">
        <v>9</v>
      </c>
      <c r="B13" s="8" t="s">
        <v>149</v>
      </c>
      <c r="C13" s="68" t="s">
        <v>266</v>
      </c>
      <c r="D13" s="62">
        <v>100</v>
      </c>
      <c r="E13" s="63">
        <f>IFERROR(2.5/100*'🏭 원료 마스터'!$C$12+4.64/100*'🏭 원료 마스터'!$C$13+2.96/100*'🏭 원료 마스터'!$C$17+5.43/100*'🏭 원료 마스터'!$C$41+6.62/100*'🏭 원료 마스터'!$C$46+1.42/100*'🏭 원료 마스터'!$C$48+0.49/100*'🏭 원료 마스터'!$C$56+3.1/100*'🏭 원료 마스터'!$C$62+0.24/100*'🏭 원료 마스터'!$C$63+10.16/100*'🏭 원료 마스터'!$C$64+0.39/100*'🏭 원료 마스터'!$C$67+53.2/100*'🏭 원료 마스터'!$C$69+6.65/100*'🏭 원료 마스터'!$C$71+2.2/100*'🏭 원료 마스터'!$C$81,"")</f>
        <v>2709.7099999999996</v>
      </c>
      <c r="F13" s="64"/>
      <c r="G13" s="64"/>
      <c r="H13" s="58"/>
      <c r="I13" s="57"/>
      <c r="J13" s="65"/>
      <c r="K13" s="65"/>
      <c r="L13" s="65"/>
      <c r="M13" s="65"/>
      <c r="N13" s="65"/>
      <c r="O13" s="65"/>
      <c r="P13" s="65"/>
      <c r="Q13" s="65"/>
      <c r="R13" s="73">
        <v>2.5</v>
      </c>
      <c r="S13" s="66">
        <v>4.6399999999999997</v>
      </c>
      <c r="T13" s="65"/>
      <c r="U13" s="65"/>
      <c r="V13" s="65"/>
      <c r="W13" s="65"/>
      <c r="X13" s="66">
        <v>2.96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6">
        <v>5.43</v>
      </c>
      <c r="AW13" s="65"/>
      <c r="AX13" s="65"/>
      <c r="AY13" s="65"/>
      <c r="AZ13" s="65"/>
      <c r="BA13" s="66">
        <v>6.62</v>
      </c>
      <c r="BB13" s="65"/>
      <c r="BC13" s="66">
        <v>1.42</v>
      </c>
      <c r="BD13" s="65"/>
      <c r="BE13" s="65"/>
      <c r="BF13" s="65"/>
      <c r="BG13" s="65"/>
      <c r="BH13" s="65"/>
      <c r="BI13" s="65"/>
      <c r="BJ13" s="65"/>
      <c r="BK13" s="66">
        <v>0.49</v>
      </c>
      <c r="BL13" s="65"/>
      <c r="BM13" s="65"/>
      <c r="BN13" s="65"/>
      <c r="BO13" s="65"/>
      <c r="BP13" s="65"/>
      <c r="BQ13" s="66">
        <v>3.1</v>
      </c>
      <c r="BR13" s="66">
        <v>0.24</v>
      </c>
      <c r="BS13" s="66">
        <v>10.16</v>
      </c>
      <c r="BT13" s="65"/>
      <c r="BU13" s="65"/>
      <c r="BV13" s="66">
        <v>0.39</v>
      </c>
      <c r="BW13" s="65"/>
      <c r="BX13" s="66">
        <v>53.2</v>
      </c>
      <c r="BY13" s="65"/>
      <c r="BZ13" s="66">
        <v>6.65</v>
      </c>
      <c r="CA13" s="65"/>
      <c r="CB13" s="65"/>
      <c r="CC13" s="65"/>
      <c r="CD13" s="65"/>
      <c r="CE13" s="65"/>
      <c r="CF13" s="65"/>
      <c r="CG13" s="65"/>
      <c r="CH13" s="65"/>
      <c r="CI13" s="65"/>
      <c r="CJ13" s="66">
        <v>2.2000000000000002</v>
      </c>
      <c r="CK13" s="65"/>
      <c r="CL13" s="65"/>
      <c r="CM13" s="67"/>
    </row>
    <row r="14" spans="1:91" ht="19.5" customHeight="1">
      <c r="A14" s="11">
        <v>10</v>
      </c>
      <c r="B14" s="12" t="s">
        <v>150</v>
      </c>
      <c r="C14" s="68" t="s">
        <v>266</v>
      </c>
      <c r="D14" s="69">
        <v>100</v>
      </c>
      <c r="E14" s="70">
        <f>IFERROR(2.96/100*'🏭 원료 마스터'!$C$17+3.57/100*'🏭 원료 마스터'!$C$35+5.43/100*'🏭 원료 마스터'!$C$41+6.62/100*'🏭 원료 마스터'!$C$46+1.42/100*'🏭 원료 마스터'!$C$48+3.57/100*'🏭 원료 마스터'!$C$49+0.49/100*'🏭 원료 마스터'!$C$56+3.1/100*'🏭 원료 마스터'!$C$62+0.24/100*'🏭 원료 마스터'!$C$63+10.16/100*'🏭 원료 마스터'!$C$64+0.39/100*'🏭 원료 마스터'!$C$67+53.2/100*'🏭 원료 마스터'!$C$69+6.65/100*'🏭 원료 마스터'!$C$71+2.2/100*'🏭 원료 마스터'!$C$81,"")</f>
        <v>2196.2429429999997</v>
      </c>
      <c r="F14" s="64"/>
      <c r="G14" s="64"/>
      <c r="H14" s="58"/>
      <c r="I14" s="57"/>
      <c r="J14" s="71"/>
      <c r="K14" s="71"/>
      <c r="L14" s="71"/>
      <c r="M14" s="71"/>
      <c r="N14" s="71"/>
      <c r="O14" s="71"/>
      <c r="P14" s="71"/>
      <c r="Q14" s="71"/>
      <c r="R14" s="67"/>
      <c r="S14" s="71"/>
      <c r="T14" s="71"/>
      <c r="U14" s="71"/>
      <c r="V14" s="71"/>
      <c r="W14" s="71"/>
      <c r="X14" s="72">
        <v>2.96</v>
      </c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>
        <v>3.57</v>
      </c>
      <c r="AQ14" s="71"/>
      <c r="AR14" s="71"/>
      <c r="AS14" s="71"/>
      <c r="AT14" s="71"/>
      <c r="AU14" s="71"/>
      <c r="AV14" s="72">
        <v>5.43</v>
      </c>
      <c r="AW14" s="71"/>
      <c r="AX14" s="71"/>
      <c r="AY14" s="71"/>
      <c r="AZ14" s="71"/>
      <c r="BA14" s="72">
        <v>6.62</v>
      </c>
      <c r="BB14" s="71"/>
      <c r="BC14" s="72">
        <v>1.42</v>
      </c>
      <c r="BD14" s="72">
        <v>3.57</v>
      </c>
      <c r="BE14" s="71"/>
      <c r="BF14" s="71"/>
      <c r="BG14" s="71"/>
      <c r="BH14" s="71"/>
      <c r="BI14" s="71"/>
      <c r="BJ14" s="71"/>
      <c r="BK14" s="72">
        <v>0.49</v>
      </c>
      <c r="BL14" s="71"/>
      <c r="BM14" s="71"/>
      <c r="BN14" s="71"/>
      <c r="BO14" s="71"/>
      <c r="BP14" s="71"/>
      <c r="BQ14" s="72">
        <v>3.1</v>
      </c>
      <c r="BR14" s="72">
        <v>0.24</v>
      </c>
      <c r="BS14" s="72">
        <v>10.16</v>
      </c>
      <c r="BT14" s="71"/>
      <c r="BU14" s="71"/>
      <c r="BV14" s="72">
        <v>0.39</v>
      </c>
      <c r="BW14" s="71"/>
      <c r="BX14" s="72">
        <v>53.2</v>
      </c>
      <c r="BY14" s="71"/>
      <c r="BZ14" s="72">
        <v>6.65</v>
      </c>
      <c r="CA14" s="71"/>
      <c r="CB14" s="71"/>
      <c r="CC14" s="71"/>
      <c r="CD14" s="71"/>
      <c r="CE14" s="71"/>
      <c r="CF14" s="71"/>
      <c r="CG14" s="71"/>
      <c r="CH14" s="71"/>
      <c r="CI14" s="71"/>
      <c r="CJ14" s="72">
        <v>2.2000000000000002</v>
      </c>
      <c r="CK14" s="71"/>
      <c r="CL14" s="71"/>
      <c r="CM14" s="67"/>
    </row>
    <row r="15" spans="1:91" ht="19.5" customHeight="1">
      <c r="A15" s="7">
        <v>11</v>
      </c>
      <c r="B15" s="8" t="s">
        <v>151</v>
      </c>
      <c r="C15" s="61" t="s">
        <v>266</v>
      </c>
      <c r="D15" s="62">
        <v>100</v>
      </c>
      <c r="E15" s="63">
        <f>IFERROR(2.96/100*'🏭 원료 마스터'!$C$17+7.14/100*'🏭 원료 마스터'!$C$22+5.43/100*'🏭 원료 마스터'!$C$41+6.62/100*'🏭 원료 마스터'!$C$46+1.42/100*'🏭 원료 마스터'!$C$48+0.49/100*'🏭 원료 마스터'!$C$56+3.1/100*'🏭 원료 마스터'!$C$62+0.24/100*'🏭 원료 마스터'!$C$63+10.16/100*'🏭 원료 마스터'!$C$64+0.39/100*'🏭 원료 마스터'!$C$67+53.2/100*'🏭 원료 마스터'!$C$69+6.65/100*'🏭 원료 마스터'!$C$71+2.2/100*'🏭 원료 마스터'!$C$81,"")</f>
        <v>2154.5099999999998</v>
      </c>
      <c r="F15" s="64"/>
      <c r="G15" s="64"/>
      <c r="H15" s="58"/>
      <c r="I15" s="57"/>
      <c r="J15" s="65"/>
      <c r="K15" s="65"/>
      <c r="L15" s="65"/>
      <c r="M15" s="65"/>
      <c r="N15" s="65"/>
      <c r="O15" s="65"/>
      <c r="P15" s="65"/>
      <c r="Q15" s="65"/>
      <c r="R15" s="67"/>
      <c r="S15" s="65"/>
      <c r="T15" s="65"/>
      <c r="U15" s="65"/>
      <c r="V15" s="65"/>
      <c r="W15" s="65"/>
      <c r="X15" s="66">
        <v>2.96</v>
      </c>
      <c r="Y15" s="65"/>
      <c r="Z15" s="65"/>
      <c r="AA15" s="65"/>
      <c r="AB15" s="65"/>
      <c r="AC15" s="66">
        <v>7.14</v>
      </c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6">
        <v>5.43</v>
      </c>
      <c r="AW15" s="65"/>
      <c r="AX15" s="65"/>
      <c r="AY15" s="65"/>
      <c r="AZ15" s="65"/>
      <c r="BA15" s="66">
        <v>6.62</v>
      </c>
      <c r="BB15" s="65"/>
      <c r="BC15" s="66">
        <v>1.42</v>
      </c>
      <c r="BD15" s="65"/>
      <c r="BE15" s="65"/>
      <c r="BF15" s="65"/>
      <c r="BG15" s="65"/>
      <c r="BH15" s="65"/>
      <c r="BI15" s="65"/>
      <c r="BJ15" s="65"/>
      <c r="BK15" s="66">
        <v>0.49</v>
      </c>
      <c r="BL15" s="65"/>
      <c r="BM15" s="65"/>
      <c r="BN15" s="65"/>
      <c r="BO15" s="65"/>
      <c r="BP15" s="65"/>
      <c r="BQ15" s="66">
        <v>3.1</v>
      </c>
      <c r="BR15" s="66">
        <v>0.24</v>
      </c>
      <c r="BS15" s="66">
        <v>10.16</v>
      </c>
      <c r="BT15" s="65"/>
      <c r="BU15" s="65"/>
      <c r="BV15" s="66">
        <v>0.39</v>
      </c>
      <c r="BW15" s="65"/>
      <c r="BX15" s="66">
        <v>53.2</v>
      </c>
      <c r="BY15" s="65"/>
      <c r="BZ15" s="66">
        <v>6.65</v>
      </c>
      <c r="CA15" s="65"/>
      <c r="CB15" s="65"/>
      <c r="CC15" s="65"/>
      <c r="CD15" s="65"/>
      <c r="CE15" s="65"/>
      <c r="CF15" s="65"/>
      <c r="CG15" s="65"/>
      <c r="CH15" s="65"/>
      <c r="CI15" s="65"/>
      <c r="CJ15" s="66">
        <v>2.2000000000000002</v>
      </c>
      <c r="CK15" s="65"/>
      <c r="CL15" s="65"/>
      <c r="CM15" s="67"/>
    </row>
    <row r="16" spans="1:91" ht="19.5" customHeight="1">
      <c r="A16" s="11">
        <v>12</v>
      </c>
      <c r="B16" s="12" t="s">
        <v>152</v>
      </c>
      <c r="C16" s="68" t="s">
        <v>266</v>
      </c>
      <c r="D16" s="69">
        <v>100</v>
      </c>
      <c r="E16" s="70">
        <f>IFERROR(2.96/100*'🏭 원료 마스터'!$C$17+3.57/100*'🏭 원료 마스터'!$C$23+5.43/100*'🏭 원료 마스터'!$C$41+6.62/100*'🏭 원료 마스터'!$C$46+1.42/100*'🏭 원료 마스터'!$C$48+0.49/100*'🏭 원료 마스터'!$C$56+3.1/100*'🏭 원료 마스터'!$C$62+0.24/100*'🏭 원료 마스터'!$C$63+10.16/100*'🏭 원료 마스터'!$C$64+0.39/100*'🏭 원료 마스터'!$C$67+53.2/100*'🏭 원료 마스터'!$C$69+6.65/100*'🏭 원료 마스터'!$C$71+3.57/100*'🏭 원료 마스터'!$C$72+2.2/100*'🏭 원료 마스터'!$C$81,"")</f>
        <v>3932.4888809999998</v>
      </c>
      <c r="F16" s="64"/>
      <c r="G16" s="64"/>
      <c r="H16" s="58"/>
      <c r="I16" s="57"/>
      <c r="J16" s="71"/>
      <c r="K16" s="71"/>
      <c r="L16" s="71"/>
      <c r="M16" s="71"/>
      <c r="N16" s="71"/>
      <c r="O16" s="71"/>
      <c r="P16" s="71"/>
      <c r="Q16" s="71"/>
      <c r="R16" s="67"/>
      <c r="S16" s="71"/>
      <c r="T16" s="71"/>
      <c r="U16" s="71"/>
      <c r="V16" s="71"/>
      <c r="W16" s="71"/>
      <c r="X16" s="72">
        <v>2.96</v>
      </c>
      <c r="Y16" s="71"/>
      <c r="Z16" s="71"/>
      <c r="AA16" s="71"/>
      <c r="AB16" s="71"/>
      <c r="AC16" s="71"/>
      <c r="AD16" s="72">
        <v>3.57</v>
      </c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2">
        <v>5.43</v>
      </c>
      <c r="AW16" s="71"/>
      <c r="AX16" s="71"/>
      <c r="AY16" s="71"/>
      <c r="AZ16" s="71"/>
      <c r="BA16" s="72">
        <v>6.62</v>
      </c>
      <c r="BB16" s="71"/>
      <c r="BC16" s="72">
        <v>1.42</v>
      </c>
      <c r="BD16" s="71"/>
      <c r="BE16" s="71"/>
      <c r="BF16" s="71"/>
      <c r="BG16" s="71"/>
      <c r="BH16" s="71"/>
      <c r="BI16" s="71"/>
      <c r="BJ16" s="71"/>
      <c r="BK16" s="72">
        <v>0.49</v>
      </c>
      <c r="BL16" s="71"/>
      <c r="BM16" s="71"/>
      <c r="BN16" s="71"/>
      <c r="BO16" s="71"/>
      <c r="BP16" s="71"/>
      <c r="BQ16" s="72">
        <v>3.1</v>
      </c>
      <c r="BR16" s="72">
        <v>0.24</v>
      </c>
      <c r="BS16" s="72">
        <v>10.16</v>
      </c>
      <c r="BT16" s="71"/>
      <c r="BU16" s="71"/>
      <c r="BV16" s="72">
        <v>0.39</v>
      </c>
      <c r="BW16" s="71"/>
      <c r="BX16" s="72">
        <v>53.2</v>
      </c>
      <c r="BY16" s="71"/>
      <c r="BZ16" s="72">
        <v>6.65</v>
      </c>
      <c r="CA16" s="72">
        <v>3.57</v>
      </c>
      <c r="CB16" s="71"/>
      <c r="CC16" s="71"/>
      <c r="CD16" s="71"/>
      <c r="CE16" s="71"/>
      <c r="CF16" s="71"/>
      <c r="CG16" s="71"/>
      <c r="CH16" s="71"/>
      <c r="CI16" s="71"/>
      <c r="CJ16" s="72">
        <v>2.2000000000000002</v>
      </c>
      <c r="CK16" s="71"/>
      <c r="CL16" s="71"/>
      <c r="CM16" s="67"/>
    </row>
    <row r="17" spans="1:91" ht="19.5" customHeight="1">
      <c r="A17" s="7">
        <v>13</v>
      </c>
      <c r="B17" s="8" t="s">
        <v>153</v>
      </c>
      <c r="C17" s="61" t="s">
        <v>266</v>
      </c>
      <c r="D17" s="62">
        <v>100</v>
      </c>
      <c r="E17" s="63">
        <f>IFERROR(2.96/100*'🏭 원료 마스터'!$C$17+7.14/100*'🏭 원료 마스터'!$C$37+5.43/100*'🏭 원료 마스터'!$C$41+6.62/100*'🏭 원료 마스터'!$C$46+1.42/100*'🏭 원료 마스터'!$C$48+0.49/100*'🏭 원료 마스터'!$C$56+3.1/100*'🏭 원료 마스터'!$C$62+0.24/100*'🏭 원료 마스터'!$C$63+10.16/100*'🏭 원료 마스터'!$C$64+0.39/100*'🏭 원료 마스터'!$C$67+53.2/100*'🏭 원료 마스터'!$C$69+6.65/100*'🏭 원료 마스터'!$C$71+2.2/100*'🏭 원료 마스터'!$C$81,"")</f>
        <v>2547.2099999999996</v>
      </c>
      <c r="F17" s="64"/>
      <c r="G17" s="64"/>
      <c r="H17" s="58"/>
      <c r="I17" s="57"/>
      <c r="J17" s="65"/>
      <c r="K17" s="65"/>
      <c r="L17" s="65"/>
      <c r="M17" s="65"/>
      <c r="N17" s="65"/>
      <c r="O17" s="65"/>
      <c r="P17" s="65"/>
      <c r="Q17" s="65"/>
      <c r="R17" s="67"/>
      <c r="S17" s="65"/>
      <c r="T17" s="65"/>
      <c r="U17" s="65"/>
      <c r="V17" s="65"/>
      <c r="W17" s="65"/>
      <c r="X17" s="66">
        <v>2.96</v>
      </c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6">
        <v>7.14</v>
      </c>
      <c r="AS17" s="65"/>
      <c r="AT17" s="65"/>
      <c r="AU17" s="65"/>
      <c r="AV17" s="66">
        <v>5.43</v>
      </c>
      <c r="AW17" s="65"/>
      <c r="AX17" s="65"/>
      <c r="AY17" s="65"/>
      <c r="AZ17" s="65"/>
      <c r="BA17" s="66">
        <v>6.62</v>
      </c>
      <c r="BB17" s="65"/>
      <c r="BC17" s="66">
        <v>1.42</v>
      </c>
      <c r="BD17" s="65"/>
      <c r="BE17" s="65"/>
      <c r="BF17" s="65"/>
      <c r="BG17" s="65"/>
      <c r="BH17" s="65"/>
      <c r="BI17" s="65"/>
      <c r="BJ17" s="65"/>
      <c r="BK17" s="66">
        <v>0.49</v>
      </c>
      <c r="BL17" s="65"/>
      <c r="BM17" s="65"/>
      <c r="BN17" s="65"/>
      <c r="BO17" s="65"/>
      <c r="BP17" s="65"/>
      <c r="BQ17" s="66">
        <v>3.1</v>
      </c>
      <c r="BR17" s="66">
        <v>0.24</v>
      </c>
      <c r="BS17" s="66">
        <v>10.16</v>
      </c>
      <c r="BT17" s="65"/>
      <c r="BU17" s="65"/>
      <c r="BV17" s="66">
        <v>0.39</v>
      </c>
      <c r="BW17" s="65"/>
      <c r="BX17" s="66">
        <v>53.2</v>
      </c>
      <c r="BY17" s="65"/>
      <c r="BZ17" s="66">
        <v>6.65</v>
      </c>
      <c r="CA17" s="65"/>
      <c r="CB17" s="65"/>
      <c r="CC17" s="65"/>
      <c r="CD17" s="65"/>
      <c r="CE17" s="65"/>
      <c r="CF17" s="65"/>
      <c r="CG17" s="65"/>
      <c r="CH17" s="65"/>
      <c r="CI17" s="65"/>
      <c r="CJ17" s="66">
        <v>2.2000000000000002</v>
      </c>
      <c r="CK17" s="65"/>
      <c r="CL17" s="65"/>
      <c r="CM17" s="67"/>
    </row>
    <row r="18" spans="1:91" ht="19.5" customHeight="1">
      <c r="A18" s="11">
        <v>14</v>
      </c>
      <c r="B18" s="12" t="s">
        <v>154</v>
      </c>
      <c r="C18" s="68" t="s">
        <v>266</v>
      </c>
      <c r="D18" s="69">
        <v>100</v>
      </c>
      <c r="E18" s="70">
        <f>IFERROR(2.96/100*'🏭 원료 마스터'!$C$17+7.14/100*'🏭 원료 마스터'!$C$18+5.43/100*'🏭 원료 마스터'!$C$41+6.62/100*'🏭 원료 마스터'!$C$46+1.42/100*'🏭 원료 마스터'!$C$48+0.49/100*'🏭 원료 마스터'!$C$56+3.1/100*'🏭 원료 마스터'!$C$62+0.24/100*'🏭 원료 마스터'!$C$63+10.16/100*'🏭 원료 마스터'!$C$64+0.39/100*'🏭 원료 마스터'!$C$67+53.2/100*'🏭 원료 마스터'!$C$69+6.65/100*'🏭 원료 마스터'!$C$71+2.2/100*'🏭 원료 마스터'!$C$81,"")</f>
        <v>2746.5088199999996</v>
      </c>
      <c r="F18" s="64"/>
      <c r="G18" s="64"/>
      <c r="H18" s="58"/>
      <c r="I18" s="57"/>
      <c r="J18" s="71"/>
      <c r="K18" s="71"/>
      <c r="L18" s="71"/>
      <c r="M18" s="71"/>
      <c r="N18" s="71"/>
      <c r="O18" s="71"/>
      <c r="P18" s="71"/>
      <c r="Q18" s="71"/>
      <c r="R18" s="67"/>
      <c r="S18" s="71"/>
      <c r="T18" s="71"/>
      <c r="U18" s="71"/>
      <c r="V18" s="71"/>
      <c r="W18" s="71"/>
      <c r="X18" s="72">
        <v>2.96</v>
      </c>
      <c r="Y18" s="72">
        <v>7.14</v>
      </c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2">
        <v>5.43</v>
      </c>
      <c r="AW18" s="71"/>
      <c r="AX18" s="71"/>
      <c r="AY18" s="71"/>
      <c r="AZ18" s="71"/>
      <c r="BA18" s="72">
        <v>6.62</v>
      </c>
      <c r="BB18" s="71"/>
      <c r="BC18" s="72">
        <v>1.42</v>
      </c>
      <c r="BD18" s="71"/>
      <c r="BE18" s="71"/>
      <c r="BF18" s="71"/>
      <c r="BG18" s="71"/>
      <c r="BH18" s="71"/>
      <c r="BI18" s="71"/>
      <c r="BJ18" s="71"/>
      <c r="BK18" s="72">
        <v>0.49</v>
      </c>
      <c r="BL18" s="71"/>
      <c r="BM18" s="71"/>
      <c r="BN18" s="71"/>
      <c r="BO18" s="71"/>
      <c r="BP18" s="71"/>
      <c r="BQ18" s="72">
        <v>3.1</v>
      </c>
      <c r="BR18" s="72">
        <v>0.24</v>
      </c>
      <c r="BS18" s="72">
        <v>10.16</v>
      </c>
      <c r="BT18" s="71"/>
      <c r="BU18" s="71"/>
      <c r="BV18" s="72">
        <v>0.39</v>
      </c>
      <c r="BW18" s="71"/>
      <c r="BX18" s="72">
        <v>53.2</v>
      </c>
      <c r="BY18" s="71"/>
      <c r="BZ18" s="72">
        <v>6.65</v>
      </c>
      <c r="CA18" s="71"/>
      <c r="CB18" s="71"/>
      <c r="CC18" s="71"/>
      <c r="CD18" s="71"/>
      <c r="CE18" s="71"/>
      <c r="CF18" s="71"/>
      <c r="CG18" s="71"/>
      <c r="CH18" s="71"/>
      <c r="CI18" s="71"/>
      <c r="CJ18" s="72">
        <v>2.2000000000000002</v>
      </c>
      <c r="CK18" s="71"/>
      <c r="CL18" s="71"/>
      <c r="CM18" s="67"/>
    </row>
    <row r="19" spans="1:91" ht="19.5" customHeight="1">
      <c r="A19" s="7">
        <v>15</v>
      </c>
      <c r="B19" s="8" t="s">
        <v>155</v>
      </c>
      <c r="C19" s="61" t="s">
        <v>267</v>
      </c>
      <c r="D19" s="62">
        <v>100</v>
      </c>
      <c r="E19" s="63">
        <f>IFERROR(4.3/100*'🏭 원료 마스터'!$C$38+2.1/100*'🏭 원료 마스터'!$C$41+0.8/100*'🏭 원료 마스터'!$C$42+2.1/100*'🏭 원료 마스터'!$C$48+3.2/100*'🏭 원료 마스터'!$C$57+40.1/100*'🏭 원료 마스터'!$C$65+0.2/100*'🏭 원료 마스터'!$C$67+43/100*'🏭 원료 마스터'!$C$69+0.7/100*'🏭 원료 마스터'!$C$70+3.2/100*'🏭 원료 마스터'!$C$77+0.3/100*'🏭 원료 마스터'!$C$79,"")</f>
        <v>1946.3492600000002</v>
      </c>
      <c r="F19" s="64"/>
      <c r="G19" s="64"/>
      <c r="H19" s="58"/>
      <c r="I19" s="57"/>
      <c r="J19" s="65"/>
      <c r="K19" s="65"/>
      <c r="L19" s="65"/>
      <c r="M19" s="65"/>
      <c r="N19" s="65"/>
      <c r="O19" s="65"/>
      <c r="P19" s="65"/>
      <c r="Q19" s="65"/>
      <c r="R19" s="67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6">
        <v>4.3</v>
      </c>
      <c r="AT19" s="65"/>
      <c r="AU19" s="65"/>
      <c r="AV19" s="66">
        <v>2.1</v>
      </c>
      <c r="AW19" s="66">
        <v>0.8</v>
      </c>
      <c r="AX19" s="65"/>
      <c r="AY19" s="65"/>
      <c r="AZ19" s="65"/>
      <c r="BA19" s="65"/>
      <c r="BB19" s="65"/>
      <c r="BC19" s="66">
        <v>2.1</v>
      </c>
      <c r="BD19" s="65"/>
      <c r="BE19" s="65"/>
      <c r="BF19" s="65"/>
      <c r="BG19" s="65"/>
      <c r="BH19" s="65"/>
      <c r="BI19" s="65"/>
      <c r="BJ19" s="65"/>
      <c r="BK19" s="65"/>
      <c r="BL19" s="66">
        <v>3.2</v>
      </c>
      <c r="BM19" s="65"/>
      <c r="BN19" s="65"/>
      <c r="BO19" s="65"/>
      <c r="BP19" s="65"/>
      <c r="BQ19" s="65"/>
      <c r="BR19" s="65"/>
      <c r="BS19" s="65"/>
      <c r="BT19" s="66">
        <v>40.1</v>
      </c>
      <c r="BU19" s="65"/>
      <c r="BV19" s="66">
        <v>0.2</v>
      </c>
      <c r="BW19" s="65"/>
      <c r="BX19" s="66">
        <v>43</v>
      </c>
      <c r="BY19" s="66">
        <v>0.7</v>
      </c>
      <c r="BZ19" s="65"/>
      <c r="CA19" s="65"/>
      <c r="CB19" s="65"/>
      <c r="CC19" s="65"/>
      <c r="CD19" s="65"/>
      <c r="CE19" s="65"/>
      <c r="CF19" s="66">
        <v>3.2</v>
      </c>
      <c r="CG19" s="65"/>
      <c r="CH19" s="66">
        <v>0.3</v>
      </c>
      <c r="CI19" s="65"/>
      <c r="CJ19" s="65"/>
      <c r="CK19" s="65"/>
      <c r="CL19" s="65"/>
      <c r="CM19" s="67"/>
    </row>
    <row r="20" spans="1:91" ht="19.5" customHeight="1">
      <c r="A20" s="11">
        <v>16</v>
      </c>
      <c r="B20" s="12" t="s">
        <v>156</v>
      </c>
      <c r="C20" s="68" t="s">
        <v>268</v>
      </c>
      <c r="D20" s="69">
        <v>100</v>
      </c>
      <c r="E20" s="70">
        <f>IFERROR(1.1/100*'🏭 원료 마스터'!$C$24+4.9/100*'🏭 원료 마스터'!$C$38+1.1/100*'🏭 원료 마스터'!$C$42+1.4/100*'🏭 원료 마스터'!$C$48+1.3/100*'🏭 원료 마스터'!$C$57+17.6/100*'🏭 원료 마스터'!$C$62+33.3/100*'🏭 원료 마스터'!$C$65+35.5/100*'🏭 원료 마스터'!$C$69+0.9/100*'🏭 원료 마스터'!$C$70+2.7/100*'🏭 원료 마스터'!$C$77+0.2/100*'🏭 원료 마스터'!$C$79,"")</f>
        <v>1622.8498599999998</v>
      </c>
      <c r="F20" s="64"/>
      <c r="G20" s="64"/>
      <c r="H20" s="58"/>
      <c r="I20" s="57"/>
      <c r="J20" s="71"/>
      <c r="K20" s="71"/>
      <c r="L20" s="71"/>
      <c r="M20" s="71"/>
      <c r="N20" s="71"/>
      <c r="O20" s="71"/>
      <c r="P20" s="71"/>
      <c r="Q20" s="71"/>
      <c r="R20" s="67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2">
        <v>1.1000000000000001</v>
      </c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2">
        <v>4.9000000000000004</v>
      </c>
      <c r="AT20" s="71"/>
      <c r="AU20" s="71"/>
      <c r="AV20" s="71"/>
      <c r="AW20" s="72">
        <v>1.1000000000000001</v>
      </c>
      <c r="AX20" s="71"/>
      <c r="AY20" s="71"/>
      <c r="AZ20" s="71"/>
      <c r="BA20" s="71"/>
      <c r="BB20" s="71"/>
      <c r="BC20" s="72">
        <v>1.4</v>
      </c>
      <c r="BD20" s="71"/>
      <c r="BE20" s="71"/>
      <c r="BF20" s="71"/>
      <c r="BG20" s="71"/>
      <c r="BH20" s="71"/>
      <c r="BI20" s="71"/>
      <c r="BJ20" s="71"/>
      <c r="BK20" s="71"/>
      <c r="BL20" s="72">
        <v>1.3</v>
      </c>
      <c r="BM20" s="71"/>
      <c r="BN20" s="71"/>
      <c r="BO20" s="71"/>
      <c r="BP20" s="71"/>
      <c r="BQ20" s="72">
        <v>17.600000000000001</v>
      </c>
      <c r="BR20" s="71"/>
      <c r="BS20" s="71"/>
      <c r="BT20" s="72">
        <v>33.299999999999997</v>
      </c>
      <c r="BU20" s="71"/>
      <c r="BV20" s="71"/>
      <c r="BW20" s="71"/>
      <c r="BX20" s="72">
        <v>35.5</v>
      </c>
      <c r="BY20" s="72">
        <v>0.9</v>
      </c>
      <c r="BZ20" s="71"/>
      <c r="CA20" s="71"/>
      <c r="CB20" s="71"/>
      <c r="CC20" s="71"/>
      <c r="CD20" s="71"/>
      <c r="CE20" s="71"/>
      <c r="CF20" s="72">
        <v>2.7</v>
      </c>
      <c r="CG20" s="71"/>
      <c r="CH20" s="72">
        <v>0.2</v>
      </c>
      <c r="CI20" s="71"/>
      <c r="CJ20" s="71"/>
      <c r="CK20" s="71"/>
      <c r="CL20" s="71"/>
      <c r="CM20" s="67"/>
    </row>
    <row r="21" spans="1:91" ht="19.5" customHeight="1">
      <c r="A21" s="7">
        <v>17</v>
      </c>
      <c r="B21" s="8" t="s">
        <v>157</v>
      </c>
      <c r="C21" s="61" t="s">
        <v>269</v>
      </c>
      <c r="D21" s="62">
        <v>100</v>
      </c>
      <c r="E21" s="63">
        <f>IFERROR(1.1/100*'🏭 원료 마스터'!$C$14+4.9/100*'🏭 원료 마스터'!$C$38+1.1/100*'🏭 원료 마스터'!$C$42+1.4/100*'🏭 원료 마스터'!$C$48+1.3/100*'🏭 원료 마스터'!$C$57+17.6/100*'🏭 원료 마스터'!$C$62+33.3/100*'🏭 원료 마스터'!$C$65+35.5/100*'🏭 원료 마스터'!$C$69+0.9/100*'🏭 원료 마스터'!$C$70+2.7/100*'🏭 원료 마스터'!$C$77+0.2/100*'🏭 원료 마스터'!$C$79,"")</f>
        <v>1359.9498599999997</v>
      </c>
      <c r="F21" s="64"/>
      <c r="G21" s="64"/>
      <c r="H21" s="58"/>
      <c r="I21" s="57"/>
      <c r="J21" s="65"/>
      <c r="K21" s="65"/>
      <c r="L21" s="65"/>
      <c r="M21" s="65"/>
      <c r="N21" s="65"/>
      <c r="O21" s="65"/>
      <c r="P21" s="65"/>
      <c r="Q21" s="65"/>
      <c r="R21" s="67"/>
      <c r="S21" s="65"/>
      <c r="T21" s="65"/>
      <c r="U21" s="66">
        <v>1.1000000000000001</v>
      </c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6">
        <v>4.9000000000000004</v>
      </c>
      <c r="AT21" s="65"/>
      <c r="AU21" s="65"/>
      <c r="AV21" s="65"/>
      <c r="AW21" s="66">
        <v>1.1000000000000001</v>
      </c>
      <c r="AX21" s="65"/>
      <c r="AY21" s="65"/>
      <c r="AZ21" s="65"/>
      <c r="BA21" s="65"/>
      <c r="BB21" s="65"/>
      <c r="BC21" s="66">
        <v>1.4</v>
      </c>
      <c r="BD21" s="65"/>
      <c r="BE21" s="65"/>
      <c r="BF21" s="65"/>
      <c r="BG21" s="65"/>
      <c r="BH21" s="65"/>
      <c r="BI21" s="65"/>
      <c r="BJ21" s="65"/>
      <c r="BK21" s="65"/>
      <c r="BL21" s="66">
        <v>1.3</v>
      </c>
      <c r="BM21" s="65"/>
      <c r="BN21" s="65"/>
      <c r="BO21" s="65"/>
      <c r="BP21" s="65"/>
      <c r="BQ21" s="66">
        <v>17.600000000000001</v>
      </c>
      <c r="BR21" s="65"/>
      <c r="BS21" s="65"/>
      <c r="BT21" s="66">
        <v>33.299999999999997</v>
      </c>
      <c r="BU21" s="65"/>
      <c r="BV21" s="65"/>
      <c r="BW21" s="65"/>
      <c r="BX21" s="66">
        <v>35.5</v>
      </c>
      <c r="BY21" s="66">
        <v>0.9</v>
      </c>
      <c r="BZ21" s="65"/>
      <c r="CA21" s="65"/>
      <c r="CB21" s="65"/>
      <c r="CC21" s="65"/>
      <c r="CD21" s="65"/>
      <c r="CE21" s="65"/>
      <c r="CF21" s="66">
        <v>2.7</v>
      </c>
      <c r="CG21" s="65"/>
      <c r="CH21" s="66">
        <v>0.2</v>
      </c>
      <c r="CI21" s="65"/>
      <c r="CJ21" s="65"/>
      <c r="CK21" s="65"/>
      <c r="CL21" s="65"/>
      <c r="CM21" s="67"/>
    </row>
    <row r="22" spans="1:91" ht="19.5" customHeight="1">
      <c r="A22" s="11">
        <v>18</v>
      </c>
      <c r="B22" s="12" t="s">
        <v>158</v>
      </c>
      <c r="C22" s="68" t="s">
        <v>270</v>
      </c>
      <c r="D22" s="69">
        <v>100</v>
      </c>
      <c r="E22" s="70">
        <f>IFERROR(4.9/100*'🏭 원료 마스터'!$C$38+1.1/100*'🏭 원료 마스터'!$C$42+1.4/100*'🏭 원료 마스터'!$C$48+1.1/100*'🏭 원료 마스터'!$C$53+1.3/100*'🏭 원료 마스터'!$C$57+17.6/100*'🏭 원료 마스터'!$C$62+33.3/100*'🏭 원료 마스터'!$C$65+35.5/100*'🏭 원료 마스터'!$C$69+0.9/100*'🏭 원료 마스터'!$C$70+2.7/100*'🏭 원료 마스터'!$C$77+0.2/100*'🏭 원료 마스터'!$C$79,"")</f>
        <v>1359.9498599999997</v>
      </c>
      <c r="F22" s="64"/>
      <c r="G22" s="64"/>
      <c r="H22" s="58"/>
      <c r="I22" s="57"/>
      <c r="J22" s="71"/>
      <c r="K22" s="71"/>
      <c r="L22" s="71"/>
      <c r="M22" s="71"/>
      <c r="N22" s="71"/>
      <c r="O22" s="71"/>
      <c r="P22" s="71"/>
      <c r="Q22" s="71"/>
      <c r="R22" s="67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2">
        <v>4.9000000000000004</v>
      </c>
      <c r="AT22" s="71"/>
      <c r="AU22" s="71"/>
      <c r="AV22" s="71"/>
      <c r="AW22" s="72">
        <v>1.1000000000000001</v>
      </c>
      <c r="AX22" s="71"/>
      <c r="AY22" s="71"/>
      <c r="AZ22" s="71"/>
      <c r="BA22" s="71"/>
      <c r="BB22" s="71"/>
      <c r="BC22" s="72">
        <v>1.4</v>
      </c>
      <c r="BD22" s="71"/>
      <c r="BE22" s="71"/>
      <c r="BF22" s="71"/>
      <c r="BG22" s="71"/>
      <c r="BH22" s="72">
        <v>1.1000000000000001</v>
      </c>
      <c r="BI22" s="71"/>
      <c r="BJ22" s="71"/>
      <c r="BK22" s="71"/>
      <c r="BL22" s="72">
        <v>1.3</v>
      </c>
      <c r="BM22" s="71"/>
      <c r="BN22" s="71"/>
      <c r="BO22" s="71"/>
      <c r="BP22" s="71"/>
      <c r="BQ22" s="72">
        <v>17.600000000000001</v>
      </c>
      <c r="BR22" s="71"/>
      <c r="BS22" s="71"/>
      <c r="BT22" s="72">
        <v>33.299999999999997</v>
      </c>
      <c r="BU22" s="71"/>
      <c r="BV22" s="71"/>
      <c r="BW22" s="71"/>
      <c r="BX22" s="72">
        <v>35.5</v>
      </c>
      <c r="BY22" s="72">
        <v>0.9</v>
      </c>
      <c r="BZ22" s="71"/>
      <c r="CA22" s="71"/>
      <c r="CB22" s="71"/>
      <c r="CC22" s="71"/>
      <c r="CD22" s="71"/>
      <c r="CE22" s="71"/>
      <c r="CF22" s="72">
        <v>2.7</v>
      </c>
      <c r="CG22" s="71"/>
      <c r="CH22" s="72">
        <v>0.2</v>
      </c>
      <c r="CI22" s="71"/>
      <c r="CJ22" s="71"/>
      <c r="CK22" s="71"/>
      <c r="CL22" s="71"/>
      <c r="CM22" s="67"/>
    </row>
    <row r="23" spans="1:91" ht="19.5" customHeight="1">
      <c r="A23" s="7">
        <v>19</v>
      </c>
      <c r="B23" s="8" t="s">
        <v>159</v>
      </c>
      <c r="C23" s="61" t="s">
        <v>271</v>
      </c>
      <c r="D23" s="62">
        <v>100</v>
      </c>
      <c r="E23" s="63">
        <f>IFERROR(2.5/100*'🏭 원료 마스터'!$C$5+1.6/100*'🏭 원료 마스터'!$C$8+2.5/100*'🏭 원료 마스터'!$C$10+63.2/100*'🏭 원료 마스터'!$C$39+2.5/100*'🏭 원료 마스터'!$C$42+10.2/100*'🏭 원료 마스터'!$C$48+16.4/100*'🏭 원료 마스터'!$C$62+1.1/100*'🏭 원료 마스터'!$C$70,"")</f>
        <v>15761.51794</v>
      </c>
      <c r="F23" s="64"/>
      <c r="G23" s="64"/>
      <c r="H23" s="58"/>
      <c r="I23" s="57"/>
      <c r="J23" s="65"/>
      <c r="K23" s="66">
        <v>2.5</v>
      </c>
      <c r="L23" s="65"/>
      <c r="M23" s="65"/>
      <c r="N23" s="66">
        <v>1.6</v>
      </c>
      <c r="O23" s="65"/>
      <c r="P23" s="66">
        <v>2.5</v>
      </c>
      <c r="Q23" s="65"/>
      <c r="R23" s="67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6">
        <v>63.2</v>
      </c>
      <c r="AU23" s="65"/>
      <c r="AV23" s="65"/>
      <c r="AW23" s="66">
        <v>2.5</v>
      </c>
      <c r="AX23" s="65"/>
      <c r="AY23" s="65"/>
      <c r="AZ23" s="65"/>
      <c r="BA23" s="65"/>
      <c r="BB23" s="65"/>
      <c r="BC23" s="66">
        <v>10.199999999999999</v>
      </c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6">
        <v>16.399999999999999</v>
      </c>
      <c r="BR23" s="65"/>
      <c r="BS23" s="65"/>
      <c r="BT23" s="65"/>
      <c r="BU23" s="65"/>
      <c r="BV23" s="65"/>
      <c r="BW23" s="65"/>
      <c r="BX23" s="65"/>
      <c r="BY23" s="66">
        <v>1.1000000000000001</v>
      </c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7"/>
    </row>
    <row r="24" spans="1:91" ht="19.5" customHeight="1">
      <c r="A24" s="11">
        <v>20</v>
      </c>
      <c r="B24" s="12" t="s">
        <v>160</v>
      </c>
      <c r="C24" s="68" t="s">
        <v>272</v>
      </c>
      <c r="D24" s="69">
        <v>100</v>
      </c>
      <c r="E24" s="70">
        <f>IFERROR(8/100*'🏭 원료 마스터'!$C$5+5/100*'🏭 원료 마스터'!$C$8+6/100*'🏭 원료 마스터'!$C$10+3/100*'🏭 원료 마스터'!$C$42+10/100*'🏭 원료 마스터'!$C$48+13/100*'🏭 원료 마스터'!$C$62+54/100*'🏭 원료 마스터'!$C$69+1/100*'🏭 원료 마스터'!$C$70,"")</f>
        <v>562.2038</v>
      </c>
      <c r="F24" s="64"/>
      <c r="G24" s="64"/>
      <c r="H24" s="58"/>
      <c r="I24" s="57"/>
      <c r="J24" s="71"/>
      <c r="K24" s="72">
        <v>8</v>
      </c>
      <c r="L24" s="71"/>
      <c r="M24" s="71"/>
      <c r="N24" s="72">
        <v>5</v>
      </c>
      <c r="O24" s="71"/>
      <c r="P24" s="72">
        <v>6</v>
      </c>
      <c r="Q24" s="71"/>
      <c r="R24" s="67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2">
        <v>3</v>
      </c>
      <c r="AX24" s="71"/>
      <c r="AY24" s="71"/>
      <c r="AZ24" s="71"/>
      <c r="BA24" s="71"/>
      <c r="BB24" s="71"/>
      <c r="BC24" s="72">
        <v>10</v>
      </c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2">
        <v>13</v>
      </c>
      <c r="BR24" s="71"/>
      <c r="BS24" s="71"/>
      <c r="BT24" s="71"/>
      <c r="BU24" s="71"/>
      <c r="BV24" s="71"/>
      <c r="BW24" s="71"/>
      <c r="BX24" s="72">
        <v>54</v>
      </c>
      <c r="BY24" s="72">
        <v>1</v>
      </c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67"/>
    </row>
    <row r="25" spans="1:91" ht="19.5" customHeight="1">
      <c r="A25" s="7">
        <v>21</v>
      </c>
      <c r="B25" s="8" t="s">
        <v>161</v>
      </c>
      <c r="C25" s="61" t="s">
        <v>273</v>
      </c>
      <c r="D25" s="62">
        <v>100</v>
      </c>
      <c r="E25" s="63">
        <f>IFERROR(48.4/100*'🏭 원료 마스터'!$C$39+12.1/100*'🏭 원료 마스터'!$C$40+2/100*'🏭 원료 마스터'!$C$41+1.21/100*'🏭 원료 마스터'!$C$43+0.91/100*'🏭 원료 마스터'!$C$53+33.32/100*'🏭 원료 마스터'!$C$62+0.85/100*'🏭 원료 마스터'!$C$70+1.21/100*'🏭 원료 마스터'!$C$73,"")</f>
        <v>11886.73459</v>
      </c>
      <c r="F25" s="64"/>
      <c r="G25" s="64"/>
      <c r="H25" s="58"/>
      <c r="I25" s="57"/>
      <c r="J25" s="65"/>
      <c r="K25" s="65"/>
      <c r="L25" s="65"/>
      <c r="M25" s="65"/>
      <c r="N25" s="65"/>
      <c r="O25" s="65"/>
      <c r="P25" s="65"/>
      <c r="Q25" s="65"/>
      <c r="R25" s="67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6">
        <v>48.4</v>
      </c>
      <c r="AU25" s="66">
        <v>12.1</v>
      </c>
      <c r="AV25" s="66">
        <v>2</v>
      </c>
      <c r="AW25" s="65"/>
      <c r="AX25" s="66">
        <v>1.21</v>
      </c>
      <c r="AY25" s="65"/>
      <c r="AZ25" s="65"/>
      <c r="BA25" s="65"/>
      <c r="BB25" s="65"/>
      <c r="BC25" s="65"/>
      <c r="BD25" s="65"/>
      <c r="BE25" s="65"/>
      <c r="BF25" s="65"/>
      <c r="BG25" s="65"/>
      <c r="BH25" s="66">
        <v>0.91</v>
      </c>
      <c r="BI25" s="65"/>
      <c r="BJ25" s="65"/>
      <c r="BK25" s="65"/>
      <c r="BL25" s="65"/>
      <c r="BM25" s="65"/>
      <c r="BN25" s="65"/>
      <c r="BO25" s="65"/>
      <c r="BP25" s="65"/>
      <c r="BQ25" s="66">
        <v>33.32</v>
      </c>
      <c r="BR25" s="65"/>
      <c r="BS25" s="65"/>
      <c r="BT25" s="65"/>
      <c r="BU25" s="65"/>
      <c r="BV25" s="65"/>
      <c r="BW25" s="65"/>
      <c r="BX25" s="65"/>
      <c r="BY25" s="66">
        <v>0.85</v>
      </c>
      <c r="BZ25" s="65"/>
      <c r="CA25" s="65"/>
      <c r="CB25" s="66">
        <v>1.21</v>
      </c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7"/>
    </row>
    <row r="26" spans="1:91" ht="19.5" customHeight="1">
      <c r="A26" s="11">
        <v>22</v>
      </c>
      <c r="B26" s="12" t="s">
        <v>162</v>
      </c>
      <c r="C26" s="68" t="s">
        <v>274</v>
      </c>
      <c r="D26" s="69">
        <v>100</v>
      </c>
      <c r="E26" s="70">
        <f>IFERROR(3.6/100*'🏭 원료 마스터'!$C$33+14.3/100*'🏭 원료 마스터'!$C$40+3.6/100*'🏭 원료 마스터'!$C$41+3.6/100*'🏭 원료 마스터'!$C$48+0.2/100*'🏭 원료 마스터'!$C$53+1.6/100*'🏭 원료 마스터'!$C$67+71.4/100*'🏭 원료 마스터'!$C$69+1.2/100*'🏭 원료 마스터'!$C$70+0.5/100*'🏭 원료 마스터'!$C$79,"")</f>
        <v>70.566479999999999</v>
      </c>
      <c r="F26" s="64"/>
      <c r="G26" s="64"/>
      <c r="H26" s="58"/>
      <c r="I26" s="57"/>
      <c r="J26" s="71"/>
      <c r="K26" s="71"/>
      <c r="L26" s="71"/>
      <c r="M26" s="71"/>
      <c r="N26" s="71"/>
      <c r="O26" s="71"/>
      <c r="P26" s="71"/>
      <c r="Q26" s="71"/>
      <c r="R26" s="67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2">
        <v>3.6</v>
      </c>
      <c r="AO26" s="71"/>
      <c r="AP26" s="71"/>
      <c r="AQ26" s="71"/>
      <c r="AR26" s="71"/>
      <c r="AS26" s="71"/>
      <c r="AT26" s="71"/>
      <c r="AU26" s="72">
        <v>14.3</v>
      </c>
      <c r="AV26" s="72">
        <v>3.6</v>
      </c>
      <c r="AW26" s="71"/>
      <c r="AX26" s="71"/>
      <c r="AY26" s="71"/>
      <c r="AZ26" s="71"/>
      <c r="BA26" s="71"/>
      <c r="BB26" s="71"/>
      <c r="BC26" s="72">
        <v>3.6</v>
      </c>
      <c r="BD26" s="71"/>
      <c r="BE26" s="71"/>
      <c r="BF26" s="71"/>
      <c r="BG26" s="71"/>
      <c r="BH26" s="72">
        <v>0.2</v>
      </c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2">
        <v>1.6</v>
      </c>
      <c r="BW26" s="71"/>
      <c r="BX26" s="72">
        <v>71.400000000000006</v>
      </c>
      <c r="BY26" s="72">
        <v>1.2</v>
      </c>
      <c r="BZ26" s="71"/>
      <c r="CA26" s="71"/>
      <c r="CB26" s="71"/>
      <c r="CC26" s="71"/>
      <c r="CD26" s="71"/>
      <c r="CE26" s="71"/>
      <c r="CF26" s="71"/>
      <c r="CG26" s="71"/>
      <c r="CH26" s="72">
        <v>0.5</v>
      </c>
      <c r="CI26" s="71"/>
      <c r="CJ26" s="71"/>
      <c r="CK26" s="71"/>
      <c r="CL26" s="71"/>
      <c r="CM26" s="67"/>
    </row>
    <row r="27" spans="1:91" ht="19.5" customHeight="1">
      <c r="A27" s="7">
        <v>23</v>
      </c>
      <c r="B27" s="8" t="s">
        <v>163</v>
      </c>
      <c r="C27" s="61" t="s">
        <v>275</v>
      </c>
      <c r="D27" s="62">
        <v>100</v>
      </c>
      <c r="E27" s="63">
        <f>IFERROR(0.4/100*'🏭 원료 마스터'!$C$8+1.3/100*'🏭 원료 마스터'!$C$20+0.7/100*'🏭 원료 마스터'!$C$24+0.04/100*'🏭 원료 마스터'!$C$25+5.1/100*'🏭 원료 마스터'!$C$33+5.1/100*'🏭 원료 마스터'!$C$41+2.5/100*'🏭 원료 마스터'!$C$44+2.5/100*'🏭 원료 마스터'!$C$48+0.4/100*'🏭 원료 마스터'!$C$53+1.1/100*'🏭 원료 마스터'!$C$67+70.9/100*'🏭 원료 마스터'!$C$69+0.9/100*'🏭 원료 마스터'!$C$70+1.9/100*'🏭 원료 마스터'!$C$74+0.6/100*'🏭 원료 마스터'!$C$77+1.9/100*'🏭 원료 마스터'!$C$78+0.4/100*'🏭 원료 마스터'!$C$79+4.26/100*'🏭 원료 마스터'!$C$82,"")</f>
        <v>866.18460399999992</v>
      </c>
      <c r="F27" s="64"/>
      <c r="G27" s="64"/>
      <c r="H27" s="58"/>
      <c r="I27" s="57"/>
      <c r="J27" s="65"/>
      <c r="K27" s="65"/>
      <c r="L27" s="65"/>
      <c r="M27" s="65"/>
      <c r="N27" s="66">
        <v>0.4</v>
      </c>
      <c r="O27" s="65"/>
      <c r="P27" s="65"/>
      <c r="Q27" s="65"/>
      <c r="R27" s="67"/>
      <c r="S27" s="65"/>
      <c r="T27" s="65"/>
      <c r="U27" s="65"/>
      <c r="V27" s="65"/>
      <c r="W27" s="65"/>
      <c r="X27" s="65"/>
      <c r="Y27" s="65"/>
      <c r="Z27" s="65"/>
      <c r="AA27" s="66">
        <v>1.3</v>
      </c>
      <c r="AB27" s="65"/>
      <c r="AC27" s="65"/>
      <c r="AD27" s="65"/>
      <c r="AE27" s="66">
        <v>0.7</v>
      </c>
      <c r="AF27" s="66">
        <v>0.04</v>
      </c>
      <c r="AG27" s="65"/>
      <c r="AH27" s="65"/>
      <c r="AI27" s="65"/>
      <c r="AJ27" s="65"/>
      <c r="AK27" s="65"/>
      <c r="AL27" s="65"/>
      <c r="AM27" s="65"/>
      <c r="AN27" s="66">
        <v>5.0999999999999996</v>
      </c>
      <c r="AO27" s="65"/>
      <c r="AP27" s="65"/>
      <c r="AQ27" s="65"/>
      <c r="AR27" s="65"/>
      <c r="AS27" s="65"/>
      <c r="AT27" s="65"/>
      <c r="AU27" s="65"/>
      <c r="AV27" s="66">
        <v>5.0999999999999996</v>
      </c>
      <c r="AW27" s="65"/>
      <c r="AX27" s="65"/>
      <c r="AY27" s="66">
        <v>2.5</v>
      </c>
      <c r="AZ27" s="65"/>
      <c r="BA27" s="65"/>
      <c r="BB27" s="65"/>
      <c r="BC27" s="66">
        <v>2.5</v>
      </c>
      <c r="BD27" s="65"/>
      <c r="BE27" s="65"/>
      <c r="BF27" s="65"/>
      <c r="BG27" s="65"/>
      <c r="BH27" s="66">
        <v>0.4</v>
      </c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6">
        <v>1.1000000000000001</v>
      </c>
      <c r="BW27" s="65"/>
      <c r="BX27" s="66">
        <v>70.900000000000006</v>
      </c>
      <c r="BY27" s="66">
        <v>0.9</v>
      </c>
      <c r="BZ27" s="65"/>
      <c r="CA27" s="65"/>
      <c r="CB27" s="65"/>
      <c r="CC27" s="66">
        <v>1.9</v>
      </c>
      <c r="CD27" s="65"/>
      <c r="CE27" s="65"/>
      <c r="CF27" s="66">
        <v>0.6</v>
      </c>
      <c r="CG27" s="66">
        <v>1.9</v>
      </c>
      <c r="CH27" s="66">
        <v>0.4</v>
      </c>
      <c r="CI27" s="65"/>
      <c r="CJ27" s="65"/>
      <c r="CK27" s="66">
        <v>4.26</v>
      </c>
      <c r="CL27" s="65"/>
      <c r="CM27" s="67"/>
    </row>
    <row r="28" spans="1:91" ht="19.5" customHeight="1">
      <c r="A28" s="11">
        <v>24</v>
      </c>
      <c r="B28" s="12" t="s">
        <v>164</v>
      </c>
      <c r="C28" s="68" t="s">
        <v>276</v>
      </c>
      <c r="D28" s="69">
        <v>100</v>
      </c>
      <c r="E28" s="70">
        <f>IFERROR(0.4/100*'🏭 원료 마스터'!$C$11+1.6/100*'🏭 원료 마스터'!$C$18+1.6/100*'🏭 원료 마스터'!$C$24+63.5/100*'🏭 원료 마스터'!$C$39+14.8/100*'🏭 원료 마스터'!$C$48+1.6/100*'🏭 원료 마스터'!$C$53+15.4/100*'🏭 원료 마스터'!$C$62+1.1/100*'🏭 원료 마스터'!$C$70,"")</f>
        <v>16109.746739999999</v>
      </c>
      <c r="F28" s="64"/>
      <c r="G28" s="64"/>
      <c r="H28" s="58"/>
      <c r="I28" s="57"/>
      <c r="J28" s="71"/>
      <c r="K28" s="71"/>
      <c r="L28" s="71"/>
      <c r="M28" s="71"/>
      <c r="N28" s="71"/>
      <c r="O28" s="71"/>
      <c r="P28" s="71"/>
      <c r="Q28" s="72">
        <v>0.4</v>
      </c>
      <c r="R28" s="67"/>
      <c r="S28" s="71"/>
      <c r="T28" s="71"/>
      <c r="U28" s="71"/>
      <c r="V28" s="71"/>
      <c r="W28" s="71"/>
      <c r="X28" s="71"/>
      <c r="Y28" s="72">
        <v>1.6</v>
      </c>
      <c r="Z28" s="71"/>
      <c r="AA28" s="71"/>
      <c r="AB28" s="71"/>
      <c r="AC28" s="71"/>
      <c r="AD28" s="71"/>
      <c r="AE28" s="72">
        <v>1.6</v>
      </c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2">
        <v>63.5</v>
      </c>
      <c r="AU28" s="71"/>
      <c r="AV28" s="71"/>
      <c r="AW28" s="71"/>
      <c r="AX28" s="71"/>
      <c r="AY28" s="71"/>
      <c r="AZ28" s="71"/>
      <c r="BA28" s="71"/>
      <c r="BB28" s="71"/>
      <c r="BC28" s="72">
        <v>14.8</v>
      </c>
      <c r="BD28" s="71"/>
      <c r="BE28" s="71"/>
      <c r="BF28" s="71"/>
      <c r="BG28" s="71"/>
      <c r="BH28" s="72">
        <v>1.6</v>
      </c>
      <c r="BI28" s="71"/>
      <c r="BJ28" s="71"/>
      <c r="BK28" s="71"/>
      <c r="BL28" s="71"/>
      <c r="BM28" s="71"/>
      <c r="BN28" s="71"/>
      <c r="BO28" s="71"/>
      <c r="BP28" s="71"/>
      <c r="BQ28" s="72">
        <v>15.4</v>
      </c>
      <c r="BR28" s="71"/>
      <c r="BS28" s="71"/>
      <c r="BT28" s="71"/>
      <c r="BU28" s="71"/>
      <c r="BV28" s="71"/>
      <c r="BW28" s="71"/>
      <c r="BX28" s="71"/>
      <c r="BY28" s="72">
        <v>1.1000000000000001</v>
      </c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67"/>
    </row>
    <row r="29" spans="1:91" ht="19.5" customHeight="1">
      <c r="A29" s="7">
        <v>25</v>
      </c>
      <c r="B29" s="8" t="s">
        <v>165</v>
      </c>
      <c r="C29" s="61" t="s">
        <v>277</v>
      </c>
      <c r="D29" s="62">
        <v>100</v>
      </c>
      <c r="E29" s="63">
        <f>IFERROR(0.7/100*'🏭 원료 마스터'!$C$15+0.7/100*'🏭 원료 마스터'!$C$16+8.8/100*'🏭 원료 마스터'!$C$20+2.9/100*'🏭 원료 마스터'!$C$48+1.5/100*'🏭 원료 마스터'!$C$53+25.4/100*'🏭 원료 마스터'!$C$62+58.8/100*'🏭 원료 마스터'!$C$69+0.9/100*'🏭 원료 마스터'!$C$70+0.3/100*'🏭 원료 마스터'!$C$79,"")</f>
        <v>48.424860000000002</v>
      </c>
      <c r="F29" s="64"/>
      <c r="G29" s="64"/>
      <c r="H29" s="58"/>
      <c r="I29" s="57"/>
      <c r="J29" s="65"/>
      <c r="K29" s="65"/>
      <c r="L29" s="65"/>
      <c r="M29" s="65"/>
      <c r="N29" s="65"/>
      <c r="O29" s="65"/>
      <c r="P29" s="65"/>
      <c r="Q29" s="65"/>
      <c r="R29" s="67"/>
      <c r="S29" s="65"/>
      <c r="T29" s="65"/>
      <c r="U29" s="65"/>
      <c r="V29" s="66">
        <v>0.7</v>
      </c>
      <c r="W29" s="66">
        <v>0.7</v>
      </c>
      <c r="X29" s="65"/>
      <c r="Y29" s="65"/>
      <c r="Z29" s="65"/>
      <c r="AA29" s="66">
        <v>8.8000000000000007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6">
        <v>2.9</v>
      </c>
      <c r="BD29" s="65"/>
      <c r="BE29" s="65"/>
      <c r="BF29" s="65"/>
      <c r="BG29" s="65"/>
      <c r="BH29" s="66">
        <v>1.5</v>
      </c>
      <c r="BI29" s="65"/>
      <c r="BJ29" s="65"/>
      <c r="BK29" s="65"/>
      <c r="BL29" s="65"/>
      <c r="BM29" s="65"/>
      <c r="BN29" s="65"/>
      <c r="BO29" s="65"/>
      <c r="BP29" s="65"/>
      <c r="BQ29" s="66">
        <v>25.4</v>
      </c>
      <c r="BR29" s="65"/>
      <c r="BS29" s="65"/>
      <c r="BT29" s="65"/>
      <c r="BU29" s="65"/>
      <c r="BV29" s="65"/>
      <c r="BW29" s="65"/>
      <c r="BX29" s="66">
        <v>58.8</v>
      </c>
      <c r="BY29" s="66">
        <v>0.9</v>
      </c>
      <c r="BZ29" s="65"/>
      <c r="CA29" s="65"/>
      <c r="CB29" s="65"/>
      <c r="CC29" s="65"/>
      <c r="CD29" s="65"/>
      <c r="CE29" s="65"/>
      <c r="CF29" s="65"/>
      <c r="CG29" s="65"/>
      <c r="CH29" s="66">
        <v>0.3</v>
      </c>
      <c r="CI29" s="65"/>
      <c r="CJ29" s="65"/>
      <c r="CK29" s="65"/>
      <c r="CL29" s="65"/>
      <c r="CM29" s="67"/>
    </row>
    <row r="30" spans="1:91" ht="19.5" customHeight="1">
      <c r="A30" s="11">
        <v>26</v>
      </c>
      <c r="B30" s="12" t="s">
        <v>166</v>
      </c>
      <c r="C30" s="68" t="s">
        <v>278</v>
      </c>
      <c r="D30" s="69">
        <v>100</v>
      </c>
      <c r="E30" s="70">
        <f>IFERROR(20/100*'🏭 원료 마스터'!$C$31+25/100*'🏭 원료 마스터'!$C$32+26.67/100*'🏭 원료 마스터'!$C$39+6.68/100*'🏭 원료 마스터'!$C$40+0.67/100*'🏭 원료 마스터'!$C$43+0.5/100*'🏭 원료 마스터'!$C$53+19.4/100*'🏭 원료 마스터'!$C$62+1/100*'🏭 원료 마스터'!$C$68+0.08/100*'🏭 원료 마스터'!$C$70,"")</f>
        <v>7349.5953319999999</v>
      </c>
      <c r="F30" s="64"/>
      <c r="G30" s="64"/>
      <c r="H30" s="58"/>
      <c r="I30" s="57"/>
      <c r="J30" s="71"/>
      <c r="K30" s="71"/>
      <c r="L30" s="71"/>
      <c r="M30" s="71"/>
      <c r="N30" s="71"/>
      <c r="O30" s="71"/>
      <c r="P30" s="71"/>
      <c r="Q30" s="71"/>
      <c r="R30" s="67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2">
        <v>20</v>
      </c>
      <c r="AM30" s="72">
        <v>25</v>
      </c>
      <c r="AN30" s="71"/>
      <c r="AO30" s="71"/>
      <c r="AP30" s="71"/>
      <c r="AQ30" s="71"/>
      <c r="AR30" s="71"/>
      <c r="AS30" s="71"/>
      <c r="AT30" s="72">
        <v>26.67</v>
      </c>
      <c r="AU30" s="72">
        <v>6.68</v>
      </c>
      <c r="AV30" s="71"/>
      <c r="AW30" s="71"/>
      <c r="AX30" s="72">
        <v>0.67</v>
      </c>
      <c r="AY30" s="71"/>
      <c r="AZ30" s="71"/>
      <c r="BA30" s="71"/>
      <c r="BB30" s="71"/>
      <c r="BC30" s="71"/>
      <c r="BD30" s="71"/>
      <c r="BE30" s="71"/>
      <c r="BF30" s="71"/>
      <c r="BG30" s="71"/>
      <c r="BH30" s="72">
        <v>0.5</v>
      </c>
      <c r="BI30" s="71"/>
      <c r="BJ30" s="71"/>
      <c r="BK30" s="71"/>
      <c r="BL30" s="71"/>
      <c r="BM30" s="71"/>
      <c r="BN30" s="71"/>
      <c r="BO30" s="71"/>
      <c r="BP30" s="71"/>
      <c r="BQ30" s="72">
        <v>19.399999999999999</v>
      </c>
      <c r="BR30" s="71"/>
      <c r="BS30" s="71"/>
      <c r="BT30" s="71"/>
      <c r="BU30" s="71"/>
      <c r="BV30" s="71"/>
      <c r="BW30" s="72">
        <v>1</v>
      </c>
      <c r="BX30" s="71"/>
      <c r="BY30" s="72">
        <v>0.08</v>
      </c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67"/>
    </row>
    <row r="31" spans="1:91" ht="19.5" customHeight="1">
      <c r="A31" s="7">
        <v>27</v>
      </c>
      <c r="B31" s="8" t="s">
        <v>167</v>
      </c>
      <c r="C31" s="61" t="s">
        <v>279</v>
      </c>
      <c r="D31" s="62">
        <v>100</v>
      </c>
      <c r="E31" s="63">
        <f>IFERROR(65.2/100*'🏭 원료 마스터'!$C$39+4.9/100*'🏭 원료 마스터'!$C$48+21.1/100*'🏭 원료 마스터'!$C$62+6.5/100*'🏭 원료 마스터'!$C$68+1/100*'🏭 원료 마스터'!$C$70+1.3/100*'🏭 원료 마스터'!$C$73,"")</f>
        <v>16066.24625</v>
      </c>
      <c r="F31" s="64"/>
      <c r="G31" s="64"/>
      <c r="H31" s="58"/>
      <c r="I31" s="57"/>
      <c r="J31" s="65"/>
      <c r="K31" s="65"/>
      <c r="L31" s="65"/>
      <c r="M31" s="65"/>
      <c r="N31" s="65"/>
      <c r="O31" s="65"/>
      <c r="P31" s="65"/>
      <c r="Q31" s="65"/>
      <c r="R31" s="67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6">
        <v>65.2</v>
      </c>
      <c r="AU31" s="65"/>
      <c r="AV31" s="65"/>
      <c r="AW31" s="65"/>
      <c r="AX31" s="65"/>
      <c r="AY31" s="65"/>
      <c r="AZ31" s="65"/>
      <c r="BA31" s="65"/>
      <c r="BB31" s="65"/>
      <c r="BC31" s="66">
        <v>4.9000000000000004</v>
      </c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6">
        <v>21.1</v>
      </c>
      <c r="BR31" s="65"/>
      <c r="BS31" s="65"/>
      <c r="BT31" s="65"/>
      <c r="BU31" s="65"/>
      <c r="BV31" s="65"/>
      <c r="BW31" s="66">
        <v>6.5</v>
      </c>
      <c r="BX31" s="65"/>
      <c r="BY31" s="66">
        <v>1</v>
      </c>
      <c r="BZ31" s="65"/>
      <c r="CA31" s="65"/>
      <c r="CB31" s="66">
        <v>1.3</v>
      </c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7"/>
    </row>
    <row r="32" spans="1:91" ht="19.5" customHeight="1">
      <c r="A32" s="11">
        <v>28</v>
      </c>
      <c r="B32" s="12" t="s">
        <v>168</v>
      </c>
      <c r="C32" s="68" t="s">
        <v>280</v>
      </c>
      <c r="D32" s="69">
        <v>100</v>
      </c>
      <c r="E32" s="70">
        <f>IFERROR(13.4/100*'🏭 원료 마스터'!$C$10+10/100*'🏭 원료 마스터'!$C$19+6.4/100*'🏭 원료 마스터'!$C$48+26.4/100*'🏭 원료 마스터'!$C$62+43/100*'🏭 원료 마스터'!$C$69+0.8/100*'🏭 원료 마스터'!$C$70,"")</f>
        <v>2389.04432</v>
      </c>
      <c r="F32" s="64"/>
      <c r="G32" s="64"/>
      <c r="H32" s="58"/>
      <c r="I32" s="57"/>
      <c r="J32" s="71"/>
      <c r="K32" s="71"/>
      <c r="L32" s="71"/>
      <c r="M32" s="71"/>
      <c r="N32" s="71"/>
      <c r="O32" s="71"/>
      <c r="P32" s="72">
        <v>13.4</v>
      </c>
      <c r="Q32" s="71"/>
      <c r="R32" s="67"/>
      <c r="S32" s="71"/>
      <c r="T32" s="71"/>
      <c r="U32" s="71"/>
      <c r="V32" s="71"/>
      <c r="W32" s="71"/>
      <c r="X32" s="71"/>
      <c r="Y32" s="71"/>
      <c r="Z32" s="72">
        <v>10</v>
      </c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2">
        <v>6.4</v>
      </c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2">
        <v>26.4</v>
      </c>
      <c r="BR32" s="71"/>
      <c r="BS32" s="71"/>
      <c r="BT32" s="71"/>
      <c r="BU32" s="71"/>
      <c r="BV32" s="71"/>
      <c r="BW32" s="71"/>
      <c r="BX32" s="72">
        <v>43</v>
      </c>
      <c r="BY32" s="72">
        <v>0.8</v>
      </c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67"/>
    </row>
    <row r="33" spans="1:91" ht="19.5" customHeight="1">
      <c r="A33" s="7">
        <v>29</v>
      </c>
      <c r="B33" s="8" t="s">
        <v>169</v>
      </c>
      <c r="C33" s="61" t="s">
        <v>281</v>
      </c>
      <c r="D33" s="62">
        <v>100</v>
      </c>
      <c r="E33" s="63">
        <f>IFERROR(99/100*'🏭 원료 마스터'!$C$39+1/100*'🏭 원료 마스터'!$C$70,"")</f>
        <v>24288.805400000001</v>
      </c>
      <c r="F33" s="64"/>
      <c r="G33" s="64"/>
      <c r="H33" s="58"/>
      <c r="I33" s="57"/>
      <c r="J33" s="65"/>
      <c r="K33" s="65"/>
      <c r="L33" s="65"/>
      <c r="M33" s="65"/>
      <c r="N33" s="65"/>
      <c r="O33" s="65"/>
      <c r="P33" s="65"/>
      <c r="Q33" s="65"/>
      <c r="R33" s="67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6">
        <v>99</v>
      </c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6">
        <v>1</v>
      </c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7"/>
    </row>
    <row r="34" spans="1:91" ht="19.5" customHeight="1">
      <c r="A34" s="11">
        <v>30</v>
      </c>
      <c r="B34" s="12" t="s">
        <v>170</v>
      </c>
      <c r="C34" s="68" t="s">
        <v>282</v>
      </c>
      <c r="D34" s="69">
        <v>100</v>
      </c>
      <c r="E34" s="70">
        <f>IFERROR(100/100*'🏭 원료 마스터'!$C$39,"")</f>
        <v>24500</v>
      </c>
      <c r="F34" s="64"/>
      <c r="G34" s="64"/>
      <c r="H34" s="58"/>
      <c r="I34" s="57"/>
      <c r="J34" s="71"/>
      <c r="K34" s="71"/>
      <c r="L34" s="71"/>
      <c r="M34" s="71"/>
      <c r="N34" s="71"/>
      <c r="O34" s="71"/>
      <c r="P34" s="71"/>
      <c r="Q34" s="71"/>
      <c r="R34" s="67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2">
        <v>100</v>
      </c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67"/>
    </row>
    <row r="35" spans="1:91" ht="19.5" customHeight="1">
      <c r="A35" s="7">
        <v>31</v>
      </c>
      <c r="B35" s="8" t="s">
        <v>171</v>
      </c>
      <c r="C35" s="61" t="s">
        <v>283</v>
      </c>
      <c r="D35" s="62">
        <v>100</v>
      </c>
      <c r="E35" s="63">
        <f>IFERROR(2/100*'🏭 원료 마스터'!$C$20+95/100*'🏭 원료 마스터'!$C$39+2/100*'🏭 원료 마스터'!$C$53+1/100*'🏭 원료 마스터'!$C$70,"")</f>
        <v>23308.805400000001</v>
      </c>
      <c r="F35" s="64"/>
      <c r="G35" s="64"/>
      <c r="H35" s="58"/>
      <c r="I35" s="57"/>
      <c r="J35" s="65"/>
      <c r="K35" s="65"/>
      <c r="L35" s="65"/>
      <c r="M35" s="65"/>
      <c r="N35" s="65"/>
      <c r="O35" s="65"/>
      <c r="P35" s="65"/>
      <c r="Q35" s="65"/>
      <c r="R35" s="67"/>
      <c r="S35" s="65"/>
      <c r="T35" s="65"/>
      <c r="U35" s="65"/>
      <c r="V35" s="65"/>
      <c r="W35" s="65"/>
      <c r="X35" s="65"/>
      <c r="Y35" s="65"/>
      <c r="Z35" s="65"/>
      <c r="AA35" s="66">
        <v>2</v>
      </c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6">
        <v>95</v>
      </c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6">
        <v>2</v>
      </c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6">
        <v>1</v>
      </c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7"/>
    </row>
    <row r="36" spans="1:91" ht="19.5" customHeight="1">
      <c r="A36" s="11">
        <v>32</v>
      </c>
      <c r="B36" s="12" t="s">
        <v>172</v>
      </c>
      <c r="C36" s="68" t="s">
        <v>284</v>
      </c>
      <c r="D36" s="69">
        <v>100</v>
      </c>
      <c r="E36" s="70">
        <f>IFERROR(3/100*'🏭 원료 마스터'!$C$24+96/100*'🏭 원료 마스터'!$C$39+1/100*'🏭 원료 마스터'!$C$70,"")</f>
        <v>24270.805400000001</v>
      </c>
      <c r="F36" s="64"/>
      <c r="G36" s="64"/>
      <c r="H36" s="58"/>
      <c r="I36" s="57"/>
      <c r="J36" s="71"/>
      <c r="K36" s="71"/>
      <c r="L36" s="71"/>
      <c r="M36" s="71"/>
      <c r="N36" s="71"/>
      <c r="O36" s="71"/>
      <c r="P36" s="71"/>
      <c r="Q36" s="71"/>
      <c r="R36" s="67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2">
        <v>3</v>
      </c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2">
        <v>96</v>
      </c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2">
        <v>1</v>
      </c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67"/>
    </row>
    <row r="37" spans="1:91" ht="19.5" customHeight="1">
      <c r="A37" s="7">
        <v>33</v>
      </c>
      <c r="B37" s="8" t="s">
        <v>173</v>
      </c>
      <c r="C37" s="61" t="s">
        <v>285</v>
      </c>
      <c r="D37" s="62">
        <v>100</v>
      </c>
      <c r="E37" s="63">
        <f>IFERROR(4/100*'🏭 원료 마스터'!$C$20+63.6/100*'🏭 원료 마스터'!$C$39+2/100*'🏭 원료 마스터'!$C$45+7.9/100*'🏭 원료 마스터'!$C$48+1.6/100*'🏭 원료 마스터'!$C$53+11.9/100*'🏭 원료 마스터'!$C$62+1.1/100*'🏭 원료 마스터'!$C$70+7.9/100*'🏭 원료 마스터'!$C$83,"")</f>
        <v>15717.185939999999</v>
      </c>
      <c r="F37" s="64"/>
      <c r="G37" s="64"/>
      <c r="H37" s="58"/>
      <c r="I37" s="57"/>
      <c r="J37" s="65"/>
      <c r="K37" s="65"/>
      <c r="L37" s="65"/>
      <c r="M37" s="65"/>
      <c r="N37" s="65"/>
      <c r="O37" s="65"/>
      <c r="P37" s="65"/>
      <c r="Q37" s="65"/>
      <c r="R37" s="67"/>
      <c r="S37" s="65"/>
      <c r="T37" s="65"/>
      <c r="U37" s="65"/>
      <c r="V37" s="65"/>
      <c r="W37" s="65"/>
      <c r="X37" s="65"/>
      <c r="Y37" s="65"/>
      <c r="Z37" s="65"/>
      <c r="AA37" s="66">
        <v>4</v>
      </c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6">
        <v>63.6</v>
      </c>
      <c r="AU37" s="65"/>
      <c r="AV37" s="65"/>
      <c r="AW37" s="65"/>
      <c r="AX37" s="65"/>
      <c r="AY37" s="65"/>
      <c r="AZ37" s="66">
        <v>2</v>
      </c>
      <c r="BA37" s="65"/>
      <c r="BB37" s="65"/>
      <c r="BC37" s="66">
        <v>7.9</v>
      </c>
      <c r="BD37" s="65"/>
      <c r="BE37" s="65"/>
      <c r="BF37" s="65"/>
      <c r="BG37" s="65"/>
      <c r="BH37" s="66">
        <v>1.6</v>
      </c>
      <c r="BI37" s="65"/>
      <c r="BJ37" s="65"/>
      <c r="BK37" s="65"/>
      <c r="BL37" s="65"/>
      <c r="BM37" s="65"/>
      <c r="BN37" s="65"/>
      <c r="BO37" s="65"/>
      <c r="BP37" s="65"/>
      <c r="BQ37" s="66">
        <v>11.9</v>
      </c>
      <c r="BR37" s="65"/>
      <c r="BS37" s="65"/>
      <c r="BT37" s="65"/>
      <c r="BU37" s="65"/>
      <c r="BV37" s="65"/>
      <c r="BW37" s="65"/>
      <c r="BX37" s="65"/>
      <c r="BY37" s="66">
        <v>1.1000000000000001</v>
      </c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6">
        <v>7.9</v>
      </c>
      <c r="CM37" s="67"/>
    </row>
    <row r="38" spans="1:91" ht="19.5" customHeight="1">
      <c r="A38" s="11">
        <v>34</v>
      </c>
      <c r="B38" s="12" t="s">
        <v>174</v>
      </c>
      <c r="C38" s="68" t="s">
        <v>286</v>
      </c>
      <c r="D38" s="69">
        <v>100</v>
      </c>
      <c r="E38" s="70">
        <f>IFERROR(12.1/100*'🏭 원료 마스터'!$C$20+48.4/100*'🏭 원료 마스터'!$C$39+2/100*'🏭 원료 마스터'!$C$41+1.21/100*'🏭 원료 마스터'!$C$43+0.91/100*'🏭 원료 마스터'!$C$53+33.32/100*'🏭 원료 마스터'!$C$62+0.85/100*'🏭 원료 마스터'!$C$70+1.21/100*'🏭 원료 마스터'!$C$73,"")</f>
        <v>11886.73459</v>
      </c>
      <c r="F38" s="64"/>
      <c r="G38" s="64"/>
      <c r="H38" s="58"/>
      <c r="I38" s="57"/>
      <c r="J38" s="71"/>
      <c r="K38" s="71"/>
      <c r="L38" s="71"/>
      <c r="M38" s="71"/>
      <c r="N38" s="71"/>
      <c r="O38" s="71"/>
      <c r="P38" s="71"/>
      <c r="Q38" s="71"/>
      <c r="R38" s="67"/>
      <c r="S38" s="71"/>
      <c r="T38" s="71"/>
      <c r="U38" s="71"/>
      <c r="V38" s="71"/>
      <c r="W38" s="71"/>
      <c r="X38" s="71"/>
      <c r="Y38" s="71"/>
      <c r="Z38" s="71"/>
      <c r="AA38" s="72">
        <v>12.1</v>
      </c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2">
        <v>48.4</v>
      </c>
      <c r="AU38" s="71"/>
      <c r="AV38" s="72">
        <v>2</v>
      </c>
      <c r="AW38" s="71"/>
      <c r="AX38" s="72">
        <v>1.21</v>
      </c>
      <c r="AY38" s="71"/>
      <c r="AZ38" s="71"/>
      <c r="BA38" s="71"/>
      <c r="BB38" s="71"/>
      <c r="BC38" s="71"/>
      <c r="BD38" s="71"/>
      <c r="BE38" s="71"/>
      <c r="BF38" s="71"/>
      <c r="BG38" s="71"/>
      <c r="BH38" s="72">
        <v>0.91</v>
      </c>
      <c r="BI38" s="71"/>
      <c r="BJ38" s="71"/>
      <c r="BK38" s="71"/>
      <c r="BL38" s="71"/>
      <c r="BM38" s="71"/>
      <c r="BN38" s="71"/>
      <c r="BO38" s="71"/>
      <c r="BP38" s="71"/>
      <c r="BQ38" s="72">
        <v>33.32</v>
      </c>
      <c r="BR38" s="71"/>
      <c r="BS38" s="71"/>
      <c r="BT38" s="71"/>
      <c r="BU38" s="71"/>
      <c r="BV38" s="71"/>
      <c r="BW38" s="71"/>
      <c r="BX38" s="71"/>
      <c r="BY38" s="72">
        <v>0.85</v>
      </c>
      <c r="BZ38" s="71"/>
      <c r="CA38" s="71"/>
      <c r="CB38" s="72">
        <v>1.21</v>
      </c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67"/>
    </row>
    <row r="39" spans="1:91" ht="19.5" customHeight="1">
      <c r="A39" s="7">
        <v>35</v>
      </c>
      <c r="B39" s="8" t="s">
        <v>175</v>
      </c>
      <c r="C39" s="61" t="s">
        <v>287</v>
      </c>
      <c r="D39" s="62">
        <v>100</v>
      </c>
      <c r="E39" s="63">
        <f>IFERROR(3/100*'🏭 원료 마스터'!$C$5+67/100*'🏭 원료 마스터'!$C$20+17.7/100*'🏭 원료 마스터'!$C$39+2.1/100*'🏭 원료 마스터'!$C$48+10/100*'🏭 원료 마스터'!$C$62+0.2/100*'🏭 원료 마스터'!$C$70,"")</f>
        <v>4343.2610800000002</v>
      </c>
      <c r="F39" s="64"/>
      <c r="G39" s="64"/>
      <c r="H39" s="58"/>
      <c r="I39" s="57"/>
      <c r="J39" s="65"/>
      <c r="K39" s="66">
        <v>3</v>
      </c>
      <c r="L39" s="65"/>
      <c r="M39" s="65"/>
      <c r="N39" s="65"/>
      <c r="O39" s="65"/>
      <c r="P39" s="65"/>
      <c r="Q39" s="65"/>
      <c r="R39" s="67"/>
      <c r="S39" s="65"/>
      <c r="T39" s="65"/>
      <c r="U39" s="65"/>
      <c r="V39" s="65"/>
      <c r="W39" s="65"/>
      <c r="X39" s="65"/>
      <c r="Y39" s="65"/>
      <c r="Z39" s="65"/>
      <c r="AA39" s="66">
        <v>67</v>
      </c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6">
        <v>17.7</v>
      </c>
      <c r="AU39" s="65"/>
      <c r="AV39" s="65"/>
      <c r="AW39" s="65"/>
      <c r="AX39" s="65"/>
      <c r="AY39" s="65"/>
      <c r="AZ39" s="65"/>
      <c r="BA39" s="65"/>
      <c r="BB39" s="65"/>
      <c r="BC39" s="66">
        <v>2.1</v>
      </c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6">
        <v>10</v>
      </c>
      <c r="BR39" s="65"/>
      <c r="BS39" s="65"/>
      <c r="BT39" s="65"/>
      <c r="BU39" s="65"/>
      <c r="BV39" s="65"/>
      <c r="BW39" s="65"/>
      <c r="BX39" s="65"/>
      <c r="BY39" s="66">
        <v>0.2</v>
      </c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7"/>
    </row>
    <row r="40" spans="1:91" ht="19.5" customHeight="1">
      <c r="A40" s="11">
        <v>36</v>
      </c>
      <c r="B40" s="12" t="s">
        <v>176</v>
      </c>
      <c r="C40" s="68" t="s">
        <v>288</v>
      </c>
      <c r="D40" s="69">
        <v>100</v>
      </c>
      <c r="E40" s="70">
        <f>IFERROR(1.9/100*'🏭 원료 마스터'!$C$20+0.2/100*'🏭 원료 마스터'!$C$33+63.9/100*'🏭 원료 마스터'!$C$39+4.8/100*'🏭 원료 마스터'!$C$48+1.3/100*'🏭 원료 마스터'!$C$53+19.3/100*'🏭 원료 마스터'!$C$62+6.4/100*'🏭 원료 마스터'!$C$68+0.9/100*'🏭 원료 마스터'!$C$70+1.3/100*'🏭 원료 마스터'!$C$73,"")</f>
        <v>15743.466619999999</v>
      </c>
      <c r="F40" s="64"/>
      <c r="G40" s="64"/>
      <c r="H40" s="58"/>
      <c r="I40" s="57"/>
      <c r="J40" s="71"/>
      <c r="K40" s="71"/>
      <c r="L40" s="71"/>
      <c r="M40" s="71"/>
      <c r="N40" s="71"/>
      <c r="O40" s="71"/>
      <c r="P40" s="71"/>
      <c r="Q40" s="71"/>
      <c r="R40" s="67"/>
      <c r="S40" s="71"/>
      <c r="T40" s="71"/>
      <c r="U40" s="71"/>
      <c r="V40" s="71"/>
      <c r="W40" s="71"/>
      <c r="X40" s="71"/>
      <c r="Y40" s="71"/>
      <c r="Z40" s="71"/>
      <c r="AA40" s="72">
        <v>1.9</v>
      </c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2">
        <v>0.2</v>
      </c>
      <c r="AO40" s="71"/>
      <c r="AP40" s="71"/>
      <c r="AQ40" s="71"/>
      <c r="AR40" s="71"/>
      <c r="AS40" s="71"/>
      <c r="AT40" s="72">
        <v>63.9</v>
      </c>
      <c r="AU40" s="71"/>
      <c r="AV40" s="71"/>
      <c r="AW40" s="71"/>
      <c r="AX40" s="71"/>
      <c r="AY40" s="71"/>
      <c r="AZ40" s="71"/>
      <c r="BA40" s="71"/>
      <c r="BB40" s="71"/>
      <c r="BC40" s="72">
        <v>4.8</v>
      </c>
      <c r="BD40" s="71"/>
      <c r="BE40" s="71"/>
      <c r="BF40" s="71"/>
      <c r="BG40" s="71"/>
      <c r="BH40" s="72">
        <v>1.3</v>
      </c>
      <c r="BI40" s="71"/>
      <c r="BJ40" s="71"/>
      <c r="BK40" s="71"/>
      <c r="BL40" s="71"/>
      <c r="BM40" s="71"/>
      <c r="BN40" s="71"/>
      <c r="BO40" s="71"/>
      <c r="BP40" s="71"/>
      <c r="BQ40" s="72">
        <v>19.3</v>
      </c>
      <c r="BR40" s="71"/>
      <c r="BS40" s="71"/>
      <c r="BT40" s="71"/>
      <c r="BU40" s="71"/>
      <c r="BV40" s="71"/>
      <c r="BW40" s="72">
        <v>6.4</v>
      </c>
      <c r="BX40" s="71"/>
      <c r="BY40" s="72">
        <v>0.9</v>
      </c>
      <c r="BZ40" s="71"/>
      <c r="CA40" s="71"/>
      <c r="CB40" s="72">
        <v>1.3</v>
      </c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67"/>
    </row>
    <row r="41" spans="1:91" ht="19.5" customHeight="1">
      <c r="A41" s="7">
        <v>37</v>
      </c>
      <c r="B41" s="8" t="s">
        <v>177</v>
      </c>
      <c r="C41" s="61" t="s">
        <v>289</v>
      </c>
      <c r="D41" s="62">
        <v>100</v>
      </c>
      <c r="E41" s="63">
        <f>IFERROR(7.6/100*'🏭 원료 마스터'!$C$20+1.5/100*'🏭 원료 마스터'!$C$30+0.6/100*'🏭 원료 마스터'!$C$43+6.1/100*'🏭 원료 마스터'!$C$48+1.5/100*'🏭 원료 마스터'!$C$53+75.9/100*'🏭 원료 마스터'!$C$69+1.9/100*'🏭 원료 마스터'!$C$74+3/100*'🏭 원료 마스터'!$C$77+1.9/100*'🏭 원료 마스터'!$C$78,"")</f>
        <v>237.32558</v>
      </c>
      <c r="F41" s="64"/>
      <c r="G41" s="64"/>
      <c r="H41" s="58"/>
      <c r="I41" s="57"/>
      <c r="J41" s="65"/>
      <c r="K41" s="65"/>
      <c r="L41" s="65"/>
      <c r="M41" s="65"/>
      <c r="N41" s="65"/>
      <c r="O41" s="65"/>
      <c r="P41" s="65"/>
      <c r="Q41" s="65"/>
      <c r="R41" s="67"/>
      <c r="S41" s="65"/>
      <c r="T41" s="65"/>
      <c r="U41" s="65"/>
      <c r="V41" s="65"/>
      <c r="W41" s="65"/>
      <c r="X41" s="65"/>
      <c r="Y41" s="65"/>
      <c r="Z41" s="65"/>
      <c r="AA41" s="66">
        <v>7.6</v>
      </c>
      <c r="AB41" s="65"/>
      <c r="AC41" s="65"/>
      <c r="AD41" s="65"/>
      <c r="AE41" s="65"/>
      <c r="AF41" s="65"/>
      <c r="AG41" s="65"/>
      <c r="AH41" s="65"/>
      <c r="AI41" s="65"/>
      <c r="AJ41" s="65"/>
      <c r="AK41" s="66">
        <v>1.5</v>
      </c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>
        <v>0.6</v>
      </c>
      <c r="AY41" s="65"/>
      <c r="AZ41" s="65"/>
      <c r="BA41" s="65"/>
      <c r="BB41" s="65"/>
      <c r="BC41" s="66">
        <v>6.1</v>
      </c>
      <c r="BD41" s="65"/>
      <c r="BE41" s="65"/>
      <c r="BF41" s="65"/>
      <c r="BG41" s="65"/>
      <c r="BH41" s="66">
        <v>1.5</v>
      </c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6">
        <v>75.900000000000006</v>
      </c>
      <c r="BY41" s="65"/>
      <c r="BZ41" s="65"/>
      <c r="CA41" s="65"/>
      <c r="CB41" s="65"/>
      <c r="CC41" s="66">
        <v>1.9</v>
      </c>
      <c r="CD41" s="65"/>
      <c r="CE41" s="65"/>
      <c r="CF41" s="66">
        <v>3</v>
      </c>
      <c r="CG41" s="66">
        <v>1.9</v>
      </c>
      <c r="CH41" s="65"/>
      <c r="CI41" s="65"/>
      <c r="CJ41" s="65"/>
      <c r="CK41" s="65"/>
      <c r="CL41" s="65"/>
      <c r="CM41" s="67"/>
    </row>
    <row r="42" spans="1:91" ht="19.5" customHeight="1">
      <c r="A42" s="11">
        <v>38</v>
      </c>
      <c r="B42" s="12" t="s">
        <v>178</v>
      </c>
      <c r="C42" s="68" t="s">
        <v>290</v>
      </c>
      <c r="D42" s="69">
        <v>100</v>
      </c>
      <c r="E42" s="70">
        <f>IFERROR(13.6/100*'🏭 원료 마스터'!$C$20+3.4/100*'🏭 원료 마스터'!$C$33+6.8/100*'🏭 원료 마스터'!$C$41+3.4/100*'🏭 원료 마스터'!$C$48+1.7/100*'🏭 원료 마스터'!$C$53+1.5/100*'🏭 원료 마스터'!$C$67+67.9/100*'🏭 원료 마스터'!$C$69+1.2/100*'🏭 원료 마스터'!$C$70+0.5/100*'🏭 원료 마스터'!$C$79,"")</f>
        <v>70.566479999999999</v>
      </c>
      <c r="F42" s="64"/>
      <c r="G42" s="64"/>
      <c r="H42" s="58"/>
      <c r="I42" s="57"/>
      <c r="J42" s="71"/>
      <c r="K42" s="71"/>
      <c r="L42" s="71"/>
      <c r="M42" s="71"/>
      <c r="N42" s="71"/>
      <c r="O42" s="71"/>
      <c r="P42" s="71"/>
      <c r="Q42" s="71"/>
      <c r="R42" s="67"/>
      <c r="S42" s="71"/>
      <c r="T42" s="71"/>
      <c r="U42" s="71"/>
      <c r="V42" s="71"/>
      <c r="W42" s="71"/>
      <c r="X42" s="71"/>
      <c r="Y42" s="71"/>
      <c r="Z42" s="71"/>
      <c r="AA42" s="72">
        <v>13.6</v>
      </c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2">
        <v>3.4</v>
      </c>
      <c r="AO42" s="71"/>
      <c r="AP42" s="71"/>
      <c r="AQ42" s="71"/>
      <c r="AR42" s="71"/>
      <c r="AS42" s="71"/>
      <c r="AT42" s="71"/>
      <c r="AU42" s="71"/>
      <c r="AV42" s="72">
        <v>6.8</v>
      </c>
      <c r="AW42" s="71"/>
      <c r="AX42" s="71"/>
      <c r="AY42" s="71"/>
      <c r="AZ42" s="71"/>
      <c r="BA42" s="71"/>
      <c r="BB42" s="71"/>
      <c r="BC42" s="72">
        <v>3.4</v>
      </c>
      <c r="BD42" s="71"/>
      <c r="BE42" s="71"/>
      <c r="BF42" s="71"/>
      <c r="BG42" s="71"/>
      <c r="BH42" s="72">
        <v>1.7</v>
      </c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2">
        <v>1.5</v>
      </c>
      <c r="BW42" s="71"/>
      <c r="BX42" s="72">
        <v>67.900000000000006</v>
      </c>
      <c r="BY42" s="72">
        <v>1.2</v>
      </c>
      <c r="BZ42" s="71"/>
      <c r="CA42" s="71"/>
      <c r="CB42" s="71"/>
      <c r="CC42" s="71"/>
      <c r="CD42" s="71"/>
      <c r="CE42" s="71"/>
      <c r="CF42" s="71"/>
      <c r="CG42" s="71"/>
      <c r="CH42" s="72">
        <v>0.5</v>
      </c>
      <c r="CI42" s="71"/>
      <c r="CJ42" s="71"/>
      <c r="CK42" s="71"/>
      <c r="CL42" s="71"/>
      <c r="CM42" s="67"/>
    </row>
    <row r="43" spans="1:91" ht="19.5" customHeight="1">
      <c r="A43" s="7">
        <v>39</v>
      </c>
      <c r="B43" s="8" t="s">
        <v>179</v>
      </c>
      <c r="C43" s="61" t="s">
        <v>291</v>
      </c>
      <c r="D43" s="62">
        <v>100</v>
      </c>
      <c r="E43" s="63">
        <f>IFERROR(8.8/100*'🏭 원료 마스터'!$C$20+4.4/100*'🏭 원료 마스터'!$C$41+4.4/100*'🏭 원료 마스터'!$C$48+0.47/100*'🏭 원료 마스터'!$C$53+35.89/100*'🏭 원료 마스터'!$C$62+0.9/100*'🏭 원료 마스터'!$C$67+43.96/100*'🏭 원료 마스터'!$C$69+0.8/100*'🏭 원료 마스터'!$C$70+0.38/100*'🏭 원료 마스터'!$C$79,"")</f>
        <v>49.844319999999996</v>
      </c>
      <c r="F43" s="64"/>
      <c r="G43" s="64"/>
      <c r="H43" s="58"/>
      <c r="I43" s="57"/>
      <c r="J43" s="65"/>
      <c r="K43" s="65"/>
      <c r="L43" s="65"/>
      <c r="M43" s="65"/>
      <c r="N43" s="65"/>
      <c r="O43" s="65"/>
      <c r="P43" s="65"/>
      <c r="Q43" s="65"/>
      <c r="R43" s="67"/>
      <c r="S43" s="65"/>
      <c r="T43" s="65"/>
      <c r="U43" s="65"/>
      <c r="V43" s="65"/>
      <c r="W43" s="65"/>
      <c r="X43" s="65"/>
      <c r="Y43" s="65"/>
      <c r="Z43" s="65"/>
      <c r="AA43" s="66">
        <v>8.8000000000000007</v>
      </c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6">
        <v>4.4000000000000004</v>
      </c>
      <c r="AW43" s="65"/>
      <c r="AX43" s="65"/>
      <c r="AY43" s="65"/>
      <c r="AZ43" s="65"/>
      <c r="BA43" s="65"/>
      <c r="BB43" s="65"/>
      <c r="BC43" s="66">
        <v>4.4000000000000004</v>
      </c>
      <c r="BD43" s="65"/>
      <c r="BE43" s="65"/>
      <c r="BF43" s="65"/>
      <c r="BG43" s="65"/>
      <c r="BH43" s="66">
        <v>0.47</v>
      </c>
      <c r="BI43" s="65"/>
      <c r="BJ43" s="65"/>
      <c r="BK43" s="65"/>
      <c r="BL43" s="65"/>
      <c r="BM43" s="65"/>
      <c r="BN43" s="65"/>
      <c r="BO43" s="65"/>
      <c r="BP43" s="65"/>
      <c r="BQ43" s="66">
        <v>35.89</v>
      </c>
      <c r="BR43" s="65"/>
      <c r="BS43" s="65"/>
      <c r="BT43" s="65"/>
      <c r="BU43" s="65"/>
      <c r="BV43" s="66">
        <v>0.9</v>
      </c>
      <c r="BW43" s="65"/>
      <c r="BX43" s="66">
        <v>43.96</v>
      </c>
      <c r="BY43" s="66">
        <v>0.8</v>
      </c>
      <c r="BZ43" s="65"/>
      <c r="CA43" s="65"/>
      <c r="CB43" s="65"/>
      <c r="CC43" s="65"/>
      <c r="CD43" s="65"/>
      <c r="CE43" s="65"/>
      <c r="CF43" s="65"/>
      <c r="CG43" s="65"/>
      <c r="CH43" s="66">
        <v>0.38</v>
      </c>
      <c r="CI43" s="65"/>
      <c r="CJ43" s="65"/>
      <c r="CK43" s="65"/>
      <c r="CL43" s="65"/>
      <c r="CM43" s="67"/>
    </row>
    <row r="44" spans="1:91" ht="19.5" customHeight="1">
      <c r="A44" s="11">
        <v>40</v>
      </c>
      <c r="B44" s="12" t="s">
        <v>180</v>
      </c>
      <c r="C44" s="68" t="s">
        <v>292</v>
      </c>
      <c r="D44" s="69">
        <v>100</v>
      </c>
      <c r="E44" s="70">
        <f>IFERROR(13.4/100*'🏭 원료 마스터'!$C$10+10/100*'🏭 원료 마스터'!$C$19+6.4/100*'🏭 원료 마스터'!$C$48+23.4/100*'🏭 원료 마스터'!$C$62+46/100*'🏭 원료 마스터'!$C$69+0.8/100*'🏭 원료 마스터'!$C$70,"")</f>
        <v>2389.04432</v>
      </c>
      <c r="F44" s="64"/>
      <c r="G44" s="64"/>
      <c r="H44" s="58"/>
      <c r="I44" s="57"/>
      <c r="J44" s="71"/>
      <c r="K44" s="71"/>
      <c r="L44" s="71"/>
      <c r="M44" s="71"/>
      <c r="N44" s="71"/>
      <c r="O44" s="71"/>
      <c r="P44" s="72">
        <v>13.4</v>
      </c>
      <c r="Q44" s="71"/>
      <c r="R44" s="67"/>
      <c r="S44" s="71"/>
      <c r="T44" s="71"/>
      <c r="U44" s="71"/>
      <c r="V44" s="71"/>
      <c r="W44" s="71"/>
      <c r="X44" s="71"/>
      <c r="Y44" s="71"/>
      <c r="Z44" s="72">
        <v>10</v>
      </c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2">
        <v>6.4</v>
      </c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2">
        <v>23.4</v>
      </c>
      <c r="BR44" s="71"/>
      <c r="BS44" s="71"/>
      <c r="BT44" s="71"/>
      <c r="BU44" s="71"/>
      <c r="BV44" s="71"/>
      <c r="BW44" s="71"/>
      <c r="BX44" s="72">
        <v>46</v>
      </c>
      <c r="BY44" s="72">
        <v>0.8</v>
      </c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67"/>
    </row>
    <row r="45" spans="1:91" ht="19.5" customHeight="1">
      <c r="A45" s="7">
        <v>41</v>
      </c>
      <c r="B45" s="8" t="s">
        <v>181</v>
      </c>
      <c r="C45" s="61" t="s">
        <v>293</v>
      </c>
      <c r="D45" s="62">
        <v>99.99</v>
      </c>
      <c r="E45" s="63">
        <f>IFERROR(1.99/100*'🏭 원료 마스터'!$C$20+0.2/100*'🏭 원료 마스터'!$C$24+0.35/100*'🏭 원료 마스터'!$C$33+47.73/100*'🏭 원료 마스터'!$C$39+0.74/100*'🏭 원료 마스터'!$C$43+9.7/100*'🏭 원료 마스터'!$C$48+0.2/100*'🏭 원료 마스터'!$C$53+0.2/100*'🏭 원료 마스터'!$C$60+22.87/100*'🏭 원료 마스터'!$C$62+13.92/100*'🏭 원료 마스터'!$C$68+1.1/100*'🏭 원료 마스터'!$C$70+0.99/100*'🏭 원료 마스터'!$C$73,"")</f>
        <v>11903.989267999998</v>
      </c>
      <c r="F45" s="64"/>
      <c r="G45" s="64"/>
      <c r="H45" s="58"/>
      <c r="I45" s="57"/>
      <c r="J45" s="65"/>
      <c r="K45" s="65"/>
      <c r="L45" s="65"/>
      <c r="M45" s="65"/>
      <c r="N45" s="65"/>
      <c r="O45" s="65"/>
      <c r="P45" s="65"/>
      <c r="Q45" s="65"/>
      <c r="R45" s="67"/>
      <c r="S45" s="65"/>
      <c r="T45" s="65"/>
      <c r="U45" s="65"/>
      <c r="V45" s="65"/>
      <c r="W45" s="65"/>
      <c r="X45" s="65"/>
      <c r="Y45" s="65"/>
      <c r="Z45" s="65"/>
      <c r="AA45" s="66">
        <v>1.99</v>
      </c>
      <c r="AB45" s="65"/>
      <c r="AC45" s="65"/>
      <c r="AD45" s="65"/>
      <c r="AE45" s="66">
        <v>0.2</v>
      </c>
      <c r="AF45" s="65"/>
      <c r="AG45" s="65"/>
      <c r="AH45" s="65"/>
      <c r="AI45" s="65"/>
      <c r="AJ45" s="65"/>
      <c r="AK45" s="65"/>
      <c r="AL45" s="65"/>
      <c r="AM45" s="65"/>
      <c r="AN45" s="66">
        <v>0.35</v>
      </c>
      <c r="AO45" s="65"/>
      <c r="AP45" s="65"/>
      <c r="AQ45" s="65"/>
      <c r="AR45" s="65"/>
      <c r="AS45" s="65"/>
      <c r="AT45" s="66">
        <v>47.73</v>
      </c>
      <c r="AU45" s="65"/>
      <c r="AV45" s="65"/>
      <c r="AW45" s="65"/>
      <c r="AX45" s="66">
        <v>0.74</v>
      </c>
      <c r="AY45" s="65"/>
      <c r="AZ45" s="65"/>
      <c r="BA45" s="65"/>
      <c r="BB45" s="65"/>
      <c r="BC45" s="66">
        <v>9.6999999999999993</v>
      </c>
      <c r="BD45" s="65"/>
      <c r="BE45" s="65"/>
      <c r="BF45" s="65"/>
      <c r="BG45" s="65"/>
      <c r="BH45" s="66">
        <v>0.2</v>
      </c>
      <c r="BI45" s="65"/>
      <c r="BJ45" s="65"/>
      <c r="BK45" s="65"/>
      <c r="BL45" s="65"/>
      <c r="BM45" s="65"/>
      <c r="BN45" s="65"/>
      <c r="BO45" s="66">
        <v>0.2</v>
      </c>
      <c r="BP45" s="65"/>
      <c r="BQ45" s="66">
        <v>22.87</v>
      </c>
      <c r="BR45" s="65"/>
      <c r="BS45" s="65"/>
      <c r="BT45" s="65"/>
      <c r="BU45" s="65"/>
      <c r="BV45" s="65"/>
      <c r="BW45" s="66">
        <v>13.92</v>
      </c>
      <c r="BX45" s="65"/>
      <c r="BY45" s="66">
        <v>1.1000000000000001</v>
      </c>
      <c r="BZ45" s="65"/>
      <c r="CA45" s="65"/>
      <c r="CB45" s="66">
        <v>0.99</v>
      </c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7"/>
    </row>
    <row r="46" spans="1:91" ht="19.5" customHeight="1">
      <c r="A46" s="11">
        <v>42</v>
      </c>
      <c r="B46" s="12" t="s">
        <v>182</v>
      </c>
      <c r="C46" s="68" t="s">
        <v>294</v>
      </c>
      <c r="D46" s="69">
        <v>100</v>
      </c>
      <c r="E46" s="70">
        <f>IFERROR(24/100*'🏭 원료 마스터'!$C$28+20/100*'🏭 원료 마스터'!$C$34+5.6/100*'🏭 원료 마스터'!$C$48+4.6/100*'🏭 원료 마스터'!$C$62+45.1/100*'🏭 원료 마스터'!$C$69+0.7/100*'🏭 원료 마스터'!$C$70,"")</f>
        <v>1353.9717800000001</v>
      </c>
      <c r="F46" s="64"/>
      <c r="G46" s="64"/>
      <c r="H46" s="58"/>
      <c r="I46" s="57"/>
      <c r="J46" s="71"/>
      <c r="K46" s="71"/>
      <c r="L46" s="71"/>
      <c r="M46" s="71"/>
      <c r="N46" s="71"/>
      <c r="O46" s="71"/>
      <c r="P46" s="71"/>
      <c r="Q46" s="71"/>
      <c r="R46" s="67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2">
        <v>24</v>
      </c>
      <c r="AJ46" s="71"/>
      <c r="AK46" s="71"/>
      <c r="AL46" s="71"/>
      <c r="AM46" s="71"/>
      <c r="AN46" s="71"/>
      <c r="AO46" s="72">
        <v>20</v>
      </c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2">
        <v>5.6</v>
      </c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2">
        <v>4.5999999999999996</v>
      </c>
      <c r="BR46" s="71"/>
      <c r="BS46" s="71"/>
      <c r="BT46" s="71"/>
      <c r="BU46" s="71"/>
      <c r="BV46" s="71"/>
      <c r="BW46" s="71"/>
      <c r="BX46" s="72">
        <v>45.1</v>
      </c>
      <c r="BY46" s="72">
        <v>0.7</v>
      </c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67"/>
    </row>
    <row r="47" spans="1:91" ht="19.5" customHeight="1">
      <c r="A47" s="7">
        <v>43</v>
      </c>
      <c r="B47" s="8" t="s">
        <v>183</v>
      </c>
      <c r="C47" s="61" t="s">
        <v>295</v>
      </c>
      <c r="D47" s="62">
        <v>100</v>
      </c>
      <c r="E47" s="63">
        <f>IFERROR(2.4/100*'🏭 원료 마스터'!$C$41+2.4/100*'🏭 원료 마스터'!$C$48+1.2/100*'🏭 원료 마스터'!$C$57+44.8/100*'🏭 원료 마스터'!$C$65+0.2/100*'🏭 원료 마스터'!$C$67+47.8/100*'🏭 원료 마스터'!$C$69+0.8/100*'🏭 원료 마스터'!$C$70+0.4/100*'🏭 원료 마스터'!$C$79,"")</f>
        <v>1690.0158399999998</v>
      </c>
      <c r="F47" s="64"/>
      <c r="G47" s="64"/>
      <c r="H47" s="58"/>
      <c r="I47" s="57"/>
      <c r="J47" s="65"/>
      <c r="K47" s="65"/>
      <c r="L47" s="65"/>
      <c r="M47" s="65"/>
      <c r="N47" s="65"/>
      <c r="O47" s="65"/>
      <c r="P47" s="65"/>
      <c r="Q47" s="65"/>
      <c r="R47" s="67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6">
        <v>2.4</v>
      </c>
      <c r="AW47" s="65"/>
      <c r="AX47" s="65"/>
      <c r="AY47" s="65"/>
      <c r="AZ47" s="65"/>
      <c r="BA47" s="65"/>
      <c r="BB47" s="65"/>
      <c r="BC47" s="66">
        <v>2.4</v>
      </c>
      <c r="BD47" s="65"/>
      <c r="BE47" s="65"/>
      <c r="BF47" s="65"/>
      <c r="BG47" s="65"/>
      <c r="BH47" s="65"/>
      <c r="BI47" s="65"/>
      <c r="BJ47" s="65"/>
      <c r="BK47" s="65"/>
      <c r="BL47" s="66">
        <v>1.2</v>
      </c>
      <c r="BM47" s="65"/>
      <c r="BN47" s="65"/>
      <c r="BO47" s="65"/>
      <c r="BP47" s="65"/>
      <c r="BQ47" s="65"/>
      <c r="BR47" s="65"/>
      <c r="BS47" s="65"/>
      <c r="BT47" s="66">
        <v>44.8</v>
      </c>
      <c r="BU47" s="65"/>
      <c r="BV47" s="66">
        <v>0.2</v>
      </c>
      <c r="BW47" s="65"/>
      <c r="BX47" s="66">
        <v>47.8</v>
      </c>
      <c r="BY47" s="66">
        <v>0.8</v>
      </c>
      <c r="BZ47" s="65"/>
      <c r="CA47" s="65"/>
      <c r="CB47" s="65"/>
      <c r="CC47" s="65"/>
      <c r="CD47" s="65"/>
      <c r="CE47" s="65"/>
      <c r="CF47" s="65"/>
      <c r="CG47" s="65"/>
      <c r="CH47" s="66">
        <v>0.4</v>
      </c>
      <c r="CI47" s="65"/>
      <c r="CJ47" s="65"/>
      <c r="CK47" s="65"/>
      <c r="CL47" s="65"/>
      <c r="CM47" s="67"/>
    </row>
    <row r="48" spans="1:91" ht="19.5" customHeight="1">
      <c r="A48" s="11">
        <v>44</v>
      </c>
      <c r="B48" s="12" t="s">
        <v>184</v>
      </c>
      <c r="C48" s="68" t="s">
        <v>296</v>
      </c>
      <c r="D48" s="69">
        <v>100</v>
      </c>
      <c r="E48" s="70">
        <f>IFERROR(69.5/100*'🏭 원료 마스터'!$C$39+11.3/100*'🏭 원료 마스터'!$C$48+9/100*'🏭 원료 마스터'!$C$59+9/100*'🏭 원료 마스터'!$C$62+1.2/100*'🏭 원료 마스터'!$C$70,"")</f>
        <v>17068.066480000001</v>
      </c>
      <c r="F48" s="64"/>
      <c r="G48" s="64"/>
      <c r="H48" s="58"/>
      <c r="I48" s="57"/>
      <c r="J48" s="71"/>
      <c r="K48" s="71"/>
      <c r="L48" s="71"/>
      <c r="M48" s="71"/>
      <c r="N48" s="71"/>
      <c r="O48" s="71"/>
      <c r="P48" s="71"/>
      <c r="Q48" s="71"/>
      <c r="R48" s="67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2">
        <v>69.5</v>
      </c>
      <c r="AU48" s="71"/>
      <c r="AV48" s="71"/>
      <c r="AW48" s="71"/>
      <c r="AX48" s="71"/>
      <c r="AY48" s="71"/>
      <c r="AZ48" s="71"/>
      <c r="BA48" s="71"/>
      <c r="BB48" s="71"/>
      <c r="BC48" s="72">
        <v>11.3</v>
      </c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2">
        <v>9</v>
      </c>
      <c r="BO48" s="71"/>
      <c r="BP48" s="71"/>
      <c r="BQ48" s="72">
        <v>9</v>
      </c>
      <c r="BR48" s="71"/>
      <c r="BS48" s="71"/>
      <c r="BT48" s="71"/>
      <c r="BU48" s="71"/>
      <c r="BV48" s="71"/>
      <c r="BW48" s="71"/>
      <c r="BX48" s="71"/>
      <c r="BY48" s="72">
        <v>1.2</v>
      </c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67"/>
    </row>
    <row r="49" spans="1:91" ht="19.5" customHeight="1">
      <c r="A49" s="7">
        <v>45</v>
      </c>
      <c r="B49" s="8" t="s">
        <v>185</v>
      </c>
      <c r="C49" s="61" t="s">
        <v>297</v>
      </c>
      <c r="D49" s="62">
        <v>100</v>
      </c>
      <c r="E49" s="63">
        <f>IFERROR(4.2/100*'🏭 원료 마스터'!$C$33+4.2/100*'🏭 원료 마스터'!$C$41+4.2/100*'🏭 원료 마스터'!$C$48+1.9/100*'🏭 원료 마스터'!$C$67+83.4/100*'🏭 원료 마스터'!$C$69+1.5/100*'🏭 원료 마스터'!$C$70+0.6/100*'🏭 원료 마스터'!$C$79,"")</f>
        <v>86.708100000000002</v>
      </c>
      <c r="F49" s="64"/>
      <c r="G49" s="64"/>
      <c r="H49" s="58"/>
      <c r="I49" s="57"/>
      <c r="J49" s="65"/>
      <c r="K49" s="65"/>
      <c r="L49" s="65"/>
      <c r="M49" s="65"/>
      <c r="N49" s="65"/>
      <c r="O49" s="65"/>
      <c r="P49" s="65"/>
      <c r="Q49" s="65"/>
      <c r="R49" s="67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6">
        <v>4.2</v>
      </c>
      <c r="AO49" s="65"/>
      <c r="AP49" s="65"/>
      <c r="AQ49" s="65"/>
      <c r="AR49" s="65"/>
      <c r="AS49" s="65"/>
      <c r="AT49" s="65"/>
      <c r="AU49" s="65"/>
      <c r="AV49" s="66">
        <v>4.2</v>
      </c>
      <c r="AW49" s="65"/>
      <c r="AX49" s="65"/>
      <c r="AY49" s="65"/>
      <c r="AZ49" s="65"/>
      <c r="BA49" s="65"/>
      <c r="BB49" s="65"/>
      <c r="BC49" s="66">
        <v>4.2</v>
      </c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6">
        <v>1.9</v>
      </c>
      <c r="BW49" s="65"/>
      <c r="BX49" s="66">
        <v>83.4</v>
      </c>
      <c r="BY49" s="66">
        <v>1.5</v>
      </c>
      <c r="BZ49" s="65"/>
      <c r="CA49" s="65"/>
      <c r="CB49" s="65"/>
      <c r="CC49" s="65"/>
      <c r="CD49" s="65"/>
      <c r="CE49" s="65"/>
      <c r="CF49" s="65"/>
      <c r="CG49" s="65"/>
      <c r="CH49" s="66">
        <v>0.6</v>
      </c>
      <c r="CI49" s="65"/>
      <c r="CJ49" s="65"/>
      <c r="CK49" s="65"/>
      <c r="CL49" s="65"/>
      <c r="CM49" s="67"/>
    </row>
    <row r="50" spans="1:91" ht="19.5" customHeight="1">
      <c r="A50" s="11">
        <v>46</v>
      </c>
      <c r="B50" s="12" t="s">
        <v>186</v>
      </c>
      <c r="C50" s="68" t="s">
        <v>298</v>
      </c>
      <c r="D50" s="69">
        <v>100</v>
      </c>
      <c r="E50" s="70">
        <f>IFERROR(1.2/100*'🏭 원료 마스터'!$C$8+6/100*'🏭 원료 마스터'!$C$21+61.7/100*'🏭 원료 마스터'!$C$39+1.6/100*'🏭 원료 마스터'!$C$42+10/100*'🏭 원료 마스터'!$C$48+1.2/100*'🏭 원료 마스터'!$C$60+16.1/100*'🏭 원료 마스터'!$C$62+1/100*'🏭 원료 마스터'!$C$70+1.2/100*'🏭 원료 마스터'!$C$74,"")</f>
        <v>15644.11788</v>
      </c>
      <c r="F50" s="64"/>
      <c r="G50" s="64"/>
      <c r="H50" s="58"/>
      <c r="I50" s="57"/>
      <c r="J50" s="71"/>
      <c r="K50" s="71"/>
      <c r="L50" s="71"/>
      <c r="M50" s="71"/>
      <c r="N50" s="72">
        <v>1.2</v>
      </c>
      <c r="O50" s="71"/>
      <c r="P50" s="71"/>
      <c r="Q50" s="71"/>
      <c r="R50" s="67"/>
      <c r="S50" s="71"/>
      <c r="T50" s="71"/>
      <c r="U50" s="71"/>
      <c r="V50" s="71"/>
      <c r="W50" s="71"/>
      <c r="X50" s="71"/>
      <c r="Y50" s="71"/>
      <c r="Z50" s="71"/>
      <c r="AA50" s="71"/>
      <c r="AB50" s="72">
        <v>6</v>
      </c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2">
        <v>61.7</v>
      </c>
      <c r="AU50" s="71"/>
      <c r="AV50" s="71"/>
      <c r="AW50" s="72">
        <v>1.6</v>
      </c>
      <c r="AX50" s="71"/>
      <c r="AY50" s="71"/>
      <c r="AZ50" s="71"/>
      <c r="BA50" s="71"/>
      <c r="BB50" s="71"/>
      <c r="BC50" s="72">
        <v>10</v>
      </c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2">
        <v>1.2</v>
      </c>
      <c r="BP50" s="71"/>
      <c r="BQ50" s="72">
        <v>16.100000000000001</v>
      </c>
      <c r="BR50" s="71"/>
      <c r="BS50" s="71"/>
      <c r="BT50" s="71"/>
      <c r="BU50" s="71"/>
      <c r="BV50" s="71"/>
      <c r="BW50" s="71"/>
      <c r="BX50" s="71"/>
      <c r="BY50" s="72">
        <v>1</v>
      </c>
      <c r="BZ50" s="71"/>
      <c r="CA50" s="71"/>
      <c r="CB50" s="71"/>
      <c r="CC50" s="72">
        <v>1.2</v>
      </c>
      <c r="CD50" s="71"/>
      <c r="CE50" s="71"/>
      <c r="CF50" s="71"/>
      <c r="CG50" s="71"/>
      <c r="CH50" s="71"/>
      <c r="CI50" s="71"/>
      <c r="CJ50" s="71"/>
      <c r="CK50" s="71"/>
      <c r="CL50" s="71"/>
      <c r="CM50" s="67"/>
    </row>
    <row r="51" spans="1:91" ht="19.5" customHeight="1">
      <c r="A51" s="7">
        <v>47</v>
      </c>
      <c r="B51" s="8" t="s">
        <v>187</v>
      </c>
      <c r="C51" s="61" t="s">
        <v>299</v>
      </c>
      <c r="D51" s="62">
        <v>100</v>
      </c>
      <c r="E51" s="63">
        <f>IFERROR(0.2/100*'🏭 원료 마스터'!$C$33+63.7/100*'🏭 원료 마스터'!$C$39+4.8/100*'🏭 원료 마스터'!$C$48+1/100*'🏭 원료 마스터'!$C$60+21.7/100*'🏭 원료 마스터'!$C$62+6.4/100*'🏭 원료 마스터'!$C$68+0.9/100*'🏭 원료 마스터'!$C$70+1.3/100*'🏭 원료 마스터'!$C$73,"")</f>
        <v>15694.466619999999</v>
      </c>
      <c r="F51" s="64"/>
      <c r="G51" s="64"/>
      <c r="H51" s="58"/>
      <c r="I51" s="57"/>
      <c r="J51" s="65"/>
      <c r="K51" s="65"/>
      <c r="L51" s="65"/>
      <c r="M51" s="65"/>
      <c r="N51" s="65"/>
      <c r="O51" s="65"/>
      <c r="P51" s="65"/>
      <c r="Q51" s="65"/>
      <c r="R51" s="67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6">
        <v>0.2</v>
      </c>
      <c r="AO51" s="65"/>
      <c r="AP51" s="65"/>
      <c r="AQ51" s="65"/>
      <c r="AR51" s="65"/>
      <c r="AS51" s="65"/>
      <c r="AT51" s="66">
        <v>63.7</v>
      </c>
      <c r="AU51" s="65"/>
      <c r="AV51" s="65"/>
      <c r="AW51" s="65"/>
      <c r="AX51" s="65"/>
      <c r="AY51" s="65"/>
      <c r="AZ51" s="65"/>
      <c r="BA51" s="65"/>
      <c r="BB51" s="65"/>
      <c r="BC51" s="66">
        <v>4.8</v>
      </c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6">
        <v>1</v>
      </c>
      <c r="BP51" s="65"/>
      <c r="BQ51" s="66">
        <v>21.7</v>
      </c>
      <c r="BR51" s="65"/>
      <c r="BS51" s="65"/>
      <c r="BT51" s="65"/>
      <c r="BU51" s="65"/>
      <c r="BV51" s="65"/>
      <c r="BW51" s="66">
        <v>6.4</v>
      </c>
      <c r="BX51" s="65"/>
      <c r="BY51" s="66">
        <v>0.9</v>
      </c>
      <c r="BZ51" s="65"/>
      <c r="CA51" s="65"/>
      <c r="CB51" s="66">
        <v>1.3</v>
      </c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7"/>
    </row>
    <row r="52" spans="1:91" ht="19.5" customHeight="1">
      <c r="A52" s="11">
        <v>48</v>
      </c>
      <c r="B52" s="12" t="s">
        <v>188</v>
      </c>
      <c r="C52" s="68" t="s">
        <v>300</v>
      </c>
      <c r="D52" s="69">
        <v>100</v>
      </c>
      <c r="E52" s="70">
        <f>IFERROR(1.7/100*'🏭 원료 마스터'!$C$26+83.4/100*'🏭 원료 마스터'!$C$39+7.5/100*'🏭 원료 마스터'!$C$59+6.3/100*'🏭 원료 마스터'!$C$62+1.1/100*'🏭 원료 마스터'!$C$70,"")</f>
        <v>20470.185940000003</v>
      </c>
      <c r="F52" s="64"/>
      <c r="G52" s="64"/>
      <c r="H52" s="58"/>
      <c r="I52" s="57"/>
      <c r="J52" s="71"/>
      <c r="K52" s="71"/>
      <c r="L52" s="71"/>
      <c r="M52" s="71"/>
      <c r="N52" s="71"/>
      <c r="O52" s="71"/>
      <c r="P52" s="71"/>
      <c r="Q52" s="71"/>
      <c r="R52" s="67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2">
        <v>1.7</v>
      </c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2">
        <v>83.4</v>
      </c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2">
        <v>7.5</v>
      </c>
      <c r="BO52" s="71"/>
      <c r="BP52" s="71"/>
      <c r="BQ52" s="72">
        <v>6.3</v>
      </c>
      <c r="BR52" s="71"/>
      <c r="BS52" s="71"/>
      <c r="BT52" s="71"/>
      <c r="BU52" s="71"/>
      <c r="BV52" s="71"/>
      <c r="BW52" s="71"/>
      <c r="BX52" s="71"/>
      <c r="BY52" s="72">
        <v>1.1000000000000001</v>
      </c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67"/>
    </row>
    <row r="53" spans="1:91" ht="19.5" customHeight="1">
      <c r="A53" s="7">
        <v>49</v>
      </c>
      <c r="B53" s="8" t="s">
        <v>189</v>
      </c>
      <c r="C53" s="61" t="s">
        <v>301</v>
      </c>
      <c r="D53" s="62">
        <v>100</v>
      </c>
      <c r="E53" s="63">
        <f>IFERROR(1.7/100*'🏭 원료 마스터'!$C$27+12.5/100*'🏭 원료 마스터'!$C$62+2.5/100*'🏭 원료 마스터'!$C$70+83.3/100*'🏭 원료 마스터'!$C$76,"")</f>
        <v>84.513500000000008</v>
      </c>
      <c r="F53" s="64"/>
      <c r="G53" s="64"/>
      <c r="H53" s="58"/>
      <c r="I53" s="57"/>
      <c r="J53" s="65"/>
      <c r="K53" s="65"/>
      <c r="L53" s="65"/>
      <c r="M53" s="65"/>
      <c r="N53" s="65"/>
      <c r="O53" s="65"/>
      <c r="P53" s="65"/>
      <c r="Q53" s="65"/>
      <c r="R53" s="67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6">
        <v>1.7</v>
      </c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6">
        <v>12.5</v>
      </c>
      <c r="BR53" s="65"/>
      <c r="BS53" s="65"/>
      <c r="BT53" s="65"/>
      <c r="BU53" s="65"/>
      <c r="BV53" s="65"/>
      <c r="BW53" s="65"/>
      <c r="BX53" s="65"/>
      <c r="BY53" s="66">
        <v>2.5</v>
      </c>
      <c r="BZ53" s="65"/>
      <c r="CA53" s="65"/>
      <c r="CB53" s="65"/>
      <c r="CC53" s="65"/>
      <c r="CD53" s="65"/>
      <c r="CE53" s="66">
        <v>83.3</v>
      </c>
      <c r="CF53" s="65"/>
      <c r="CG53" s="65"/>
      <c r="CH53" s="65"/>
      <c r="CI53" s="65"/>
      <c r="CJ53" s="65"/>
      <c r="CK53" s="65"/>
      <c r="CL53" s="65"/>
      <c r="CM53" s="67"/>
    </row>
    <row r="54" spans="1:91" ht="19.5" customHeight="1">
      <c r="A54" s="11">
        <v>50</v>
      </c>
      <c r="B54" s="12" t="s">
        <v>190</v>
      </c>
      <c r="C54" s="68" t="s">
        <v>302</v>
      </c>
      <c r="D54" s="69">
        <v>100</v>
      </c>
      <c r="E54" s="70">
        <f>IFERROR(2.4/100*'🏭 원료 마스터'!$C$24+1.6/100*'🏭 원료 마스터'!$C$25+0.7/100*'🏭 원료 마스터'!$C$43+3.3/100*'🏭 원료 마스터'!$C$55+81.4/100*'🏭 원료 마스터'!$C$69+2/100*'🏭 원료 마스터'!$C$74+3.4/100*'🏭 원료 마스터'!$C$77+2/100*'🏭 원료 마스터'!$C$78+3.2/100*'🏭 원료 마스터'!$C$80,"")</f>
        <v>997.19400000000007</v>
      </c>
      <c r="F54" s="64"/>
      <c r="G54" s="64"/>
      <c r="H54" s="58"/>
      <c r="I54" s="57"/>
      <c r="J54" s="71"/>
      <c r="K54" s="71"/>
      <c r="L54" s="71"/>
      <c r="M54" s="71"/>
      <c r="N54" s="71"/>
      <c r="O54" s="71"/>
      <c r="P54" s="71"/>
      <c r="Q54" s="71"/>
      <c r="R54" s="67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2">
        <v>2.4</v>
      </c>
      <c r="AF54" s="72">
        <v>1.6</v>
      </c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2">
        <v>0.7</v>
      </c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2">
        <v>3.3</v>
      </c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2">
        <v>81.400000000000006</v>
      </c>
      <c r="BY54" s="71"/>
      <c r="BZ54" s="71"/>
      <c r="CA54" s="71"/>
      <c r="CB54" s="71"/>
      <c r="CC54" s="72">
        <v>2</v>
      </c>
      <c r="CD54" s="71"/>
      <c r="CE54" s="71"/>
      <c r="CF54" s="72">
        <v>3.4</v>
      </c>
      <c r="CG54" s="72">
        <v>2</v>
      </c>
      <c r="CH54" s="71"/>
      <c r="CI54" s="72">
        <v>3.2</v>
      </c>
      <c r="CJ54" s="71"/>
      <c r="CK54" s="71"/>
      <c r="CL54" s="71"/>
      <c r="CM54" s="67"/>
    </row>
    <row r="55" spans="1:91" ht="18" customHeight="1">
      <c r="A55" s="7">
        <v>51</v>
      </c>
      <c r="B55" s="8" t="s">
        <v>191</v>
      </c>
      <c r="C55" s="61" t="s">
        <v>303</v>
      </c>
      <c r="D55" s="62">
        <v>100</v>
      </c>
      <c r="E55" s="63">
        <f>IFERROR(43/100*'🏭 원료 마스터'!$C$69+19/100*'🏭 원료 마스터'!$C$48+18/100*'🏭 원료 마스터'!$C$65+9/100*'🏭 원료 마스터'!$C$84+3/100*'🏭 원료 마스터'!$C$62+2/100*'🏭 원료 마스터'!$C$39+2/100*'🏭 원료 마스터'!$C$70+2/100*'🏭 원료 마스터'!$C$79+2/100*'🏭 원료 마스터'!$C$67,"")</f>
        <v>1500.7939999999999</v>
      </c>
      <c r="F55" s="64"/>
      <c r="G55" s="64"/>
      <c r="H55" s="58"/>
      <c r="I55" s="57"/>
      <c r="J55" s="65"/>
      <c r="K55" s="65"/>
      <c r="L55" s="65"/>
      <c r="M55" s="65"/>
      <c r="N55" s="65"/>
      <c r="O55" s="65"/>
      <c r="P55" s="65"/>
      <c r="Q55" s="65"/>
      <c r="R55" s="67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6">
        <v>2</v>
      </c>
      <c r="AU55" s="65"/>
      <c r="AV55" s="65"/>
      <c r="AW55" s="65"/>
      <c r="AX55" s="65"/>
      <c r="AY55" s="65"/>
      <c r="AZ55" s="65"/>
      <c r="BA55" s="65"/>
      <c r="BB55" s="65"/>
      <c r="BC55" s="66">
        <v>19</v>
      </c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6">
        <v>3</v>
      </c>
      <c r="BR55" s="65"/>
      <c r="BS55" s="65"/>
      <c r="BT55" s="73">
        <v>18</v>
      </c>
      <c r="BU55" s="74"/>
      <c r="BV55" s="73">
        <v>2</v>
      </c>
      <c r="BW55" s="65"/>
      <c r="BX55" s="73">
        <v>43</v>
      </c>
      <c r="BY55" s="66">
        <v>2</v>
      </c>
      <c r="BZ55" s="65"/>
      <c r="CA55" s="74"/>
      <c r="CB55" s="65"/>
      <c r="CC55" s="65"/>
      <c r="CD55" s="65"/>
      <c r="CE55" s="65"/>
      <c r="CF55" s="65"/>
      <c r="CG55" s="65"/>
      <c r="CH55" s="73">
        <v>2</v>
      </c>
      <c r="CI55" s="65"/>
      <c r="CJ55" s="65"/>
      <c r="CK55" s="65"/>
      <c r="CL55" s="65"/>
      <c r="CM55" s="75">
        <v>9</v>
      </c>
    </row>
    <row r="56" spans="1:91" ht="19.5" customHeight="1">
      <c r="A56" s="7">
        <v>52</v>
      </c>
      <c r="B56" s="8" t="s">
        <v>192</v>
      </c>
      <c r="C56" s="61" t="s">
        <v>304</v>
      </c>
      <c r="D56" s="62">
        <v>100</v>
      </c>
      <c r="E56" s="63">
        <f>IFERROR(66.2/100*'🏭 원료 마스터'!$C$39+10.8/100*'🏭 원료 마스터'!$C$48+17.2/100*'🏭 원료 마스터'!$C$62+3.4/100*'🏭 원료 마스터'!$C$66+1.1/100*'🏭 원료 마스터'!$C$70+1.3/100*'🏭 원료 마스터'!$C$72,"")</f>
        <v>16576.274979999998</v>
      </c>
      <c r="F56" s="64"/>
      <c r="G56" s="64"/>
      <c r="H56" s="58"/>
      <c r="I56" s="57"/>
      <c r="J56" s="65"/>
      <c r="K56" s="65"/>
      <c r="L56" s="65"/>
      <c r="M56" s="65"/>
      <c r="N56" s="65"/>
      <c r="O56" s="65"/>
      <c r="P56" s="65"/>
      <c r="Q56" s="65"/>
      <c r="R56" s="67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6">
        <v>66.2</v>
      </c>
      <c r="AU56" s="65"/>
      <c r="AV56" s="65"/>
      <c r="AW56" s="65"/>
      <c r="AX56" s="65"/>
      <c r="AY56" s="65"/>
      <c r="AZ56" s="65"/>
      <c r="BA56" s="65"/>
      <c r="BB56" s="65"/>
      <c r="BC56" s="66">
        <v>10.8</v>
      </c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6">
        <v>17.2</v>
      </c>
      <c r="BR56" s="65"/>
      <c r="BS56" s="65"/>
      <c r="BT56" s="65"/>
      <c r="BU56" s="66">
        <v>3.4</v>
      </c>
      <c r="BV56" s="65"/>
      <c r="BW56" s="65"/>
      <c r="BX56" s="65"/>
      <c r="BY56" s="66">
        <v>1.1000000000000001</v>
      </c>
      <c r="BZ56" s="65"/>
      <c r="CA56" s="66">
        <v>1.3</v>
      </c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7"/>
    </row>
    <row r="57" spans="1:91" ht="19.5" customHeight="1">
      <c r="A57" s="11">
        <v>53</v>
      </c>
      <c r="B57" s="12" t="s">
        <v>193</v>
      </c>
      <c r="C57" s="68" t="s">
        <v>305</v>
      </c>
      <c r="D57" s="69">
        <v>100</v>
      </c>
      <c r="E57" s="70">
        <f>IFERROR(61.5/100*'🏭 원료 마스터'!$C$39+10/100*'🏭 원료 마스터'!$C$48+11.5/100*'🏭 원료 마스터'!$C$61+16/100*'🏭 원료 마스터'!$C$62+1/100*'🏭 원료 마스터'!$C$70,"")</f>
        <v>16423.805400000001</v>
      </c>
      <c r="F57" s="64"/>
      <c r="G57" s="64"/>
      <c r="H57" s="58"/>
      <c r="I57" s="57"/>
      <c r="J57" s="71"/>
      <c r="K57" s="71"/>
      <c r="L57" s="71"/>
      <c r="M57" s="71"/>
      <c r="N57" s="71"/>
      <c r="O57" s="71"/>
      <c r="P57" s="71"/>
      <c r="Q57" s="71"/>
      <c r="R57" s="67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2">
        <v>61.5</v>
      </c>
      <c r="AU57" s="71"/>
      <c r="AV57" s="71"/>
      <c r="AW57" s="71"/>
      <c r="AX57" s="71"/>
      <c r="AY57" s="71"/>
      <c r="AZ57" s="71"/>
      <c r="BA57" s="71"/>
      <c r="BB57" s="71"/>
      <c r="BC57" s="72">
        <v>10</v>
      </c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2">
        <v>11.5</v>
      </c>
      <c r="BQ57" s="72">
        <v>16</v>
      </c>
      <c r="BR57" s="71"/>
      <c r="BS57" s="71"/>
      <c r="BT57" s="71"/>
      <c r="BU57" s="71"/>
      <c r="BV57" s="71"/>
      <c r="BW57" s="71"/>
      <c r="BX57" s="71"/>
      <c r="BY57" s="72">
        <v>1</v>
      </c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67"/>
    </row>
    <row r="58" spans="1:91" ht="19.5" customHeight="1">
      <c r="A58" s="7">
        <v>54</v>
      </c>
      <c r="B58" s="8" t="s">
        <v>194</v>
      </c>
      <c r="C58" s="61" t="s">
        <v>306</v>
      </c>
      <c r="D58" s="62">
        <v>100</v>
      </c>
      <c r="E58" s="63">
        <f>IFERROR(2.7/100*'🏭 원료 마스터'!$C$8+5.8/100*'🏭 원료 마스터'!$C$17+3.3/100*'🏭 원료 마스터'!$C$24+0.2/100*'🏭 원료 마스터'!$C$25+3.9/100*'🏭 원료 마스터'!$C$41+3.9/100*'🏭 원료 마스터'!$C$48+0.4/100*'🏭 원료 마스터'!$C$67+77.8/100*'🏭 원료 마스터'!$C$69+1.4/100*'🏭 원료 마스터'!$C$70+0.6/100*'🏭 원료 마스터'!$C$79,"")</f>
        <v>872.02755999999999</v>
      </c>
      <c r="F58" s="64"/>
      <c r="G58" s="64"/>
      <c r="H58" s="58"/>
      <c r="I58" s="57"/>
      <c r="J58" s="65"/>
      <c r="K58" s="65"/>
      <c r="L58" s="65"/>
      <c r="M58" s="65"/>
      <c r="N58" s="66">
        <v>2.7</v>
      </c>
      <c r="O58" s="65"/>
      <c r="P58" s="65"/>
      <c r="Q58" s="65"/>
      <c r="R58" s="67"/>
      <c r="S58" s="65"/>
      <c r="T58" s="65"/>
      <c r="U58" s="65"/>
      <c r="V58" s="65"/>
      <c r="W58" s="65"/>
      <c r="X58" s="66">
        <v>5.8</v>
      </c>
      <c r="Y58" s="65"/>
      <c r="Z58" s="65"/>
      <c r="AA58" s="65"/>
      <c r="AB58" s="65"/>
      <c r="AC58" s="65"/>
      <c r="AD58" s="65"/>
      <c r="AE58" s="66">
        <v>3.3</v>
      </c>
      <c r="AF58" s="66">
        <v>0.2</v>
      </c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6">
        <v>3.9</v>
      </c>
      <c r="AW58" s="65"/>
      <c r="AX58" s="65"/>
      <c r="AY58" s="65"/>
      <c r="AZ58" s="65"/>
      <c r="BA58" s="65"/>
      <c r="BB58" s="65"/>
      <c r="BC58" s="66">
        <v>3.9</v>
      </c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6">
        <v>0.4</v>
      </c>
      <c r="BW58" s="65"/>
      <c r="BX58" s="66">
        <v>77.8</v>
      </c>
      <c r="BY58" s="66">
        <v>1.4</v>
      </c>
      <c r="BZ58" s="65"/>
      <c r="CA58" s="65"/>
      <c r="CB58" s="65"/>
      <c r="CC58" s="65"/>
      <c r="CD58" s="65"/>
      <c r="CE58" s="65"/>
      <c r="CF58" s="65"/>
      <c r="CG58" s="65"/>
      <c r="CH58" s="66">
        <v>0.6</v>
      </c>
      <c r="CI58" s="65"/>
      <c r="CJ58" s="65"/>
      <c r="CK58" s="65"/>
      <c r="CL58" s="65"/>
      <c r="CM58" s="67"/>
    </row>
    <row r="59" spans="1:91" ht="19.5" customHeight="1">
      <c r="A59" s="11">
        <v>55</v>
      </c>
      <c r="B59" s="12" t="s">
        <v>195</v>
      </c>
      <c r="C59" s="68" t="s">
        <v>307</v>
      </c>
      <c r="D59" s="69">
        <v>100</v>
      </c>
      <c r="E59" s="70">
        <f>IFERROR(15.1/100*'🏭 원료 마스터'!$C$17+58.2/100*'🏭 원료 마스터'!$C$39+9.5/100*'🏭 원료 마스터'!$C$48+1.1/100*'🏭 원료 마스터'!$C$54+15.1/100*'🏭 원료 마스터'!$C$62+1/100*'🏭 원료 마스터'!$C$70,"")</f>
        <v>14448.290400000002</v>
      </c>
      <c r="F59" s="64"/>
      <c r="G59" s="64"/>
      <c r="H59" s="58"/>
      <c r="I59" s="57"/>
      <c r="J59" s="71"/>
      <c r="K59" s="71"/>
      <c r="L59" s="71"/>
      <c r="M59" s="71"/>
      <c r="N59" s="71"/>
      <c r="O59" s="71"/>
      <c r="P59" s="71"/>
      <c r="Q59" s="71"/>
      <c r="R59" s="67"/>
      <c r="S59" s="71"/>
      <c r="T59" s="71"/>
      <c r="U59" s="71"/>
      <c r="V59" s="71"/>
      <c r="W59" s="71"/>
      <c r="X59" s="72">
        <v>15.1</v>
      </c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2">
        <v>58.2</v>
      </c>
      <c r="AU59" s="71"/>
      <c r="AV59" s="71"/>
      <c r="AW59" s="71"/>
      <c r="AX59" s="71"/>
      <c r="AY59" s="71"/>
      <c r="AZ59" s="71"/>
      <c r="BA59" s="71"/>
      <c r="BB59" s="71"/>
      <c r="BC59" s="72">
        <v>9.5</v>
      </c>
      <c r="BD59" s="71"/>
      <c r="BE59" s="71"/>
      <c r="BF59" s="71"/>
      <c r="BG59" s="71"/>
      <c r="BH59" s="71"/>
      <c r="BI59" s="72">
        <v>1.1000000000000001</v>
      </c>
      <c r="BJ59" s="71"/>
      <c r="BK59" s="71"/>
      <c r="BL59" s="71"/>
      <c r="BM59" s="71"/>
      <c r="BN59" s="71"/>
      <c r="BO59" s="71"/>
      <c r="BP59" s="71"/>
      <c r="BQ59" s="72">
        <v>15.1</v>
      </c>
      <c r="BR59" s="71"/>
      <c r="BS59" s="71"/>
      <c r="BT59" s="71"/>
      <c r="BU59" s="71"/>
      <c r="BV59" s="71"/>
      <c r="BW59" s="71"/>
      <c r="BX59" s="71"/>
      <c r="BY59" s="72">
        <v>1</v>
      </c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67"/>
    </row>
    <row r="60" spans="1:91" ht="19.5" customHeight="1">
      <c r="A60" s="7">
        <v>56</v>
      </c>
      <c r="B60" s="8" t="s">
        <v>196</v>
      </c>
      <c r="C60" s="61" t="s">
        <v>308</v>
      </c>
      <c r="D60" s="62">
        <v>100</v>
      </c>
      <c r="E60" s="63">
        <f>IFERROR(3/100*'🏭 원료 마스터'!$C$17+9/100*'🏭 원료 마스터'!$C$20+4.4/100*'🏭 원료 마스터'!$C$41+4.4/100*'🏭 원료 마스터'!$C$48+1/100*'🏭 원료 마스터'!$C$53+32.6/100*'🏭 원료 마스터'!$C$62+0.9/100*'🏭 원료 마스터'!$C$67+43.5/100*'🏭 원료 마스터'!$C$69+0.8/100*'🏭 원료 마스터'!$C$70+0.4/100*'🏭 원료 마스터'!$C$79,"")</f>
        <v>51.044319999999999</v>
      </c>
      <c r="F60" s="64"/>
      <c r="G60" s="64"/>
      <c r="H60" s="58"/>
      <c r="I60" s="57"/>
      <c r="J60" s="65"/>
      <c r="K60" s="65"/>
      <c r="L60" s="65"/>
      <c r="M60" s="65"/>
      <c r="N60" s="65"/>
      <c r="O60" s="65"/>
      <c r="P60" s="65"/>
      <c r="Q60" s="65"/>
      <c r="R60" s="67"/>
      <c r="S60" s="65"/>
      <c r="T60" s="65"/>
      <c r="U60" s="65"/>
      <c r="V60" s="65"/>
      <c r="W60" s="65"/>
      <c r="X60" s="66">
        <v>3</v>
      </c>
      <c r="Y60" s="65"/>
      <c r="Z60" s="65"/>
      <c r="AA60" s="66">
        <v>9</v>
      </c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6">
        <v>4.4000000000000004</v>
      </c>
      <c r="AW60" s="65"/>
      <c r="AX60" s="65"/>
      <c r="AY60" s="65"/>
      <c r="AZ60" s="65"/>
      <c r="BA60" s="65"/>
      <c r="BB60" s="65"/>
      <c r="BC60" s="66">
        <v>4.4000000000000004</v>
      </c>
      <c r="BD60" s="65"/>
      <c r="BE60" s="65"/>
      <c r="BF60" s="65"/>
      <c r="BG60" s="65"/>
      <c r="BH60" s="66">
        <v>1</v>
      </c>
      <c r="BI60" s="65"/>
      <c r="BJ60" s="65"/>
      <c r="BK60" s="65"/>
      <c r="BL60" s="65"/>
      <c r="BM60" s="65"/>
      <c r="BN60" s="65"/>
      <c r="BO60" s="65"/>
      <c r="BP60" s="65"/>
      <c r="BQ60" s="66">
        <v>32.6</v>
      </c>
      <c r="BR60" s="65"/>
      <c r="BS60" s="65"/>
      <c r="BT60" s="65"/>
      <c r="BU60" s="65"/>
      <c r="BV60" s="66">
        <v>0.9</v>
      </c>
      <c r="BW60" s="65"/>
      <c r="BX60" s="66">
        <v>43.5</v>
      </c>
      <c r="BY60" s="66">
        <v>0.8</v>
      </c>
      <c r="BZ60" s="65"/>
      <c r="CA60" s="65"/>
      <c r="CB60" s="65"/>
      <c r="CC60" s="65"/>
      <c r="CD60" s="65"/>
      <c r="CE60" s="65"/>
      <c r="CF60" s="65"/>
      <c r="CG60" s="65"/>
      <c r="CH60" s="66">
        <v>0.4</v>
      </c>
      <c r="CI60" s="65"/>
      <c r="CJ60" s="65"/>
      <c r="CK60" s="65"/>
      <c r="CL60" s="65"/>
      <c r="CM60" s="67"/>
    </row>
    <row r="61" spans="1:91" ht="19.5" customHeight="1">
      <c r="A61" s="11">
        <v>57</v>
      </c>
      <c r="B61" s="12" t="s">
        <v>197</v>
      </c>
      <c r="C61" s="68" t="s">
        <v>309</v>
      </c>
      <c r="D61" s="69">
        <v>100</v>
      </c>
      <c r="E61" s="70">
        <f>IFERROR(3/100*'🏭 원료 마스터'!$C$17+2/100*'🏭 원료 마스터'!$C$41+2/100*'🏭 원료 마스터'!$C$48+14.9/100*'🏭 원료 마스터'!$C$62+37.2/100*'🏭 원료 마스터'!$C$65+0.2/100*'🏭 원료 마스터'!$C$67+39.7/100*'🏭 원료 마스터'!$C$69+0.7/100*'🏭 원료 마스터'!$C$70+0.3/100*'🏭 원료 마스터'!$C$79,"")</f>
        <v>1203.5090600000001</v>
      </c>
      <c r="F61" s="64"/>
      <c r="G61" s="64"/>
      <c r="H61" s="58"/>
      <c r="I61" s="57"/>
      <c r="J61" s="71"/>
      <c r="K61" s="71"/>
      <c r="L61" s="71"/>
      <c r="M61" s="71"/>
      <c r="N61" s="71"/>
      <c r="O61" s="71"/>
      <c r="P61" s="71"/>
      <c r="Q61" s="71"/>
      <c r="R61" s="67"/>
      <c r="S61" s="71"/>
      <c r="T61" s="71"/>
      <c r="U61" s="71"/>
      <c r="V61" s="71"/>
      <c r="W61" s="71"/>
      <c r="X61" s="72">
        <v>3</v>
      </c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2">
        <v>2</v>
      </c>
      <c r="AW61" s="71"/>
      <c r="AX61" s="71"/>
      <c r="AY61" s="71"/>
      <c r="AZ61" s="71"/>
      <c r="BA61" s="71"/>
      <c r="BB61" s="71"/>
      <c r="BC61" s="72">
        <v>2</v>
      </c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2">
        <v>14.9</v>
      </c>
      <c r="BR61" s="71"/>
      <c r="BS61" s="71"/>
      <c r="BT61" s="72">
        <v>37.200000000000003</v>
      </c>
      <c r="BU61" s="71"/>
      <c r="BV61" s="72">
        <v>0.2</v>
      </c>
      <c r="BW61" s="71"/>
      <c r="BX61" s="72">
        <v>39.700000000000003</v>
      </c>
      <c r="BY61" s="72">
        <v>0.7</v>
      </c>
      <c r="BZ61" s="71"/>
      <c r="CA61" s="71"/>
      <c r="CB61" s="71"/>
      <c r="CC61" s="71"/>
      <c r="CD61" s="71"/>
      <c r="CE61" s="71"/>
      <c r="CF61" s="71"/>
      <c r="CG61" s="71"/>
      <c r="CH61" s="72">
        <v>0.3</v>
      </c>
      <c r="CI61" s="71"/>
      <c r="CJ61" s="71"/>
      <c r="CK61" s="71"/>
      <c r="CL61" s="71"/>
      <c r="CM61" s="67"/>
    </row>
    <row r="62" spans="1:91" ht="19.5" customHeight="1">
      <c r="A62" s="7">
        <v>58</v>
      </c>
      <c r="B62" s="8" t="s">
        <v>198</v>
      </c>
      <c r="C62" s="61" t="s">
        <v>310</v>
      </c>
      <c r="D62" s="62">
        <v>100</v>
      </c>
      <c r="E62" s="63">
        <f>IFERROR(2.9/100*'🏭 원료 마스터'!$C$17+2.9/100*'🏭 원료 마스터'!$C$20+1.9/100*'🏭 원료 마스터'!$C$41+1.9/100*'🏭 원료 마스터'!$C$48+1/100*'🏭 원료 마스터'!$C$53+14.2/100*'🏭 원료 마스터'!$C$62+35.8/100*'🏭 원료 마스터'!$C$65+0.2/100*'🏭 원료 마스터'!$C$67+38.2/100*'🏭 원료 마스터'!$C$69+0.7/100*'🏭 원료 마스터'!$C$70+0.3/100*'🏭 원료 마스터'!$C$79,"")</f>
        <v>1159.7837</v>
      </c>
      <c r="F62" s="64"/>
      <c r="G62" s="64"/>
      <c r="H62" s="58"/>
      <c r="I62" s="57"/>
      <c r="J62" s="65"/>
      <c r="K62" s="65"/>
      <c r="L62" s="65"/>
      <c r="M62" s="65"/>
      <c r="N62" s="65"/>
      <c r="O62" s="65"/>
      <c r="P62" s="65"/>
      <c r="Q62" s="65"/>
      <c r="R62" s="67"/>
      <c r="S62" s="65"/>
      <c r="T62" s="65"/>
      <c r="U62" s="65"/>
      <c r="V62" s="65"/>
      <c r="W62" s="65"/>
      <c r="X62" s="66">
        <v>2.9</v>
      </c>
      <c r="Y62" s="65"/>
      <c r="Z62" s="65"/>
      <c r="AA62" s="66">
        <v>2.9</v>
      </c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6">
        <v>1.9</v>
      </c>
      <c r="AW62" s="65"/>
      <c r="AX62" s="65"/>
      <c r="AY62" s="65"/>
      <c r="AZ62" s="65"/>
      <c r="BA62" s="65"/>
      <c r="BB62" s="65"/>
      <c r="BC62" s="66">
        <v>1.9</v>
      </c>
      <c r="BD62" s="65"/>
      <c r="BE62" s="65"/>
      <c r="BF62" s="65"/>
      <c r="BG62" s="65"/>
      <c r="BH62" s="66">
        <v>1</v>
      </c>
      <c r="BI62" s="65"/>
      <c r="BJ62" s="65"/>
      <c r="BK62" s="65"/>
      <c r="BL62" s="65"/>
      <c r="BM62" s="65"/>
      <c r="BN62" s="65"/>
      <c r="BO62" s="65"/>
      <c r="BP62" s="65"/>
      <c r="BQ62" s="66">
        <v>14.2</v>
      </c>
      <c r="BR62" s="65"/>
      <c r="BS62" s="65"/>
      <c r="BT62" s="66">
        <v>35.799999999999997</v>
      </c>
      <c r="BU62" s="65"/>
      <c r="BV62" s="66">
        <v>0.2</v>
      </c>
      <c r="BW62" s="65"/>
      <c r="BX62" s="66">
        <v>38.200000000000003</v>
      </c>
      <c r="BY62" s="66">
        <v>0.7</v>
      </c>
      <c r="BZ62" s="65"/>
      <c r="CA62" s="65"/>
      <c r="CB62" s="65"/>
      <c r="CC62" s="65"/>
      <c r="CD62" s="65"/>
      <c r="CE62" s="65"/>
      <c r="CF62" s="65"/>
      <c r="CG62" s="65"/>
      <c r="CH62" s="66">
        <v>0.3</v>
      </c>
      <c r="CI62" s="65"/>
      <c r="CJ62" s="65"/>
      <c r="CK62" s="65"/>
      <c r="CL62" s="65"/>
      <c r="CM62" s="67"/>
    </row>
    <row r="63" spans="1:91" ht="19.5" customHeight="1">
      <c r="A63" s="11">
        <v>59</v>
      </c>
      <c r="B63" s="12" t="s">
        <v>199</v>
      </c>
      <c r="C63" s="68" t="s">
        <v>311</v>
      </c>
      <c r="D63" s="69">
        <v>100</v>
      </c>
      <c r="E63" s="70">
        <f>IFERROR(2.9/100*'🏭 원료 마스터'!$C$17+1.7/100*'🏭 원료 마스터'!$C$24+0.1/100*'🏭 원료 마스터'!$C$25+2/100*'🏭 원료 마스터'!$C$41+2/100*'🏭 원료 마스터'!$C$48+14.5/100*'🏭 원료 마스터'!$C$62+36.6/100*'🏭 원료 마스터'!$C$65+0.2/100*'🏭 원료 마스터'!$C$67+39/100*'🏭 원료 마스터'!$C$69+0.7/100*'🏭 원료 마스터'!$C$70+0.3/100*'🏭 원료 마스터'!$C$79,"")</f>
        <v>1591.06962</v>
      </c>
      <c r="F63" s="64"/>
      <c r="G63" s="64"/>
      <c r="H63" s="58"/>
      <c r="I63" s="57"/>
      <c r="J63" s="71"/>
      <c r="K63" s="71"/>
      <c r="L63" s="71"/>
      <c r="M63" s="71"/>
      <c r="N63" s="71"/>
      <c r="O63" s="71"/>
      <c r="P63" s="71"/>
      <c r="Q63" s="71"/>
      <c r="R63" s="67"/>
      <c r="S63" s="71"/>
      <c r="T63" s="71"/>
      <c r="U63" s="71"/>
      <c r="V63" s="71"/>
      <c r="W63" s="71"/>
      <c r="X63" s="72">
        <v>2.9</v>
      </c>
      <c r="Y63" s="71"/>
      <c r="Z63" s="71"/>
      <c r="AA63" s="71"/>
      <c r="AB63" s="71"/>
      <c r="AC63" s="71"/>
      <c r="AD63" s="71"/>
      <c r="AE63" s="72">
        <v>1.7</v>
      </c>
      <c r="AF63" s="72">
        <v>0.1</v>
      </c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2">
        <v>2</v>
      </c>
      <c r="AW63" s="71"/>
      <c r="AX63" s="71"/>
      <c r="AY63" s="71"/>
      <c r="AZ63" s="71"/>
      <c r="BA63" s="71"/>
      <c r="BB63" s="71"/>
      <c r="BC63" s="72">
        <v>2</v>
      </c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2">
        <v>14.5</v>
      </c>
      <c r="BR63" s="71"/>
      <c r="BS63" s="71"/>
      <c r="BT63" s="72">
        <v>36.6</v>
      </c>
      <c r="BU63" s="71"/>
      <c r="BV63" s="72">
        <v>0.2</v>
      </c>
      <c r="BW63" s="71"/>
      <c r="BX63" s="72">
        <v>39</v>
      </c>
      <c r="BY63" s="72">
        <v>0.7</v>
      </c>
      <c r="BZ63" s="71"/>
      <c r="CA63" s="71"/>
      <c r="CB63" s="71"/>
      <c r="CC63" s="71"/>
      <c r="CD63" s="71"/>
      <c r="CE63" s="71"/>
      <c r="CF63" s="71"/>
      <c r="CG63" s="71"/>
      <c r="CH63" s="72">
        <v>0.3</v>
      </c>
      <c r="CI63" s="71"/>
      <c r="CJ63" s="71"/>
      <c r="CK63" s="71"/>
      <c r="CL63" s="71"/>
      <c r="CM63" s="67"/>
    </row>
    <row r="64" spans="1:91" ht="19.5" customHeight="1">
      <c r="A64" s="7">
        <v>60</v>
      </c>
      <c r="B64" s="8" t="s">
        <v>200</v>
      </c>
      <c r="C64" s="61" t="s">
        <v>312</v>
      </c>
      <c r="D64" s="62">
        <v>100</v>
      </c>
      <c r="E64" s="63">
        <f>IFERROR(3/100*'🏭 원료 마스터'!$C$17+4.7/100*'🏭 원료 마스터'!$C$41+4.7/100*'🏭 원료 마스터'!$C$48+37.3/100*'🏭 원료 마스터'!$C$62+0.9/100*'🏭 원료 마스터'!$C$67+48/100*'🏭 원료 마스터'!$C$69+0.9/100*'🏭 원료 마스터'!$C$70+0.5/100*'🏭 원료 마스터'!$C$79,"")</f>
        <v>60.424860000000002</v>
      </c>
      <c r="F64" s="64"/>
      <c r="G64" s="64"/>
      <c r="H64" s="58"/>
      <c r="I64" s="57"/>
      <c r="J64" s="65"/>
      <c r="K64" s="65"/>
      <c r="L64" s="65"/>
      <c r="M64" s="65"/>
      <c r="N64" s="65"/>
      <c r="O64" s="65"/>
      <c r="P64" s="65"/>
      <c r="Q64" s="65"/>
      <c r="R64" s="67"/>
      <c r="S64" s="65"/>
      <c r="T64" s="65"/>
      <c r="U64" s="65"/>
      <c r="V64" s="65"/>
      <c r="W64" s="65"/>
      <c r="X64" s="66">
        <v>3</v>
      </c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6">
        <v>4.7</v>
      </c>
      <c r="AW64" s="65"/>
      <c r="AX64" s="65"/>
      <c r="AY64" s="65"/>
      <c r="AZ64" s="65"/>
      <c r="BA64" s="65"/>
      <c r="BB64" s="65"/>
      <c r="BC64" s="66">
        <v>4.7</v>
      </c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6">
        <v>37.299999999999997</v>
      </c>
      <c r="BR64" s="65"/>
      <c r="BS64" s="65"/>
      <c r="BT64" s="65"/>
      <c r="BU64" s="65"/>
      <c r="BV64" s="66">
        <v>0.9</v>
      </c>
      <c r="BW64" s="65"/>
      <c r="BX64" s="66">
        <v>48</v>
      </c>
      <c r="BY64" s="66">
        <v>0.9</v>
      </c>
      <c r="BZ64" s="65"/>
      <c r="CA64" s="65"/>
      <c r="CB64" s="65"/>
      <c r="CC64" s="65"/>
      <c r="CD64" s="65"/>
      <c r="CE64" s="65"/>
      <c r="CF64" s="65"/>
      <c r="CG64" s="65"/>
      <c r="CH64" s="66">
        <v>0.5</v>
      </c>
      <c r="CI64" s="65"/>
      <c r="CJ64" s="65"/>
      <c r="CK64" s="65"/>
      <c r="CL64" s="65"/>
      <c r="CM64" s="67"/>
    </row>
    <row r="65" spans="1:91" ht="19.5" customHeight="1">
      <c r="A65" s="11">
        <v>61</v>
      </c>
      <c r="B65" s="12" t="s">
        <v>201</v>
      </c>
      <c r="C65" s="68" t="s">
        <v>313</v>
      </c>
      <c r="D65" s="69">
        <v>100</v>
      </c>
      <c r="E65" s="70">
        <f>IFERROR(11/100*'🏭 원료 마스터'!$C$17+2.2/100*'🏭 원료 마스터'!$C$24+0.1/100*'🏭 원료 마스터'!$C$25+15.4/100*'🏭 원료 마스터'!$C$31+1.5/100*'🏭 원료 마스터'!$C$41+1.5/100*'🏭 원료 마스터'!$C$48+14.7/100*'🏭 원료 마스터'!$C$62+23.5/100*'🏭 원료 마스터'!$C$64+0.1/100*'🏭 원료 마스터'!$C$67+29.3/100*'🏭 원료 마스터'!$C$69+0.5/100*'🏭 원료 마스터'!$C$70+0.2/100*'🏭 원료 마스터'!$C$79,"")</f>
        <v>5442.7026999999998</v>
      </c>
      <c r="F65" s="64"/>
      <c r="G65" s="64"/>
      <c r="H65" s="58"/>
      <c r="I65" s="57"/>
      <c r="J65" s="71"/>
      <c r="K65" s="71"/>
      <c r="L65" s="71"/>
      <c r="M65" s="71"/>
      <c r="N65" s="71"/>
      <c r="O65" s="71"/>
      <c r="P65" s="71"/>
      <c r="Q65" s="71"/>
      <c r="R65" s="67"/>
      <c r="S65" s="71"/>
      <c r="T65" s="71"/>
      <c r="U65" s="71"/>
      <c r="V65" s="71"/>
      <c r="W65" s="71"/>
      <c r="X65" s="72">
        <v>11</v>
      </c>
      <c r="Y65" s="71"/>
      <c r="Z65" s="71"/>
      <c r="AA65" s="71"/>
      <c r="AB65" s="71"/>
      <c r="AC65" s="71"/>
      <c r="AD65" s="71"/>
      <c r="AE65" s="72">
        <v>2.2000000000000002</v>
      </c>
      <c r="AF65" s="72">
        <v>0.1</v>
      </c>
      <c r="AG65" s="71"/>
      <c r="AH65" s="71"/>
      <c r="AI65" s="71"/>
      <c r="AJ65" s="71"/>
      <c r="AK65" s="71"/>
      <c r="AL65" s="72">
        <v>15.4</v>
      </c>
      <c r="AM65" s="71"/>
      <c r="AN65" s="71"/>
      <c r="AO65" s="71"/>
      <c r="AP65" s="71"/>
      <c r="AQ65" s="71"/>
      <c r="AR65" s="71"/>
      <c r="AS65" s="71"/>
      <c r="AT65" s="71"/>
      <c r="AU65" s="71"/>
      <c r="AV65" s="72">
        <v>1.5</v>
      </c>
      <c r="AW65" s="71"/>
      <c r="AX65" s="71"/>
      <c r="AY65" s="71"/>
      <c r="AZ65" s="71"/>
      <c r="BA65" s="71"/>
      <c r="BB65" s="71"/>
      <c r="BC65" s="72">
        <v>1.5</v>
      </c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2">
        <v>14.7</v>
      </c>
      <c r="BR65" s="71"/>
      <c r="BS65" s="72">
        <v>23.5</v>
      </c>
      <c r="BT65" s="71"/>
      <c r="BU65" s="71"/>
      <c r="BV65" s="72">
        <v>0.1</v>
      </c>
      <c r="BW65" s="71"/>
      <c r="BX65" s="72">
        <v>29.3</v>
      </c>
      <c r="BY65" s="72">
        <v>0.5</v>
      </c>
      <c r="BZ65" s="71"/>
      <c r="CA65" s="71"/>
      <c r="CB65" s="71"/>
      <c r="CC65" s="71"/>
      <c r="CD65" s="71"/>
      <c r="CE65" s="71"/>
      <c r="CF65" s="71"/>
      <c r="CG65" s="71"/>
      <c r="CH65" s="72">
        <v>0.2</v>
      </c>
      <c r="CI65" s="71"/>
      <c r="CJ65" s="71"/>
      <c r="CK65" s="71"/>
      <c r="CL65" s="71"/>
      <c r="CM65" s="67"/>
    </row>
    <row r="66" spans="1:91" ht="19.5" customHeight="1">
      <c r="A66" s="7">
        <v>62</v>
      </c>
      <c r="B66" s="8" t="s">
        <v>202</v>
      </c>
      <c r="C66" s="61" t="s">
        <v>314</v>
      </c>
      <c r="D66" s="62">
        <v>100</v>
      </c>
      <c r="E66" s="63">
        <f>IFERROR(2.3/100*'🏭 원료 마스터'!$C$20+14/100*'🏭 원료 마스터'!$C$31+28/100*'🏭 원료 마스터'!$C$32+3/100*'🏭 원료 마스터'!$C$33+2.2/100*'🏭 원료 마스터'!$C$41+2.2/100*'🏭 원료 마스터'!$C$48+1.1/100*'🏭 원료 마스터'!$C$53+1/100*'🏭 원료 마스터'!$C$67+45/100*'🏭 원료 마스터'!$C$69+0.8/100*'🏭 원료 마스터'!$C$70+0.4/100*'🏭 원료 마스터'!$C$79,"")</f>
        <v>951.24432000000002</v>
      </c>
      <c r="F66" s="64"/>
      <c r="G66" s="64"/>
      <c r="H66" s="58"/>
      <c r="I66" s="57"/>
      <c r="J66" s="65"/>
      <c r="K66" s="65"/>
      <c r="L66" s="65"/>
      <c r="M66" s="65"/>
      <c r="N66" s="65"/>
      <c r="O66" s="65"/>
      <c r="P66" s="65"/>
      <c r="Q66" s="65"/>
      <c r="R66" s="67"/>
      <c r="S66" s="65"/>
      <c r="T66" s="65"/>
      <c r="U66" s="65"/>
      <c r="V66" s="65"/>
      <c r="W66" s="65"/>
      <c r="X66" s="65"/>
      <c r="Y66" s="65"/>
      <c r="Z66" s="65"/>
      <c r="AA66" s="66">
        <v>2.2999999999999998</v>
      </c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6">
        <v>14</v>
      </c>
      <c r="AM66" s="66">
        <v>28</v>
      </c>
      <c r="AN66" s="66">
        <v>3</v>
      </c>
      <c r="AO66" s="65"/>
      <c r="AP66" s="65"/>
      <c r="AQ66" s="65"/>
      <c r="AR66" s="65"/>
      <c r="AS66" s="65"/>
      <c r="AT66" s="65"/>
      <c r="AU66" s="65"/>
      <c r="AV66" s="66">
        <v>2.2000000000000002</v>
      </c>
      <c r="AW66" s="65"/>
      <c r="AX66" s="65"/>
      <c r="AY66" s="65"/>
      <c r="AZ66" s="65"/>
      <c r="BA66" s="65"/>
      <c r="BB66" s="65"/>
      <c r="BC66" s="66">
        <v>2.2000000000000002</v>
      </c>
      <c r="BD66" s="65"/>
      <c r="BE66" s="65"/>
      <c r="BF66" s="65"/>
      <c r="BG66" s="65"/>
      <c r="BH66" s="66">
        <v>1.1000000000000001</v>
      </c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6">
        <v>1</v>
      </c>
      <c r="BW66" s="65"/>
      <c r="BX66" s="66">
        <v>45</v>
      </c>
      <c r="BY66" s="66">
        <v>0.8</v>
      </c>
      <c r="BZ66" s="65"/>
      <c r="CA66" s="65"/>
      <c r="CB66" s="65"/>
      <c r="CC66" s="65"/>
      <c r="CD66" s="65"/>
      <c r="CE66" s="65"/>
      <c r="CF66" s="65"/>
      <c r="CG66" s="65"/>
      <c r="CH66" s="66">
        <v>0.4</v>
      </c>
      <c r="CI66" s="65"/>
      <c r="CJ66" s="65"/>
      <c r="CK66" s="65"/>
      <c r="CL66" s="65"/>
      <c r="CM66" s="67"/>
    </row>
    <row r="67" spans="1:91" ht="19.5" customHeight="1">
      <c r="A67" s="11">
        <v>63</v>
      </c>
      <c r="B67" s="12" t="s">
        <v>203</v>
      </c>
      <c r="C67" s="68" t="s">
        <v>315</v>
      </c>
      <c r="D67" s="69">
        <v>100</v>
      </c>
      <c r="E67" s="70">
        <f>IFERROR(8/100*'🏭 원료 마스터'!$C$31+33/100*'🏭 원료 마스터'!$C$32+7/100*'🏭 원료 마스터'!$C$33+3/100*'🏭 원료 마스터'!$C$41+3/100*'🏭 원료 마스터'!$C$48+15.36/100*'🏭 원료 마스터'!$C$62+0.37/100*'🏭 원료 마스터'!$C$67+29.5/100*'🏭 원료 마스터'!$C$69+0.53/100*'🏭 원료 마스터'!$C$70+0.24/100*'🏭 원료 마스터'!$C$79,"")</f>
        <v>1093.2668620000002</v>
      </c>
      <c r="F67" s="64"/>
      <c r="G67" s="64"/>
      <c r="H67" s="58"/>
      <c r="I67" s="57"/>
      <c r="J67" s="71"/>
      <c r="K67" s="71"/>
      <c r="L67" s="71"/>
      <c r="M67" s="71"/>
      <c r="N67" s="71"/>
      <c r="O67" s="71"/>
      <c r="P67" s="71"/>
      <c r="Q67" s="71"/>
      <c r="R67" s="67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2">
        <v>8</v>
      </c>
      <c r="AM67" s="72">
        <v>33</v>
      </c>
      <c r="AN67" s="72">
        <v>7</v>
      </c>
      <c r="AO67" s="71"/>
      <c r="AP67" s="71"/>
      <c r="AQ67" s="71"/>
      <c r="AR67" s="71"/>
      <c r="AS67" s="71"/>
      <c r="AT67" s="71"/>
      <c r="AU67" s="71"/>
      <c r="AV67" s="72">
        <v>3</v>
      </c>
      <c r="AW67" s="71"/>
      <c r="AX67" s="71"/>
      <c r="AY67" s="71"/>
      <c r="AZ67" s="71"/>
      <c r="BA67" s="71"/>
      <c r="BB67" s="71"/>
      <c r="BC67" s="72">
        <v>3</v>
      </c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2">
        <v>15.36</v>
      </c>
      <c r="BR67" s="71"/>
      <c r="BS67" s="71"/>
      <c r="BT67" s="71"/>
      <c r="BU67" s="71"/>
      <c r="BV67" s="72">
        <v>0.37</v>
      </c>
      <c r="BW67" s="71"/>
      <c r="BX67" s="72">
        <v>29.5</v>
      </c>
      <c r="BY67" s="72">
        <v>0.53</v>
      </c>
      <c r="BZ67" s="71"/>
      <c r="CA67" s="71"/>
      <c r="CB67" s="71"/>
      <c r="CC67" s="71"/>
      <c r="CD67" s="71"/>
      <c r="CE67" s="71"/>
      <c r="CF67" s="71"/>
      <c r="CG67" s="71"/>
      <c r="CH67" s="72">
        <v>0.24</v>
      </c>
      <c r="CI67" s="71"/>
      <c r="CJ67" s="71"/>
      <c r="CK67" s="71"/>
      <c r="CL67" s="71"/>
      <c r="CM67" s="67"/>
    </row>
    <row r="68" spans="1:91" ht="19.5" customHeight="1">
      <c r="A68" s="7">
        <v>64</v>
      </c>
      <c r="B68" s="8" t="s">
        <v>204</v>
      </c>
      <c r="C68" s="61" t="s">
        <v>316</v>
      </c>
      <c r="D68" s="62">
        <v>100</v>
      </c>
      <c r="E68" s="63">
        <f>IFERROR(3.3/100*'🏭 원료 마스터'!$C$20+3/100*'🏭 원료 마스터'!$C$33+2.2/100*'🏭 원료 마스터'!$C$41+2.2/100*'🏭 원료 마스터'!$C$48+1.1/100*'🏭 원료 마스터'!$C$53+41.6/100*'🏭 원료 마스터'!$C$65+1/100*'🏭 원료 마스터'!$C$67+44.4/100*'🏭 원료 마스터'!$C$69+0.8/100*'🏭 원료 마스터'!$C$70+0.4/100*'🏭 원료 마스터'!$C$79,"")</f>
        <v>1350.3121599999999</v>
      </c>
      <c r="F68" s="64"/>
      <c r="G68" s="64"/>
      <c r="H68" s="58"/>
      <c r="I68" s="57"/>
      <c r="J68" s="65"/>
      <c r="K68" s="65"/>
      <c r="L68" s="65"/>
      <c r="M68" s="65"/>
      <c r="N68" s="65"/>
      <c r="O68" s="65"/>
      <c r="P68" s="65"/>
      <c r="Q68" s="65"/>
      <c r="R68" s="67"/>
      <c r="S68" s="65"/>
      <c r="T68" s="65"/>
      <c r="U68" s="65"/>
      <c r="V68" s="65"/>
      <c r="W68" s="65"/>
      <c r="X68" s="65"/>
      <c r="Y68" s="65"/>
      <c r="Z68" s="65"/>
      <c r="AA68" s="66">
        <v>3.3</v>
      </c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6">
        <v>3</v>
      </c>
      <c r="AO68" s="65"/>
      <c r="AP68" s="65"/>
      <c r="AQ68" s="65"/>
      <c r="AR68" s="65"/>
      <c r="AS68" s="65"/>
      <c r="AT68" s="65"/>
      <c r="AU68" s="65"/>
      <c r="AV68" s="66">
        <v>2.2000000000000002</v>
      </c>
      <c r="AW68" s="65"/>
      <c r="AX68" s="65"/>
      <c r="AY68" s="65"/>
      <c r="AZ68" s="65"/>
      <c r="BA68" s="65"/>
      <c r="BB68" s="65"/>
      <c r="BC68" s="66">
        <v>2.2000000000000002</v>
      </c>
      <c r="BD68" s="65"/>
      <c r="BE68" s="65"/>
      <c r="BF68" s="65"/>
      <c r="BG68" s="65"/>
      <c r="BH68" s="66">
        <v>1.1000000000000001</v>
      </c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6">
        <v>41.6</v>
      </c>
      <c r="BU68" s="65"/>
      <c r="BV68" s="66">
        <v>1</v>
      </c>
      <c r="BW68" s="65"/>
      <c r="BX68" s="66">
        <v>44.4</v>
      </c>
      <c r="BY68" s="66">
        <v>0.8</v>
      </c>
      <c r="BZ68" s="65"/>
      <c r="CA68" s="65"/>
      <c r="CB68" s="65"/>
      <c r="CC68" s="65"/>
      <c r="CD68" s="65"/>
      <c r="CE68" s="65"/>
      <c r="CF68" s="65"/>
      <c r="CG68" s="65"/>
      <c r="CH68" s="66">
        <v>0.4</v>
      </c>
      <c r="CI68" s="65"/>
      <c r="CJ68" s="65"/>
      <c r="CK68" s="65"/>
      <c r="CL68" s="65"/>
      <c r="CM68" s="67"/>
    </row>
    <row r="69" spans="1:91" ht="19.5" customHeight="1">
      <c r="A69" s="11">
        <v>65</v>
      </c>
      <c r="B69" s="12" t="s">
        <v>205</v>
      </c>
      <c r="C69" s="68" t="s">
        <v>317</v>
      </c>
      <c r="D69" s="69">
        <v>100</v>
      </c>
      <c r="E69" s="70">
        <f>IFERROR(2/100*'🏭 원료 마스터'!$C$20+12.4/100*'🏭 원료 마스터'!$C$31+2.7/100*'🏭 원료 마스터'!$C$33+2/100*'🏭 원료 마스터'!$C$41+2/100*'🏭 원료 마스터'!$C$48+1/100*'🏭 원료 마스터'!$C$53+11.6/100*'🏭 원료 마스터'!$C$62+24.8/100*'🏭 원료 마스터'!$C$64+0.9/100*'🏭 원료 마스터'!$C$67+39.6/100*'🏭 원료 마스터'!$C$69+0.7/100*'🏭 원료 마스터'!$C$70+0.3/100*'🏭 원료 마스터'!$C$79,"")</f>
        <v>5200.0637799999995</v>
      </c>
      <c r="F69" s="64"/>
      <c r="G69" s="64"/>
      <c r="H69" s="58"/>
      <c r="I69" s="57"/>
      <c r="J69" s="71"/>
      <c r="K69" s="71"/>
      <c r="L69" s="71"/>
      <c r="M69" s="71"/>
      <c r="N69" s="71"/>
      <c r="O69" s="71"/>
      <c r="P69" s="71"/>
      <c r="Q69" s="71"/>
      <c r="R69" s="67"/>
      <c r="S69" s="71"/>
      <c r="T69" s="71"/>
      <c r="U69" s="71"/>
      <c r="V69" s="71"/>
      <c r="W69" s="71"/>
      <c r="X69" s="71"/>
      <c r="Y69" s="71"/>
      <c r="Z69" s="71"/>
      <c r="AA69" s="72">
        <v>2</v>
      </c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2">
        <v>12.4</v>
      </c>
      <c r="AM69" s="71"/>
      <c r="AN69" s="72">
        <v>2.7</v>
      </c>
      <c r="AO69" s="71"/>
      <c r="AP69" s="71"/>
      <c r="AQ69" s="71"/>
      <c r="AR69" s="71"/>
      <c r="AS69" s="71"/>
      <c r="AT69" s="71"/>
      <c r="AU69" s="71"/>
      <c r="AV69" s="72">
        <v>2</v>
      </c>
      <c r="AW69" s="71"/>
      <c r="AX69" s="71"/>
      <c r="AY69" s="71"/>
      <c r="AZ69" s="71"/>
      <c r="BA69" s="71"/>
      <c r="BB69" s="71"/>
      <c r="BC69" s="72">
        <v>2</v>
      </c>
      <c r="BD69" s="71"/>
      <c r="BE69" s="71"/>
      <c r="BF69" s="71"/>
      <c r="BG69" s="71"/>
      <c r="BH69" s="72">
        <v>1</v>
      </c>
      <c r="BI69" s="71"/>
      <c r="BJ69" s="71"/>
      <c r="BK69" s="71"/>
      <c r="BL69" s="71"/>
      <c r="BM69" s="71"/>
      <c r="BN69" s="71"/>
      <c r="BO69" s="71"/>
      <c r="BP69" s="71"/>
      <c r="BQ69" s="72">
        <v>11.6</v>
      </c>
      <c r="BR69" s="71"/>
      <c r="BS69" s="72">
        <v>24.8</v>
      </c>
      <c r="BT69" s="71"/>
      <c r="BU69" s="71"/>
      <c r="BV69" s="72">
        <v>0.9</v>
      </c>
      <c r="BW69" s="71"/>
      <c r="BX69" s="72">
        <v>39.6</v>
      </c>
      <c r="BY69" s="72">
        <v>0.7</v>
      </c>
      <c r="BZ69" s="71"/>
      <c r="CA69" s="71"/>
      <c r="CB69" s="71"/>
      <c r="CC69" s="71"/>
      <c r="CD69" s="71"/>
      <c r="CE69" s="71"/>
      <c r="CF69" s="71"/>
      <c r="CG69" s="71"/>
      <c r="CH69" s="72">
        <v>0.3</v>
      </c>
      <c r="CI69" s="71"/>
      <c r="CJ69" s="71"/>
      <c r="CK69" s="71"/>
      <c r="CL69" s="71"/>
      <c r="CM69" s="67"/>
    </row>
    <row r="70" spans="1:91" ht="19.5" customHeight="1">
      <c r="A70" s="7">
        <v>66</v>
      </c>
      <c r="B70" s="8" t="s">
        <v>206</v>
      </c>
      <c r="C70" s="61" t="s">
        <v>318</v>
      </c>
      <c r="D70" s="62">
        <v>100</v>
      </c>
      <c r="E70" s="63">
        <f>IFERROR(4.77/100*'🏭 원료 마스터'!$C$41+4.77/100*'🏭 원료 마스터'!$C$48+40.61/100*'🏭 원료 마스터'!$C$62+0.97/100*'🏭 원료 마스터'!$C$67+47.62/100*'🏭 원료 마스터'!$C$69+0.86/100*'🏭 원료 마스터'!$C$70+0.4/100*'🏭 원료 마스터'!$C$79,"")</f>
        <v>53.072643999999997</v>
      </c>
      <c r="F70" s="64"/>
      <c r="G70" s="64"/>
      <c r="H70" s="58"/>
      <c r="I70" s="57"/>
      <c r="J70" s="65"/>
      <c r="K70" s="65"/>
      <c r="L70" s="65"/>
      <c r="M70" s="65"/>
      <c r="N70" s="65"/>
      <c r="O70" s="65"/>
      <c r="P70" s="65"/>
      <c r="Q70" s="65"/>
      <c r="R70" s="67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6">
        <v>4.7699999999999996</v>
      </c>
      <c r="AW70" s="65"/>
      <c r="AX70" s="65"/>
      <c r="AY70" s="65"/>
      <c r="AZ70" s="65"/>
      <c r="BA70" s="65"/>
      <c r="BB70" s="65"/>
      <c r="BC70" s="66">
        <v>4.7699999999999996</v>
      </c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6">
        <v>40.61</v>
      </c>
      <c r="BR70" s="65"/>
      <c r="BS70" s="65"/>
      <c r="BT70" s="65"/>
      <c r="BU70" s="65"/>
      <c r="BV70" s="66">
        <v>0.97</v>
      </c>
      <c r="BW70" s="65"/>
      <c r="BX70" s="66">
        <v>47.62</v>
      </c>
      <c r="BY70" s="66">
        <v>0.86</v>
      </c>
      <c r="BZ70" s="65"/>
      <c r="CA70" s="65"/>
      <c r="CB70" s="65"/>
      <c r="CC70" s="65"/>
      <c r="CD70" s="65"/>
      <c r="CE70" s="65"/>
      <c r="CF70" s="65"/>
      <c r="CG70" s="65"/>
      <c r="CH70" s="66">
        <v>0.4</v>
      </c>
      <c r="CI70" s="65"/>
      <c r="CJ70" s="65"/>
      <c r="CK70" s="65"/>
      <c r="CL70" s="65"/>
      <c r="CM70" s="67"/>
    </row>
    <row r="71" spans="1:91" ht="19.5" customHeight="1">
      <c r="A71" s="11">
        <v>67</v>
      </c>
      <c r="B71" s="12" t="s">
        <v>207</v>
      </c>
      <c r="C71" s="68" t="s">
        <v>319</v>
      </c>
      <c r="D71" s="69">
        <v>100</v>
      </c>
      <c r="E71" s="70">
        <f>IFERROR(3/100*'🏭 원료 마스터'!$C$33+4.7/100*'🏭 원료 마스터'!$C$41+4.7/100*'🏭 원료 마스터'!$C$48+37.9/100*'🏭 원료 마스터'!$C$62+0.9/100*'🏭 원료 마스터'!$C$67+47.5/100*'🏭 원료 마스터'!$C$69+0.9/100*'🏭 원료 마스터'!$C$70+0.4/100*'🏭 원료 마스터'!$C$79,"")</f>
        <v>54.424860000000002</v>
      </c>
      <c r="F71" s="64"/>
      <c r="G71" s="64"/>
      <c r="H71" s="58"/>
      <c r="I71" s="57"/>
      <c r="J71" s="71"/>
      <c r="K71" s="71"/>
      <c r="L71" s="71"/>
      <c r="M71" s="71"/>
      <c r="N71" s="71"/>
      <c r="O71" s="71"/>
      <c r="P71" s="71"/>
      <c r="Q71" s="71"/>
      <c r="R71" s="67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2">
        <v>3</v>
      </c>
      <c r="AO71" s="71"/>
      <c r="AP71" s="71"/>
      <c r="AQ71" s="71"/>
      <c r="AR71" s="71"/>
      <c r="AS71" s="71"/>
      <c r="AT71" s="71"/>
      <c r="AU71" s="71"/>
      <c r="AV71" s="72">
        <v>4.7</v>
      </c>
      <c r="AW71" s="71"/>
      <c r="AX71" s="71"/>
      <c r="AY71" s="71"/>
      <c r="AZ71" s="71"/>
      <c r="BA71" s="71"/>
      <c r="BB71" s="71"/>
      <c r="BC71" s="72">
        <v>4.7</v>
      </c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2">
        <v>37.9</v>
      </c>
      <c r="BR71" s="71"/>
      <c r="BS71" s="71"/>
      <c r="BT71" s="71"/>
      <c r="BU71" s="71"/>
      <c r="BV71" s="72">
        <v>0.9</v>
      </c>
      <c r="BW71" s="71"/>
      <c r="BX71" s="72">
        <v>47.5</v>
      </c>
      <c r="BY71" s="72">
        <v>0.9</v>
      </c>
      <c r="BZ71" s="71"/>
      <c r="CA71" s="71"/>
      <c r="CB71" s="71"/>
      <c r="CC71" s="71"/>
      <c r="CD71" s="71"/>
      <c r="CE71" s="71"/>
      <c r="CF71" s="71"/>
      <c r="CG71" s="71"/>
      <c r="CH71" s="72">
        <v>0.4</v>
      </c>
      <c r="CI71" s="71"/>
      <c r="CJ71" s="71"/>
      <c r="CK71" s="71"/>
      <c r="CL71" s="71"/>
      <c r="CM71" s="67"/>
    </row>
    <row r="72" spans="1:91" ht="19.5" customHeight="1">
      <c r="A72" s="7">
        <v>68</v>
      </c>
      <c r="B72" s="8" t="s">
        <v>208</v>
      </c>
      <c r="C72" s="61" t="s">
        <v>320</v>
      </c>
      <c r="D72" s="62">
        <v>100</v>
      </c>
      <c r="E72" s="63">
        <f>IFERROR(1.1/100*'🏭 원료 마스터'!$C$16+8.4/100*'🏭 원료 마스터'!$C$48+13.7/100*'🏭 원료 마스터'!$C$62+0.8/100*'🏭 원료 마스터'!$C$70+76/100*'🏭 원료 마스터'!$C$75,"")</f>
        <v>2307.04432</v>
      </c>
      <c r="F72" s="64"/>
      <c r="G72" s="64"/>
      <c r="H72" s="58"/>
      <c r="I72" s="57"/>
      <c r="J72" s="65"/>
      <c r="K72" s="65"/>
      <c r="L72" s="65"/>
      <c r="M72" s="65"/>
      <c r="N72" s="65"/>
      <c r="O72" s="65"/>
      <c r="P72" s="65"/>
      <c r="Q72" s="65"/>
      <c r="R72" s="67"/>
      <c r="S72" s="65"/>
      <c r="T72" s="65"/>
      <c r="U72" s="65"/>
      <c r="V72" s="65"/>
      <c r="W72" s="66">
        <v>1.1000000000000001</v>
      </c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6">
        <v>8.4</v>
      </c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6">
        <v>13.7</v>
      </c>
      <c r="BR72" s="65"/>
      <c r="BS72" s="65"/>
      <c r="BT72" s="65"/>
      <c r="BU72" s="65"/>
      <c r="BV72" s="65"/>
      <c r="BW72" s="65"/>
      <c r="BX72" s="65"/>
      <c r="BY72" s="66">
        <v>0.8</v>
      </c>
      <c r="BZ72" s="65"/>
      <c r="CA72" s="65"/>
      <c r="CB72" s="65"/>
      <c r="CC72" s="65"/>
      <c r="CD72" s="66">
        <v>76</v>
      </c>
      <c r="CE72" s="65"/>
      <c r="CF72" s="65"/>
      <c r="CG72" s="65"/>
      <c r="CH72" s="65"/>
      <c r="CI72" s="65"/>
      <c r="CJ72" s="65"/>
      <c r="CK72" s="65"/>
      <c r="CL72" s="65"/>
      <c r="CM72" s="67"/>
    </row>
    <row r="73" spans="1:91" ht="19.5" customHeight="1">
      <c r="A73" s="11">
        <v>69</v>
      </c>
      <c r="B73" s="12" t="s">
        <v>209</v>
      </c>
      <c r="C73" s="68" t="s">
        <v>321</v>
      </c>
      <c r="D73" s="69">
        <v>100</v>
      </c>
      <c r="E73" s="70">
        <f>IFERROR(2.7/100*'🏭 원료 마스터'!$C$42+2.7/100*'🏭 원료 마스터'!$C$49+33.66/100*'🏭 원료 마스터'!$C$66+1.2/100*'🏭 원료 마스터'!$C$68+54.5/100*'🏭 원료 마스터'!$C$70+1/100*'🏭 원료 마스터'!$C$71+3.74/100*'🏭 원료 마스터'!$C$78+0.5/100*'🏭 원료 마스터'!$C$80,"")</f>
        <v>3364.7505839999999</v>
      </c>
      <c r="F73" s="64"/>
      <c r="G73" s="64"/>
      <c r="H73" s="58"/>
      <c r="I73" s="57"/>
      <c r="J73" s="71"/>
      <c r="K73" s="71"/>
      <c r="L73" s="71"/>
      <c r="M73" s="71"/>
      <c r="N73" s="71"/>
      <c r="O73" s="71"/>
      <c r="P73" s="71"/>
      <c r="Q73" s="71"/>
      <c r="R73" s="67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2">
        <v>2.7</v>
      </c>
      <c r="AW73" s="71"/>
      <c r="AX73" s="71"/>
      <c r="AY73" s="71"/>
      <c r="AZ73" s="71"/>
      <c r="BA73" s="71"/>
      <c r="BB73" s="71"/>
      <c r="BC73" s="72">
        <v>2.7</v>
      </c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2">
        <v>33.659999999999997</v>
      </c>
      <c r="BU73" s="71"/>
      <c r="BV73" s="72">
        <v>1.2</v>
      </c>
      <c r="BW73" s="71"/>
      <c r="BX73" s="72">
        <v>54.5</v>
      </c>
      <c r="BY73" s="72">
        <v>1</v>
      </c>
      <c r="BZ73" s="71"/>
      <c r="CA73" s="71"/>
      <c r="CB73" s="71"/>
      <c r="CC73" s="71"/>
      <c r="CD73" s="71"/>
      <c r="CE73" s="71"/>
      <c r="CF73" s="76">
        <v>3.74</v>
      </c>
      <c r="CG73" s="71"/>
      <c r="CH73" s="72">
        <v>0.5</v>
      </c>
      <c r="CI73" s="71"/>
      <c r="CJ73" s="71"/>
      <c r="CK73" s="71"/>
      <c r="CL73" s="71"/>
      <c r="CM73" s="67"/>
    </row>
    <row r="74" spans="1:91" ht="19.5" customHeight="1">
      <c r="A74" s="7">
        <v>70</v>
      </c>
      <c r="B74" s="8" t="s">
        <v>210</v>
      </c>
      <c r="C74" s="61" t="s">
        <v>322</v>
      </c>
      <c r="D74" s="62">
        <v>100</v>
      </c>
      <c r="E74" s="63">
        <f>IFERROR(2.9/100*'🏭 원료 마스터'!$C$20+1.9/100*'🏭 원료 마스터'!$C$41+1.9/100*'🏭 원료 마스터'!$C$48+1/100*'🏭 원료 마스터'!$C$53+12/100*'🏭 원료 마스터'!$C$62+36.3/100*'🏭 원료 마스터'!$C$65+0.7/100*'🏭 원료 마스터'!$C$67+38.7/100*'🏭 원료 마스터'!$C$69+0.7/100*'🏭 원료 마스터'!$C$70+3.6/100*'🏭 원료 마스터'!$C$77+0.3/100*'🏭 원료 마스터'!$C$79,"")</f>
        <v>1175.3998999999999</v>
      </c>
      <c r="F74" s="64"/>
      <c r="G74" s="64"/>
      <c r="H74" s="58"/>
      <c r="I74" s="57"/>
      <c r="J74" s="65"/>
      <c r="K74" s="65"/>
      <c r="L74" s="65"/>
      <c r="M74" s="65"/>
      <c r="N74" s="65"/>
      <c r="O74" s="65"/>
      <c r="P74" s="65"/>
      <c r="Q74" s="65"/>
      <c r="R74" s="67"/>
      <c r="S74" s="65"/>
      <c r="T74" s="65"/>
      <c r="U74" s="65"/>
      <c r="V74" s="65"/>
      <c r="W74" s="65"/>
      <c r="X74" s="65"/>
      <c r="Y74" s="65"/>
      <c r="Z74" s="65"/>
      <c r="AA74" s="66">
        <v>2.9</v>
      </c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6">
        <v>1.9</v>
      </c>
      <c r="AW74" s="65"/>
      <c r="AX74" s="65"/>
      <c r="AY74" s="65"/>
      <c r="AZ74" s="65"/>
      <c r="BA74" s="65"/>
      <c r="BB74" s="65"/>
      <c r="BC74" s="66">
        <v>1.9</v>
      </c>
      <c r="BD74" s="65"/>
      <c r="BE74" s="65"/>
      <c r="BF74" s="65"/>
      <c r="BG74" s="65"/>
      <c r="BH74" s="66">
        <v>1</v>
      </c>
      <c r="BI74" s="65"/>
      <c r="BJ74" s="65"/>
      <c r="BK74" s="65"/>
      <c r="BL74" s="65"/>
      <c r="BM74" s="65"/>
      <c r="BN74" s="65"/>
      <c r="BO74" s="65"/>
      <c r="BP74" s="65"/>
      <c r="BQ74" s="66">
        <v>12</v>
      </c>
      <c r="BR74" s="65"/>
      <c r="BS74" s="65"/>
      <c r="BT74" s="66">
        <v>36.299999999999997</v>
      </c>
      <c r="BU74" s="65"/>
      <c r="BV74" s="66">
        <v>0.7</v>
      </c>
      <c r="BW74" s="65"/>
      <c r="BX74" s="66">
        <v>38.700000000000003</v>
      </c>
      <c r="BY74" s="66">
        <v>0.7</v>
      </c>
      <c r="BZ74" s="65"/>
      <c r="CA74" s="65"/>
      <c r="CB74" s="65"/>
      <c r="CC74" s="65"/>
      <c r="CD74" s="65"/>
      <c r="CE74" s="65"/>
      <c r="CF74" s="66">
        <v>3.6</v>
      </c>
      <c r="CG74" s="65"/>
      <c r="CH74" s="66">
        <v>0.3</v>
      </c>
      <c r="CI74" s="65"/>
      <c r="CJ74" s="65"/>
      <c r="CK74" s="65"/>
      <c r="CL74" s="65"/>
      <c r="CM74" s="67"/>
    </row>
    <row r="75" spans="1:91" ht="19.5" customHeight="1">
      <c r="A75" s="11">
        <v>71</v>
      </c>
      <c r="B75" s="12" t="s">
        <v>211</v>
      </c>
      <c r="C75" s="68" t="s">
        <v>323</v>
      </c>
      <c r="D75" s="69">
        <v>100</v>
      </c>
      <c r="E75" s="70">
        <f>IFERROR(1.7/100*'🏭 원료 마스터'!$C$24+0.1/100*'🏭 원료 마스터'!$C$25+2/100*'🏭 원료 마스터'!$C$41+2/100*'🏭 원료 마스터'!$C$48+12.8/100*'🏭 원료 마스터'!$C$62+36.8/100*'🏭 원료 마스터'!$C$65+0.7/100*'🏭 원료 마스터'!$C$67+39.2/100*'🏭 원료 마스터'!$C$69+0.7/100*'🏭 원료 마스터'!$C$70+3.7/100*'🏭 원료 마스터'!$C$77+0.3/100*'🏭 원료 마스터'!$C$79,"")</f>
        <v>1597.3161</v>
      </c>
      <c r="F75" s="64"/>
      <c r="G75" s="64"/>
      <c r="H75" s="58"/>
      <c r="I75" s="57"/>
      <c r="J75" s="71"/>
      <c r="K75" s="71"/>
      <c r="L75" s="71"/>
      <c r="M75" s="71"/>
      <c r="N75" s="71"/>
      <c r="O75" s="71"/>
      <c r="P75" s="71"/>
      <c r="Q75" s="71"/>
      <c r="R75" s="67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2">
        <v>1.7</v>
      </c>
      <c r="AF75" s="72">
        <v>0.1</v>
      </c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2">
        <v>2</v>
      </c>
      <c r="AW75" s="71"/>
      <c r="AX75" s="71"/>
      <c r="AY75" s="71"/>
      <c r="AZ75" s="71"/>
      <c r="BA75" s="71"/>
      <c r="BB75" s="71"/>
      <c r="BC75" s="72">
        <v>2</v>
      </c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2">
        <v>12.8</v>
      </c>
      <c r="BR75" s="71"/>
      <c r="BS75" s="71"/>
      <c r="BT75" s="72">
        <v>36.799999999999997</v>
      </c>
      <c r="BU75" s="71"/>
      <c r="BV75" s="72">
        <v>0.7</v>
      </c>
      <c r="BW75" s="71"/>
      <c r="BX75" s="72">
        <v>39.200000000000003</v>
      </c>
      <c r="BY75" s="72">
        <v>0.7</v>
      </c>
      <c r="BZ75" s="71"/>
      <c r="CA75" s="71"/>
      <c r="CB75" s="71"/>
      <c r="CC75" s="71"/>
      <c r="CD75" s="71"/>
      <c r="CE75" s="71"/>
      <c r="CF75" s="72">
        <v>3.7</v>
      </c>
      <c r="CG75" s="71"/>
      <c r="CH75" s="72">
        <v>0.3</v>
      </c>
      <c r="CI75" s="71"/>
      <c r="CJ75" s="71"/>
      <c r="CK75" s="71"/>
      <c r="CL75" s="71"/>
      <c r="CM75" s="67"/>
    </row>
    <row r="76" spans="1:91" ht="19.5" customHeight="1">
      <c r="A76" s="7">
        <v>72</v>
      </c>
      <c r="B76" s="8" t="s">
        <v>212</v>
      </c>
      <c r="C76" s="61" t="s">
        <v>324</v>
      </c>
      <c r="D76" s="62">
        <v>100</v>
      </c>
      <c r="E76" s="63">
        <f>IFERROR(7.6/100*'🏭 원료 마스터'!$C$19+1.5/100*'🏭 원료 마스터'!$C$24+60.7/100*'🏭 원료 마스터'!$C$39+1.9/100*'🏭 원료 마스터'!$C$45+7.6/100*'🏭 원료 마스터'!$C$47+7.6/100*'🏭 원료 마스터'!$C$48+12.1/100*'🏭 원료 마스터'!$C$62+1/100*'🏭 원료 마스터'!$C$70,"")</f>
        <v>16923.59144</v>
      </c>
      <c r="F76" s="64"/>
      <c r="G76" s="64"/>
      <c r="H76" s="58"/>
      <c r="I76" s="57"/>
      <c r="J76" s="65"/>
      <c r="K76" s="65"/>
      <c r="L76" s="65"/>
      <c r="M76" s="65"/>
      <c r="N76" s="65"/>
      <c r="O76" s="65"/>
      <c r="P76" s="65"/>
      <c r="Q76" s="65"/>
      <c r="R76" s="67"/>
      <c r="S76" s="65"/>
      <c r="T76" s="65"/>
      <c r="U76" s="65"/>
      <c r="V76" s="65"/>
      <c r="W76" s="65"/>
      <c r="X76" s="65"/>
      <c r="Y76" s="65"/>
      <c r="Z76" s="66">
        <v>7.6</v>
      </c>
      <c r="AA76" s="65"/>
      <c r="AB76" s="65"/>
      <c r="AC76" s="65"/>
      <c r="AD76" s="65"/>
      <c r="AE76" s="66">
        <v>1.5</v>
      </c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6">
        <v>60.7</v>
      </c>
      <c r="AU76" s="65"/>
      <c r="AV76" s="65"/>
      <c r="AW76" s="65"/>
      <c r="AX76" s="65"/>
      <c r="AY76" s="65"/>
      <c r="AZ76" s="66">
        <v>1.9</v>
      </c>
      <c r="BA76" s="65"/>
      <c r="BB76" s="66">
        <v>7.6</v>
      </c>
      <c r="BC76" s="66">
        <v>7.6</v>
      </c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6">
        <v>12.1</v>
      </c>
      <c r="BR76" s="65"/>
      <c r="BS76" s="65"/>
      <c r="BT76" s="65"/>
      <c r="BU76" s="65"/>
      <c r="BV76" s="65"/>
      <c r="BW76" s="65"/>
      <c r="BX76" s="65"/>
      <c r="BY76" s="66">
        <v>1</v>
      </c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7"/>
    </row>
    <row r="77" spans="1:91" ht="19.5" customHeight="1">
      <c r="A77" s="11">
        <v>73</v>
      </c>
      <c r="B77" s="12" t="s">
        <v>213</v>
      </c>
      <c r="C77" s="68" t="s">
        <v>325</v>
      </c>
      <c r="D77" s="69">
        <v>100</v>
      </c>
      <c r="E77" s="70">
        <f>IFERROR(3.3/100*'🏭 원료 마스터'!$C$8+2/100*'🏭 원료 마스터'!$C$19+2/100*'🏭 원료 마스터'!$C$24+30/100*'🏭 원료 마스터'!$C$34+4.7/100*'🏭 원료 마스터'!$C$48+1.2/100*'🏭 원료 마스터'!$C$62+56/100*'🏭 원료 마스터'!$C$69+0.8/100*'🏭 원료 마스터'!$C$70,"")</f>
        <v>2758.50632</v>
      </c>
      <c r="F77" s="64"/>
      <c r="G77" s="64"/>
      <c r="H77" s="58"/>
      <c r="I77" s="57"/>
      <c r="J77" s="71"/>
      <c r="K77" s="71"/>
      <c r="L77" s="71"/>
      <c r="M77" s="71"/>
      <c r="N77" s="72">
        <v>3.3</v>
      </c>
      <c r="O77" s="71"/>
      <c r="P77" s="71"/>
      <c r="Q77" s="71"/>
      <c r="R77" s="67"/>
      <c r="S77" s="71"/>
      <c r="T77" s="71"/>
      <c r="U77" s="71"/>
      <c r="V77" s="71"/>
      <c r="W77" s="71"/>
      <c r="X77" s="71"/>
      <c r="Y77" s="71"/>
      <c r="Z77" s="72">
        <v>2</v>
      </c>
      <c r="AA77" s="71"/>
      <c r="AB77" s="71"/>
      <c r="AC77" s="71"/>
      <c r="AD77" s="71"/>
      <c r="AE77" s="72">
        <v>2</v>
      </c>
      <c r="AF77" s="71"/>
      <c r="AG77" s="71"/>
      <c r="AH77" s="71"/>
      <c r="AI77" s="71"/>
      <c r="AJ77" s="71"/>
      <c r="AK77" s="71"/>
      <c r="AL77" s="71"/>
      <c r="AM77" s="71"/>
      <c r="AN77" s="71"/>
      <c r="AO77" s="72">
        <v>30</v>
      </c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2">
        <v>4.7</v>
      </c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2">
        <v>1.2</v>
      </c>
      <c r="BR77" s="71"/>
      <c r="BS77" s="71"/>
      <c r="BT77" s="71"/>
      <c r="BU77" s="71"/>
      <c r="BV77" s="71"/>
      <c r="BW77" s="71"/>
      <c r="BX77" s="72">
        <v>56</v>
      </c>
      <c r="BY77" s="72">
        <v>0.8</v>
      </c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67"/>
    </row>
    <row r="78" spans="1:91" ht="19.5" customHeight="1">
      <c r="A78" s="7">
        <v>74</v>
      </c>
      <c r="B78" s="8" t="s">
        <v>214</v>
      </c>
      <c r="C78" s="61" t="s">
        <v>326</v>
      </c>
      <c r="D78" s="62">
        <v>100</v>
      </c>
      <c r="E78" s="63">
        <f>IFERROR(3.3/100*'🏭 원료 마스터'!$C$8+2/100*'🏭 원료 마스터'!$C$24+30/100*'🏭 원료 마스터'!$C$34+4.7/100*'🏭 원료 마스터'!$C$48+1.2/100*'🏭 원료 마스터'!$C$62+56/100*'🏭 원료 마스터'!$C$69+0.8/100*'🏭 원료 마스터'!$C$70+2/100*'🏭 원료 마스터'!$C$83,"")</f>
        <v>2500.50632</v>
      </c>
      <c r="F78" s="64"/>
      <c r="G78" s="64"/>
      <c r="H78" s="58"/>
      <c r="I78" s="57"/>
      <c r="J78" s="65"/>
      <c r="K78" s="65"/>
      <c r="L78" s="65"/>
      <c r="M78" s="65"/>
      <c r="N78" s="66">
        <v>3.3</v>
      </c>
      <c r="O78" s="65"/>
      <c r="P78" s="65"/>
      <c r="Q78" s="65"/>
      <c r="R78" s="67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6">
        <v>2</v>
      </c>
      <c r="AF78" s="65"/>
      <c r="AG78" s="65"/>
      <c r="AH78" s="65"/>
      <c r="AI78" s="65"/>
      <c r="AJ78" s="65"/>
      <c r="AK78" s="65"/>
      <c r="AL78" s="65"/>
      <c r="AM78" s="65"/>
      <c r="AN78" s="65"/>
      <c r="AO78" s="66">
        <v>30</v>
      </c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6">
        <v>4.7</v>
      </c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6">
        <v>1.2</v>
      </c>
      <c r="BR78" s="65"/>
      <c r="BS78" s="65"/>
      <c r="BT78" s="65"/>
      <c r="BU78" s="65"/>
      <c r="BV78" s="65"/>
      <c r="BW78" s="65"/>
      <c r="BX78" s="66">
        <v>56</v>
      </c>
      <c r="BY78" s="66">
        <v>0.8</v>
      </c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6">
        <v>2</v>
      </c>
      <c r="CM78" s="67"/>
    </row>
    <row r="79" spans="1:91" ht="19.5" customHeight="1">
      <c r="A79" s="11">
        <v>75</v>
      </c>
      <c r="B79" s="12" t="s">
        <v>215</v>
      </c>
      <c r="C79" s="68" t="s">
        <v>327</v>
      </c>
      <c r="D79" s="69">
        <v>100</v>
      </c>
      <c r="E79" s="70">
        <f>IFERROR(1.7/100*'🏭 원료 마스터'!$C$24+67.1/100*'🏭 원료 마스터'!$C$39+8.4/100*'🏭 원료 마스터'!$C$47+8.4/100*'🏭 원료 마스터'!$C$48+13.4/100*'🏭 원료 마스터'!$C$62+1/100*'🏭 원료 마스터'!$C$70,"")</f>
        <v>17527.605760000002</v>
      </c>
      <c r="F79" s="64"/>
      <c r="G79" s="64"/>
      <c r="H79" s="58"/>
      <c r="I79" s="57"/>
      <c r="J79" s="71"/>
      <c r="K79" s="71"/>
      <c r="L79" s="71"/>
      <c r="M79" s="71"/>
      <c r="N79" s="71"/>
      <c r="O79" s="71"/>
      <c r="P79" s="71"/>
      <c r="Q79" s="71"/>
      <c r="R79" s="67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2">
        <v>1.7</v>
      </c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2">
        <v>67.099999999999994</v>
      </c>
      <c r="AU79" s="71"/>
      <c r="AV79" s="71"/>
      <c r="AW79" s="71"/>
      <c r="AX79" s="71"/>
      <c r="AY79" s="71"/>
      <c r="AZ79" s="71"/>
      <c r="BA79" s="71"/>
      <c r="BB79" s="72">
        <v>8.4</v>
      </c>
      <c r="BC79" s="72">
        <v>8.4</v>
      </c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2">
        <v>13.4</v>
      </c>
      <c r="BR79" s="71"/>
      <c r="BS79" s="71"/>
      <c r="BT79" s="71"/>
      <c r="BU79" s="71"/>
      <c r="BV79" s="71"/>
      <c r="BW79" s="71"/>
      <c r="BX79" s="71"/>
      <c r="BY79" s="72">
        <v>1</v>
      </c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67"/>
    </row>
    <row r="80" spans="1:91" ht="19.5" customHeight="1">
      <c r="A80" s="7">
        <v>76</v>
      </c>
      <c r="B80" s="8" t="s">
        <v>216</v>
      </c>
      <c r="C80" s="61" t="s">
        <v>328</v>
      </c>
      <c r="D80" s="62">
        <v>100</v>
      </c>
      <c r="E80" s="63">
        <f>IFERROR(1.3/100*'🏭 원료 마스터'!$C$24+0.2/100*'🏭 원료 마스터'!$C$33+63.4/100*'🏭 원료 마스터'!$C$39+4.8/100*'🏭 원료 마스터'!$C$48+21.8/100*'🏭 원료 마스터'!$C$62+6.3/100*'🏭 원료 마스터'!$C$68+0.9/100*'🏭 원료 마스터'!$C$70+1.3/100*'🏭 원료 마스터'!$C$73,"")</f>
        <v>15930.767529999999</v>
      </c>
      <c r="F80" s="64"/>
      <c r="G80" s="64"/>
      <c r="H80" s="58"/>
      <c r="I80" s="57"/>
      <c r="J80" s="65"/>
      <c r="K80" s="65"/>
      <c r="L80" s="65"/>
      <c r="M80" s="65"/>
      <c r="N80" s="65"/>
      <c r="O80" s="65"/>
      <c r="P80" s="65"/>
      <c r="Q80" s="65"/>
      <c r="R80" s="67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6">
        <v>1.3</v>
      </c>
      <c r="AF80" s="65"/>
      <c r="AG80" s="65"/>
      <c r="AH80" s="65"/>
      <c r="AI80" s="65"/>
      <c r="AJ80" s="65"/>
      <c r="AK80" s="65"/>
      <c r="AL80" s="65"/>
      <c r="AM80" s="65"/>
      <c r="AN80" s="66">
        <v>0.2</v>
      </c>
      <c r="AO80" s="65"/>
      <c r="AP80" s="65"/>
      <c r="AQ80" s="65"/>
      <c r="AR80" s="65"/>
      <c r="AS80" s="65"/>
      <c r="AT80" s="66">
        <v>63.4</v>
      </c>
      <c r="AU80" s="65"/>
      <c r="AV80" s="65"/>
      <c r="AW80" s="65"/>
      <c r="AX80" s="65"/>
      <c r="AY80" s="65"/>
      <c r="AZ80" s="65"/>
      <c r="BA80" s="65"/>
      <c r="BB80" s="65"/>
      <c r="BC80" s="66">
        <v>4.8</v>
      </c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6">
        <v>21.8</v>
      </c>
      <c r="BR80" s="65"/>
      <c r="BS80" s="65"/>
      <c r="BT80" s="65"/>
      <c r="BU80" s="65"/>
      <c r="BV80" s="65"/>
      <c r="BW80" s="66">
        <v>6.3</v>
      </c>
      <c r="BX80" s="65"/>
      <c r="BY80" s="66">
        <v>0.9</v>
      </c>
      <c r="BZ80" s="65"/>
      <c r="CA80" s="65"/>
      <c r="CB80" s="66">
        <v>1.3</v>
      </c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7"/>
    </row>
    <row r="81" spans="1:91" ht="19.5" customHeight="1">
      <c r="A81" s="11">
        <v>77</v>
      </c>
      <c r="B81" s="12" t="s">
        <v>217</v>
      </c>
      <c r="C81" s="68" t="s">
        <v>329</v>
      </c>
      <c r="D81" s="69">
        <v>100</v>
      </c>
      <c r="E81" s="70">
        <f>IFERROR(2.6/100*'🏭 원료 마스터'!$C$8+3.1/100*'🏭 원료 마스터'!$C$24+0.2/100*'🏭 원료 마스터'!$C$25+3.7/100*'🏭 원료 마스터'!$C$33+7.4/100*'🏭 원료 마스터'!$C$41+3.7/100*'🏭 원료 마스터'!$C$48+1.7/100*'🏭 원료 마스터'!$C$67+73.9/100*'🏭 원료 마스터'!$C$69+1.3/100*'🏭 원료 마스터'!$C$70+1.8/100*'🏭 원료 마스터'!$C$78+0.6/100*'🏭 원료 마스터'!$C$79,"")</f>
        <v>1045.6817799999999</v>
      </c>
      <c r="F81" s="64"/>
      <c r="G81" s="64"/>
      <c r="H81" s="58"/>
      <c r="I81" s="57"/>
      <c r="J81" s="71"/>
      <c r="K81" s="71"/>
      <c r="L81" s="71"/>
      <c r="M81" s="71"/>
      <c r="N81" s="72">
        <v>2.6</v>
      </c>
      <c r="O81" s="71"/>
      <c r="P81" s="71"/>
      <c r="Q81" s="71"/>
      <c r="R81" s="67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2">
        <v>3.1</v>
      </c>
      <c r="AF81" s="72">
        <v>0.2</v>
      </c>
      <c r="AG81" s="71"/>
      <c r="AH81" s="71"/>
      <c r="AI81" s="71"/>
      <c r="AJ81" s="71"/>
      <c r="AK81" s="71"/>
      <c r="AL81" s="71"/>
      <c r="AM81" s="71"/>
      <c r="AN81" s="72">
        <v>3.7</v>
      </c>
      <c r="AO81" s="71"/>
      <c r="AP81" s="71"/>
      <c r="AQ81" s="71"/>
      <c r="AR81" s="71"/>
      <c r="AS81" s="71"/>
      <c r="AT81" s="71"/>
      <c r="AU81" s="71"/>
      <c r="AV81" s="72">
        <v>7.4</v>
      </c>
      <c r="AW81" s="71"/>
      <c r="AX81" s="71"/>
      <c r="AY81" s="71"/>
      <c r="AZ81" s="71"/>
      <c r="BA81" s="71"/>
      <c r="BB81" s="71"/>
      <c r="BC81" s="72">
        <v>3.7</v>
      </c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2">
        <v>1.7</v>
      </c>
      <c r="BW81" s="71"/>
      <c r="BX81" s="72">
        <v>73.900000000000006</v>
      </c>
      <c r="BY81" s="72">
        <v>1.3</v>
      </c>
      <c r="BZ81" s="71"/>
      <c r="CA81" s="71"/>
      <c r="CB81" s="71"/>
      <c r="CC81" s="71"/>
      <c r="CD81" s="71"/>
      <c r="CE81" s="71"/>
      <c r="CF81" s="71"/>
      <c r="CG81" s="72">
        <v>1.8</v>
      </c>
      <c r="CH81" s="72">
        <v>0.6</v>
      </c>
      <c r="CI81" s="71"/>
      <c r="CJ81" s="71"/>
      <c r="CK81" s="71"/>
      <c r="CL81" s="71"/>
      <c r="CM81" s="67"/>
    </row>
    <row r="82" spans="1:91" ht="19.5" customHeight="1">
      <c r="A82" s="7">
        <v>78</v>
      </c>
      <c r="B82" s="8" t="s">
        <v>218</v>
      </c>
      <c r="C82" s="61" t="s">
        <v>330</v>
      </c>
      <c r="D82" s="62">
        <v>100</v>
      </c>
      <c r="E82" s="63">
        <f>IFERROR(0.2/100*'🏭 원료 마스터'!$C$33+53.1/100*'🏭 원료 마스터'!$C$39+5/100*'🏭 원료 마스터'!$C$48+19.6/100*'🏭 원료 마스터'!$C$62+6.6/100*'🏭 원료 마스터'!$C$68+0.9/100*'🏭 원료 마스터'!$C$70+1.3/100*'🏭 원료 마스터'!$C$73+13.3/100*'🏭 원료 마스터'!$C$82,"")</f>
        <v>14370.364419999998</v>
      </c>
      <c r="F82" s="64"/>
      <c r="G82" s="64"/>
      <c r="H82" s="58"/>
      <c r="I82" s="57"/>
      <c r="J82" s="65"/>
      <c r="K82" s="65"/>
      <c r="L82" s="65"/>
      <c r="M82" s="65"/>
      <c r="N82" s="65"/>
      <c r="O82" s="65"/>
      <c r="P82" s="65"/>
      <c r="Q82" s="65"/>
      <c r="R82" s="67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6">
        <v>0.2</v>
      </c>
      <c r="AO82" s="65"/>
      <c r="AP82" s="65"/>
      <c r="AQ82" s="65"/>
      <c r="AR82" s="65"/>
      <c r="AS82" s="65"/>
      <c r="AT82" s="66">
        <v>53.1</v>
      </c>
      <c r="AU82" s="65"/>
      <c r="AV82" s="65"/>
      <c r="AW82" s="65"/>
      <c r="AX82" s="65"/>
      <c r="AY82" s="65"/>
      <c r="AZ82" s="65"/>
      <c r="BA82" s="65"/>
      <c r="BB82" s="65"/>
      <c r="BC82" s="66">
        <v>5</v>
      </c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6">
        <v>19.600000000000001</v>
      </c>
      <c r="BR82" s="65"/>
      <c r="BS82" s="65"/>
      <c r="BT82" s="65"/>
      <c r="BU82" s="65"/>
      <c r="BV82" s="65"/>
      <c r="BW82" s="66">
        <v>6.6</v>
      </c>
      <c r="BX82" s="65"/>
      <c r="BY82" s="66">
        <v>0.9</v>
      </c>
      <c r="BZ82" s="65"/>
      <c r="CA82" s="65"/>
      <c r="CB82" s="66">
        <v>1.3</v>
      </c>
      <c r="CC82" s="65"/>
      <c r="CD82" s="65"/>
      <c r="CE82" s="65"/>
      <c r="CF82" s="65"/>
      <c r="CG82" s="65"/>
      <c r="CH82" s="65"/>
      <c r="CI82" s="65"/>
      <c r="CJ82" s="65"/>
      <c r="CK82" s="66">
        <v>13.3</v>
      </c>
      <c r="CL82" s="65"/>
      <c r="CM82" s="67"/>
    </row>
    <row r="83" spans="1:91" ht="19.5" customHeight="1">
      <c r="A83" s="11">
        <v>79</v>
      </c>
      <c r="B83" s="12" t="s">
        <v>219</v>
      </c>
      <c r="C83" s="68" t="s">
        <v>331</v>
      </c>
      <c r="D83" s="69">
        <v>100</v>
      </c>
      <c r="E83" s="70">
        <f>IFERROR(2.4/100*'🏭 원료 마스터'!$C$9+2.4/100*'🏭 원료 마스터'!$C$18+62.7/100*'🏭 원료 마스터'!$C$39+1.6/100*'🏭 원료 마스터'!$C$42+10.2/100*'🏭 원료 마스터'!$C$48+3.3/100*'🏭 원료 마스터'!$C$58+16.3/100*'🏭 원료 마스터'!$C$62+1.1/100*'🏭 원료 마스터'!$C$70,"")</f>
        <v>15663.514660000001</v>
      </c>
      <c r="F83" s="64"/>
      <c r="G83" s="64"/>
      <c r="H83" s="58"/>
      <c r="I83" s="57"/>
      <c r="J83" s="71"/>
      <c r="K83" s="71"/>
      <c r="L83" s="71"/>
      <c r="M83" s="71"/>
      <c r="N83" s="71"/>
      <c r="O83" s="72">
        <v>2.4</v>
      </c>
      <c r="P83" s="71"/>
      <c r="Q83" s="71"/>
      <c r="R83" s="67"/>
      <c r="S83" s="71"/>
      <c r="T83" s="71"/>
      <c r="U83" s="71"/>
      <c r="V83" s="71"/>
      <c r="W83" s="71"/>
      <c r="X83" s="71"/>
      <c r="Y83" s="72">
        <v>2.4</v>
      </c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2">
        <v>62.7</v>
      </c>
      <c r="AU83" s="71"/>
      <c r="AV83" s="71"/>
      <c r="AW83" s="72">
        <v>1.6</v>
      </c>
      <c r="AX83" s="71"/>
      <c r="AY83" s="71"/>
      <c r="AZ83" s="71"/>
      <c r="BA83" s="71"/>
      <c r="BB83" s="71"/>
      <c r="BC83" s="72">
        <v>10.199999999999999</v>
      </c>
      <c r="BD83" s="71"/>
      <c r="BE83" s="71"/>
      <c r="BF83" s="71"/>
      <c r="BG83" s="71"/>
      <c r="BH83" s="71"/>
      <c r="BI83" s="71"/>
      <c r="BJ83" s="71"/>
      <c r="BK83" s="71"/>
      <c r="BL83" s="71"/>
      <c r="BM83" s="72">
        <v>3.3</v>
      </c>
      <c r="BN83" s="71"/>
      <c r="BO83" s="71"/>
      <c r="BP83" s="71"/>
      <c r="BQ83" s="72">
        <v>16.3</v>
      </c>
      <c r="BR83" s="71"/>
      <c r="BS83" s="71"/>
      <c r="BT83" s="71"/>
      <c r="BU83" s="71"/>
      <c r="BV83" s="71"/>
      <c r="BW83" s="71"/>
      <c r="BX83" s="71"/>
      <c r="BY83" s="72">
        <v>1.1000000000000001</v>
      </c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67"/>
    </row>
    <row r="84" spans="1:91" ht="18" customHeight="1">
      <c r="A84" s="7">
        <v>80</v>
      </c>
      <c r="B84" s="8" t="s">
        <v>221</v>
      </c>
      <c r="C84" s="61" t="s">
        <v>332</v>
      </c>
      <c r="D84" s="62">
        <v>100</v>
      </c>
      <c r="E84" s="77">
        <f>IFERROR(7/100*'🏭 원료 마스터'!$C$18+8/100*'🏭 원료 마스터'!$C$32+3/100*'🏭 원료 마스터'!$C$42+3/100*'🏭 원료 마스터'!$C$49+15.36/100*'🏭 원료 마스터'!$C$63+33/100*'🏭 원료 마스터'!$C$65+0.37/100*'🏭 원료 마스터'!$C$68+29.5/100*'🏭 원료 마스터'!$C$70+0.53/100*'🏭 원료 마스터'!$C$71+0.24/100*'🏭 원료 마스터'!$C$80,"")</f>
        <v>2968.6335530000001</v>
      </c>
      <c r="F84" s="64"/>
      <c r="G84" s="64"/>
      <c r="H84" s="58"/>
      <c r="I84" s="57"/>
      <c r="J84" s="65"/>
      <c r="K84" s="74"/>
      <c r="L84" s="65"/>
      <c r="M84" s="65"/>
      <c r="N84" s="65"/>
      <c r="O84" s="74"/>
      <c r="P84" s="74"/>
      <c r="Q84" s="65"/>
      <c r="R84" s="67"/>
      <c r="S84" s="65"/>
      <c r="T84" s="65"/>
      <c r="U84" s="65"/>
      <c r="V84" s="65"/>
      <c r="W84" s="65"/>
      <c r="X84" s="66">
        <v>7</v>
      </c>
      <c r="Y84" s="74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6">
        <v>8</v>
      </c>
      <c r="AM84" s="65"/>
      <c r="AN84" s="65"/>
      <c r="AO84" s="65"/>
      <c r="AP84" s="65"/>
      <c r="AQ84" s="65"/>
      <c r="AR84" s="65"/>
      <c r="AS84" s="65"/>
      <c r="AT84" s="65"/>
      <c r="AU84" s="65"/>
      <c r="AV84" s="66">
        <v>3</v>
      </c>
      <c r="AW84" s="74"/>
      <c r="AX84" s="65"/>
      <c r="AY84" s="65"/>
      <c r="AZ84" s="65"/>
      <c r="BA84" s="65"/>
      <c r="BB84" s="65"/>
      <c r="BC84" s="66">
        <v>3</v>
      </c>
      <c r="BD84" s="65"/>
      <c r="BE84" s="65"/>
      <c r="BF84" s="65"/>
      <c r="BG84" s="65"/>
      <c r="BH84" s="65"/>
      <c r="BI84" s="65"/>
      <c r="BJ84" s="65"/>
      <c r="BK84" s="65"/>
      <c r="BL84" s="65"/>
      <c r="BM84" s="74"/>
      <c r="BN84" s="65"/>
      <c r="BO84" s="65"/>
      <c r="BP84" s="65"/>
      <c r="BQ84" s="66">
        <v>15.36</v>
      </c>
      <c r="BR84" s="65"/>
      <c r="BS84" s="66">
        <v>33</v>
      </c>
      <c r="BT84" s="65"/>
      <c r="BU84" s="65"/>
      <c r="BV84" s="66">
        <v>0.37</v>
      </c>
      <c r="BW84" s="65"/>
      <c r="BX84" s="66">
        <v>29.5</v>
      </c>
      <c r="BY84" s="66">
        <v>0.53</v>
      </c>
      <c r="BZ84" s="65"/>
      <c r="CA84" s="65"/>
      <c r="CB84" s="65"/>
      <c r="CC84" s="65"/>
      <c r="CD84" s="65"/>
      <c r="CE84" s="65"/>
      <c r="CF84" s="65"/>
      <c r="CG84" s="65"/>
      <c r="CH84" s="66">
        <v>0.24</v>
      </c>
      <c r="CI84" s="65"/>
      <c r="CJ84" s="65"/>
      <c r="CK84" s="65"/>
      <c r="CL84" s="65"/>
      <c r="CM84" s="67"/>
    </row>
    <row r="85" spans="1:91" ht="16.5" customHeight="1">
      <c r="A85" s="11">
        <v>81</v>
      </c>
      <c r="B85" s="12" t="s">
        <v>222</v>
      </c>
      <c r="C85" s="68" t="s">
        <v>333</v>
      </c>
      <c r="D85" s="69">
        <v>100</v>
      </c>
      <c r="E85" s="78">
        <f>IFERROR(7/100*'🏭 원료 마스터'!$C$18+5.6/100*'🏭 원료 마스터'!$C$21+7.5/100*'🏭 원료 마스터'!$C$32+2.8/100*'🏭 원료 마스터'!$C$42+2.8/100*'🏭 원료 마스터'!$C$49+3.1/100*'🏭 원료 마스터'!$C$54+11.37/100*'🏭 원료 마스터'!$C$63+30.7/100*'🏭 원료 마스터'!$C$65+0.6/100*'🏭 원료 마스터'!$C$68+27.8/100*'🏭 원료 마스터'!$C$70+0.5/100*'🏭 원료 마스터'!$C$71+0.23/100*'🏭 원료 마스터'!$C$80,"")</f>
        <v>3694.0141649999996</v>
      </c>
      <c r="F85" s="64"/>
      <c r="G85" s="64"/>
      <c r="H85" s="58"/>
      <c r="I85" s="57"/>
      <c r="J85" s="65"/>
      <c r="K85" s="74"/>
      <c r="L85" s="65"/>
      <c r="M85" s="65"/>
      <c r="N85" s="65"/>
      <c r="O85" s="74"/>
      <c r="P85" s="74"/>
      <c r="Q85" s="65"/>
      <c r="R85" s="67"/>
      <c r="S85" s="65"/>
      <c r="T85" s="65"/>
      <c r="U85" s="65"/>
      <c r="V85" s="65"/>
      <c r="W85" s="65"/>
      <c r="X85" s="66">
        <v>7</v>
      </c>
      <c r="Y85" s="74"/>
      <c r="Z85" s="65"/>
      <c r="AA85" s="66">
        <v>5.6</v>
      </c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6">
        <v>7.5</v>
      </c>
      <c r="AM85" s="65"/>
      <c r="AN85" s="65"/>
      <c r="AO85" s="65"/>
      <c r="AP85" s="65"/>
      <c r="AQ85" s="65"/>
      <c r="AR85" s="65"/>
      <c r="AS85" s="65"/>
      <c r="AT85" s="65"/>
      <c r="AU85" s="65"/>
      <c r="AV85" s="66">
        <v>2.8</v>
      </c>
      <c r="AW85" s="74"/>
      <c r="AX85" s="65"/>
      <c r="AY85" s="65"/>
      <c r="AZ85" s="65"/>
      <c r="BA85" s="65"/>
      <c r="BB85" s="65"/>
      <c r="BC85" s="66">
        <v>2.8</v>
      </c>
      <c r="BD85" s="65"/>
      <c r="BE85" s="65"/>
      <c r="BF85" s="65"/>
      <c r="BG85" s="65"/>
      <c r="BH85" s="66">
        <v>3.1</v>
      </c>
      <c r="BI85" s="65"/>
      <c r="BJ85" s="65"/>
      <c r="BK85" s="65"/>
      <c r="BL85" s="65"/>
      <c r="BM85" s="74"/>
      <c r="BN85" s="65"/>
      <c r="BO85" s="65"/>
      <c r="BP85" s="65"/>
      <c r="BQ85" s="66">
        <v>11.37</v>
      </c>
      <c r="BR85" s="65"/>
      <c r="BS85" s="66">
        <v>30.7</v>
      </c>
      <c r="BT85" s="65"/>
      <c r="BU85" s="65"/>
      <c r="BV85" s="66">
        <v>0.6</v>
      </c>
      <c r="BW85" s="65"/>
      <c r="BX85" s="66">
        <v>27.8</v>
      </c>
      <c r="BY85" s="66">
        <v>0.5</v>
      </c>
      <c r="BZ85" s="65"/>
      <c r="CA85" s="65"/>
      <c r="CB85" s="65"/>
      <c r="CC85" s="65"/>
      <c r="CD85" s="65"/>
      <c r="CE85" s="65"/>
      <c r="CF85" s="65"/>
      <c r="CG85" s="65"/>
      <c r="CH85" s="66">
        <v>0.23</v>
      </c>
      <c r="CI85" s="65"/>
      <c r="CJ85" s="65"/>
      <c r="CK85" s="65"/>
      <c r="CL85" s="65"/>
      <c r="CM85" s="67"/>
    </row>
    <row r="86" spans="1:91" ht="57.75" customHeight="1">
      <c r="A86" s="11">
        <v>82</v>
      </c>
      <c r="B86" s="12" t="s">
        <v>220</v>
      </c>
      <c r="C86" s="68" t="s">
        <v>334</v>
      </c>
      <c r="D86" s="69">
        <v>100</v>
      </c>
      <c r="E86" s="78">
        <f>IFERROR(1.8/100*'🏭 원료 마스터'!$C$5+0.4/100*'🏭 원료 마스터'!$C$9+1.8/100*'🏭 원료 마스터'!$C$10+3/100*'🏭 원료 마스터'!$C$19+4.2/100*'🏭 원료 마스터'!$C$43+8.9/100*'🏭 원료 마스터'!$C$49+1.8/100*'🏭 원료 마스터'!$C$59+17.9/100*'🏭 원료 마스터'!$C$63+59.6/100*'🏭 원료 마스터'!$C$70+0.6/100*'🏭 원료 마스터'!$C$71,"")</f>
        <v>2653.5619499999998</v>
      </c>
      <c r="F86" s="64"/>
      <c r="G86" s="64"/>
      <c r="H86" s="58"/>
      <c r="I86" s="57"/>
      <c r="J86" s="67"/>
      <c r="K86" s="75">
        <v>1.8</v>
      </c>
      <c r="L86" s="67"/>
      <c r="M86" s="67"/>
      <c r="N86" s="67"/>
      <c r="O86" s="75">
        <v>0.4</v>
      </c>
      <c r="P86" s="75">
        <v>1.8</v>
      </c>
      <c r="Q86" s="67"/>
      <c r="R86" s="67"/>
      <c r="S86" s="67"/>
      <c r="T86" s="67"/>
      <c r="U86" s="67"/>
      <c r="V86" s="67"/>
      <c r="W86" s="67"/>
      <c r="X86" s="67"/>
      <c r="Y86" s="75">
        <v>3</v>
      </c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75">
        <v>4.2</v>
      </c>
      <c r="AX86" s="67"/>
      <c r="AY86" s="67"/>
      <c r="AZ86" s="67"/>
      <c r="BA86" s="67"/>
      <c r="BB86" s="67"/>
      <c r="BC86" s="75">
        <v>8.9</v>
      </c>
      <c r="BD86" s="67"/>
      <c r="BE86" s="67"/>
      <c r="BF86" s="67"/>
      <c r="BG86" s="67"/>
      <c r="BH86" s="67"/>
      <c r="BI86" s="67"/>
      <c r="BJ86" s="67"/>
      <c r="BK86" s="67"/>
      <c r="BL86" s="67"/>
      <c r="BM86" s="75">
        <v>1.8</v>
      </c>
      <c r="BN86" s="67"/>
      <c r="BO86" s="67"/>
      <c r="BP86" s="67"/>
      <c r="BQ86" s="75">
        <v>17.899999999999999</v>
      </c>
      <c r="BR86" s="67"/>
      <c r="BS86" s="67"/>
      <c r="BT86" s="67"/>
      <c r="BU86" s="67"/>
      <c r="BV86" s="67"/>
      <c r="BW86" s="67"/>
      <c r="BX86" s="75">
        <v>59.6</v>
      </c>
      <c r="BY86" s="75">
        <v>0.6</v>
      </c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</row>
    <row r="87" spans="1:91" ht="57.75" customHeight="1">
      <c r="A87" s="79" t="s">
        <v>335</v>
      </c>
      <c r="B87" s="59"/>
      <c r="E87" s="80">
        <f>IFERROR(AVERAGE(D5:D86),"")</f>
        <v>99.999878048780488</v>
      </c>
      <c r="F87" s="57"/>
      <c r="G87" s="64"/>
      <c r="H87" s="57"/>
      <c r="I87" s="57"/>
    </row>
    <row r="88" spans="1:91" ht="16.5" customHeight="1">
      <c r="F88" s="57"/>
      <c r="G88" s="57"/>
      <c r="H88" s="57"/>
      <c r="I88" s="57"/>
    </row>
    <row r="89" spans="1:91" ht="16.5" customHeight="1">
      <c r="A89" s="81" t="s">
        <v>336</v>
      </c>
      <c r="F89" s="57"/>
      <c r="G89" s="57"/>
      <c r="H89" s="57"/>
      <c r="I89" s="57"/>
    </row>
    <row r="90" spans="1:91" ht="16.5" customHeight="1">
      <c r="A90" s="82" t="s">
        <v>46</v>
      </c>
      <c r="B90" s="38" t="s">
        <v>337</v>
      </c>
      <c r="C90" s="38" t="s">
        <v>338</v>
      </c>
      <c r="D90" s="38" t="s">
        <v>339</v>
      </c>
      <c r="E90" s="38" t="s">
        <v>340</v>
      </c>
      <c r="F90" s="83"/>
      <c r="G90" s="57"/>
      <c r="H90" s="57"/>
      <c r="I90" s="57"/>
    </row>
    <row r="91" spans="1:91" ht="16.5" customHeight="1">
      <c r="A91" s="84" t="s">
        <v>341</v>
      </c>
      <c r="B91" s="85" t="s">
        <v>342</v>
      </c>
      <c r="C91" s="84" t="s">
        <v>343</v>
      </c>
      <c r="D91" s="85" t="s">
        <v>120</v>
      </c>
      <c r="E91" s="85" t="s">
        <v>344</v>
      </c>
      <c r="F91" s="57"/>
      <c r="G91" s="57"/>
      <c r="H91" s="57"/>
      <c r="I91" s="57"/>
    </row>
    <row r="92" spans="1:91" ht="16.5" customHeight="1">
      <c r="A92" s="84" t="s">
        <v>345</v>
      </c>
      <c r="B92" s="85" t="s">
        <v>99</v>
      </c>
      <c r="C92" s="84" t="s">
        <v>346</v>
      </c>
      <c r="D92" s="85" t="s">
        <v>99</v>
      </c>
      <c r="E92" s="85" t="s">
        <v>344</v>
      </c>
      <c r="F92" s="57"/>
      <c r="G92" s="57"/>
      <c r="H92" s="57"/>
      <c r="I92" s="57"/>
    </row>
    <row r="93" spans="1:91" ht="16.5" customHeight="1">
      <c r="A93" s="84" t="s">
        <v>347</v>
      </c>
      <c r="B93" s="85" t="s">
        <v>348</v>
      </c>
      <c r="C93" s="84" t="s">
        <v>349</v>
      </c>
      <c r="D93" s="85" t="s">
        <v>116</v>
      </c>
      <c r="E93" s="85" t="s">
        <v>344</v>
      </c>
      <c r="F93" s="57"/>
      <c r="G93" s="57"/>
      <c r="H93" s="57"/>
      <c r="I93" s="57"/>
    </row>
    <row r="94" spans="1:91" ht="16.5" customHeight="1">
      <c r="A94" s="86" t="s">
        <v>350</v>
      </c>
      <c r="B94" s="87" t="s">
        <v>351</v>
      </c>
      <c r="C94" s="86" t="s">
        <v>352</v>
      </c>
      <c r="D94" s="86" t="s">
        <v>353</v>
      </c>
      <c r="E94" s="87" t="s">
        <v>354</v>
      </c>
      <c r="F94" s="57"/>
      <c r="G94" s="57"/>
      <c r="H94" s="57"/>
      <c r="I94" s="57"/>
    </row>
    <row r="95" spans="1:91" ht="16.5" customHeight="1">
      <c r="A95" s="86" t="s">
        <v>355</v>
      </c>
      <c r="B95" s="87" t="s">
        <v>356</v>
      </c>
      <c r="C95" s="86" t="s">
        <v>352</v>
      </c>
      <c r="D95" s="86" t="s">
        <v>353</v>
      </c>
      <c r="E95" s="87" t="s">
        <v>354</v>
      </c>
      <c r="F95" s="57"/>
      <c r="G95" s="57"/>
      <c r="H95" s="57"/>
      <c r="I95" s="57"/>
    </row>
    <row r="96" spans="1:91" ht="16.5" customHeight="1">
      <c r="A96" s="86" t="s">
        <v>357</v>
      </c>
      <c r="B96" s="87" t="s">
        <v>358</v>
      </c>
      <c r="C96" s="86" t="s">
        <v>352</v>
      </c>
      <c r="D96" s="86" t="s">
        <v>353</v>
      </c>
      <c r="E96" s="87" t="s">
        <v>354</v>
      </c>
      <c r="F96" s="57"/>
      <c r="G96" s="57"/>
      <c r="H96" s="57"/>
      <c r="I96" s="57"/>
    </row>
    <row r="97" spans="1:9" ht="16.5" customHeight="1">
      <c r="A97" s="86" t="s">
        <v>359</v>
      </c>
      <c r="B97" s="87" t="s">
        <v>360</v>
      </c>
      <c r="C97" s="86" t="s">
        <v>352</v>
      </c>
      <c r="D97" s="86" t="s">
        <v>353</v>
      </c>
      <c r="E97" s="87" t="s">
        <v>354</v>
      </c>
      <c r="F97" s="57"/>
      <c r="G97" s="57"/>
      <c r="H97" s="57"/>
      <c r="I97" s="57"/>
    </row>
    <row r="98" spans="1:9" ht="16.5" customHeight="1">
      <c r="A98" s="86" t="s">
        <v>361</v>
      </c>
      <c r="B98" s="87" t="s">
        <v>362</v>
      </c>
      <c r="C98" s="86" t="s">
        <v>352</v>
      </c>
      <c r="D98" s="86" t="s">
        <v>353</v>
      </c>
      <c r="E98" s="87" t="s">
        <v>354</v>
      </c>
      <c r="F98" s="57"/>
      <c r="G98" s="57"/>
      <c r="H98" s="57"/>
      <c r="I98" s="57"/>
    </row>
    <row r="99" spans="1:9" ht="16.5" customHeight="1">
      <c r="A99" s="88" t="s">
        <v>363</v>
      </c>
      <c r="B99" s="89" t="s">
        <v>364</v>
      </c>
      <c r="C99" s="88" t="s">
        <v>365</v>
      </c>
      <c r="D99" s="89" t="s">
        <v>134</v>
      </c>
      <c r="E99" s="89" t="s">
        <v>366</v>
      </c>
      <c r="F99" s="57"/>
      <c r="G99" s="57"/>
      <c r="H99" s="57"/>
      <c r="I99" s="57"/>
    </row>
    <row r="100" spans="1:9" ht="16.5" customHeight="1">
      <c r="A100" s="84" t="s">
        <v>367</v>
      </c>
      <c r="B100" s="85" t="s">
        <v>113</v>
      </c>
      <c r="C100" s="84" t="s">
        <v>368</v>
      </c>
      <c r="D100" s="85" t="s">
        <v>113</v>
      </c>
      <c r="E100" s="85" t="s">
        <v>344</v>
      </c>
      <c r="F100" s="57"/>
      <c r="G100" s="57"/>
      <c r="H100" s="57"/>
      <c r="I100" s="57"/>
    </row>
    <row r="101" spans="1:9" ht="16.5" customHeight="1">
      <c r="A101" s="84" t="s">
        <v>369</v>
      </c>
      <c r="B101" s="85" t="s">
        <v>370</v>
      </c>
      <c r="C101" s="84" t="s">
        <v>371</v>
      </c>
      <c r="D101" s="85" t="s">
        <v>90</v>
      </c>
      <c r="E101" s="85" t="s">
        <v>344</v>
      </c>
      <c r="F101" s="57"/>
      <c r="G101" s="57"/>
      <c r="H101" s="57"/>
      <c r="I101" s="57"/>
    </row>
    <row r="102" spans="1:9" ht="16.5" customHeight="1">
      <c r="A102" s="84" t="s">
        <v>372</v>
      </c>
      <c r="B102" s="85" t="s">
        <v>373</v>
      </c>
      <c r="C102" s="84" t="s">
        <v>371</v>
      </c>
      <c r="D102" s="85" t="s">
        <v>121</v>
      </c>
      <c r="E102" s="85" t="s">
        <v>344</v>
      </c>
      <c r="F102" s="57"/>
      <c r="G102" s="57"/>
      <c r="H102" s="57"/>
      <c r="I102" s="57"/>
    </row>
    <row r="103" spans="1:9" ht="16.5" customHeight="1">
      <c r="A103" s="84" t="s">
        <v>374</v>
      </c>
      <c r="B103" s="85" t="s">
        <v>375</v>
      </c>
      <c r="C103" s="84" t="s">
        <v>371</v>
      </c>
      <c r="D103" s="85" t="s">
        <v>130</v>
      </c>
      <c r="E103" s="85" t="s">
        <v>344</v>
      </c>
      <c r="F103" s="57"/>
      <c r="G103" s="57"/>
      <c r="H103" s="57"/>
      <c r="I103" s="57"/>
    </row>
    <row r="104" spans="1:9" ht="16.5" customHeight="1">
      <c r="A104" s="84" t="s">
        <v>376</v>
      </c>
      <c r="B104" s="85" t="s">
        <v>377</v>
      </c>
      <c r="C104" s="84" t="s">
        <v>371</v>
      </c>
      <c r="D104" s="85" t="s">
        <v>118</v>
      </c>
      <c r="E104" s="85" t="s">
        <v>344</v>
      </c>
      <c r="F104" s="57"/>
      <c r="G104" s="57"/>
      <c r="H104" s="57"/>
      <c r="I104" s="57"/>
    </row>
    <row r="105" spans="1:9" ht="16.5" customHeight="1">
      <c r="F105" s="57"/>
      <c r="G105" s="57"/>
      <c r="H105" s="57"/>
      <c r="I105" s="57"/>
    </row>
    <row r="106" spans="1:9" ht="16.5" customHeight="1">
      <c r="A106" s="90" t="s">
        <v>378</v>
      </c>
      <c r="F106" s="57"/>
      <c r="G106" s="57"/>
      <c r="H106" s="57"/>
      <c r="I106" s="57"/>
    </row>
  </sheetData>
  <mergeCells count="2">
    <mergeCell ref="A2:E2"/>
    <mergeCell ref="A1:E1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2"/>
  <sheetViews>
    <sheetView zoomScaleNormal="100" workbookViewId="0"/>
  </sheetViews>
  <sheetFormatPr defaultColWidth="8.5" defaultRowHeight="16.5"/>
  <cols>
    <col min="1" max="1" width="5" customWidth="1"/>
    <col min="2" max="2" width="28" customWidth="1"/>
    <col min="3" max="3" width="12" customWidth="1"/>
    <col min="4" max="4" width="10" customWidth="1"/>
    <col min="5" max="5" width="18" customWidth="1"/>
    <col min="6" max="6" width="12" customWidth="1"/>
    <col min="7" max="8" width="60" customWidth="1"/>
  </cols>
  <sheetData>
    <row r="1" spans="1:8" ht="34.5" customHeight="1">
      <c r="A1" s="182" t="s">
        <v>379</v>
      </c>
      <c r="B1" s="178"/>
      <c r="C1" s="178"/>
      <c r="D1" s="178"/>
      <c r="E1" s="178"/>
      <c r="F1" s="178"/>
      <c r="G1" s="178"/>
      <c r="H1" s="178"/>
    </row>
    <row r="2" spans="1:8" ht="18" customHeight="1">
      <c r="A2" s="190" t="s">
        <v>380</v>
      </c>
      <c r="B2" s="178"/>
      <c r="C2" s="178"/>
      <c r="D2" s="178"/>
      <c r="E2" s="178"/>
      <c r="F2" s="178"/>
      <c r="G2" s="178"/>
      <c r="H2" s="178"/>
    </row>
    <row r="3" spans="1:8" ht="30" customHeight="1">
      <c r="A3" s="5" t="s">
        <v>46</v>
      </c>
      <c r="B3" s="6" t="s">
        <v>381</v>
      </c>
      <c r="C3" s="6" t="s">
        <v>382</v>
      </c>
      <c r="D3" s="6" t="s">
        <v>383</v>
      </c>
      <c r="E3" s="6" t="s">
        <v>384</v>
      </c>
      <c r="F3" s="6" t="s">
        <v>385</v>
      </c>
      <c r="G3" s="6" t="s">
        <v>51</v>
      </c>
      <c r="H3" s="6" t="s">
        <v>386</v>
      </c>
    </row>
    <row r="4" spans="1:8" ht="18" customHeight="1">
      <c r="A4" s="7">
        <v>1</v>
      </c>
      <c r="B4" s="10" t="s">
        <v>387</v>
      </c>
      <c r="C4" s="91"/>
      <c r="D4" s="12" t="s">
        <v>388</v>
      </c>
      <c r="E4" s="10" t="s">
        <v>389</v>
      </c>
      <c r="F4" s="91"/>
      <c r="G4" s="12" t="s">
        <v>390</v>
      </c>
      <c r="H4" s="92"/>
    </row>
    <row r="5" spans="1:8" ht="18" customHeight="1">
      <c r="A5" s="11">
        <v>2</v>
      </c>
      <c r="B5" s="13" t="s">
        <v>391</v>
      </c>
      <c r="C5" s="91"/>
      <c r="D5" s="47" t="s">
        <v>392</v>
      </c>
      <c r="E5" s="13" t="s">
        <v>393</v>
      </c>
      <c r="F5" s="91"/>
      <c r="G5" s="47" t="s">
        <v>394</v>
      </c>
      <c r="H5" s="93"/>
    </row>
    <row r="6" spans="1:8" ht="18" customHeight="1">
      <c r="A6" s="7">
        <v>3</v>
      </c>
      <c r="B6" s="10" t="s">
        <v>395</v>
      </c>
      <c r="C6" s="91"/>
      <c r="D6" s="12" t="s">
        <v>396</v>
      </c>
      <c r="E6" s="10" t="s">
        <v>397</v>
      </c>
      <c r="F6" s="91"/>
      <c r="G6" s="12" t="s">
        <v>398</v>
      </c>
      <c r="H6" s="92"/>
    </row>
    <row r="7" spans="1:8" ht="18" customHeight="1">
      <c r="A7" s="11">
        <v>4</v>
      </c>
      <c r="B7" s="13" t="s">
        <v>399</v>
      </c>
      <c r="C7" s="91"/>
      <c r="D7" s="47" t="s">
        <v>400</v>
      </c>
      <c r="E7" s="13" t="s">
        <v>401</v>
      </c>
      <c r="F7" s="91"/>
      <c r="G7" s="47" t="s">
        <v>402</v>
      </c>
      <c r="H7" s="93"/>
    </row>
    <row r="8" spans="1:8" ht="18" customHeight="1">
      <c r="A8" s="7">
        <v>5</v>
      </c>
      <c r="B8" s="12" t="s">
        <v>403</v>
      </c>
      <c r="C8" s="91"/>
      <c r="D8" s="12" t="s">
        <v>404</v>
      </c>
      <c r="E8" s="10" t="s">
        <v>405</v>
      </c>
      <c r="F8" s="91"/>
      <c r="G8" s="12" t="s">
        <v>406</v>
      </c>
      <c r="H8" s="92"/>
    </row>
    <row r="9" spans="1:8" ht="18" customHeight="1">
      <c r="A9" s="11">
        <v>6</v>
      </c>
      <c r="B9" s="47" t="s">
        <v>407</v>
      </c>
      <c r="C9" s="91"/>
      <c r="D9" s="47" t="s">
        <v>408</v>
      </c>
      <c r="E9" s="13" t="s">
        <v>409</v>
      </c>
      <c r="F9" s="91"/>
      <c r="G9" s="47" t="s">
        <v>410</v>
      </c>
      <c r="H9" s="93"/>
    </row>
    <row r="10" spans="1:8" ht="18" customHeight="1">
      <c r="A10" s="7">
        <v>7</v>
      </c>
      <c r="B10" s="12" t="s">
        <v>411</v>
      </c>
      <c r="C10" s="91"/>
      <c r="D10" s="12" t="s">
        <v>412</v>
      </c>
      <c r="E10" s="10" t="s">
        <v>413</v>
      </c>
      <c r="F10" s="91"/>
      <c r="G10" s="12" t="s">
        <v>414</v>
      </c>
      <c r="H10" s="92"/>
    </row>
    <row r="11" spans="1:8" ht="18" customHeight="1">
      <c r="A11" s="11">
        <v>8</v>
      </c>
      <c r="B11" s="47" t="s">
        <v>415</v>
      </c>
      <c r="C11" s="91"/>
      <c r="D11" s="47" t="s">
        <v>416</v>
      </c>
      <c r="E11" s="13" t="s">
        <v>417</v>
      </c>
      <c r="F11" s="91"/>
      <c r="G11" s="47" t="s">
        <v>418</v>
      </c>
      <c r="H11" s="93"/>
    </row>
    <row r="12" spans="1:8" ht="18" customHeight="1">
      <c r="A12" s="7">
        <v>9</v>
      </c>
      <c r="B12" s="12" t="s">
        <v>419</v>
      </c>
      <c r="C12" s="91"/>
      <c r="D12" s="12" t="s">
        <v>420</v>
      </c>
      <c r="E12" s="10" t="s">
        <v>421</v>
      </c>
      <c r="F12" s="91"/>
      <c r="G12" s="12" t="s">
        <v>422</v>
      </c>
      <c r="H12" s="92"/>
    </row>
    <row r="13" spans="1:8" ht="18" customHeight="1">
      <c r="A13" s="11">
        <v>10</v>
      </c>
      <c r="B13" s="47" t="s">
        <v>423</v>
      </c>
      <c r="C13" s="91"/>
      <c r="D13" s="47" t="s">
        <v>424</v>
      </c>
      <c r="E13" s="13" t="s">
        <v>425</v>
      </c>
      <c r="F13" s="91"/>
      <c r="G13" s="47" t="s">
        <v>426</v>
      </c>
      <c r="H13" s="93"/>
    </row>
    <row r="14" spans="1:8" ht="18" customHeight="1">
      <c r="A14" s="7">
        <v>11</v>
      </c>
      <c r="B14" s="12" t="s">
        <v>427</v>
      </c>
      <c r="C14" s="91"/>
      <c r="D14" s="12" t="s">
        <v>428</v>
      </c>
      <c r="E14" s="10" t="s">
        <v>429</v>
      </c>
      <c r="F14" s="91"/>
      <c r="G14" s="12" t="s">
        <v>430</v>
      </c>
      <c r="H14" s="92"/>
    </row>
    <row r="15" spans="1:8" ht="18" customHeight="1">
      <c r="A15" s="11">
        <v>12</v>
      </c>
      <c r="B15" s="47" t="s">
        <v>431</v>
      </c>
      <c r="C15" s="91"/>
      <c r="D15" s="47" t="s">
        <v>432</v>
      </c>
      <c r="E15" s="13" t="s">
        <v>433</v>
      </c>
      <c r="F15" s="91"/>
      <c r="G15" s="47" t="s">
        <v>434</v>
      </c>
      <c r="H15" s="93"/>
    </row>
    <row r="16" spans="1:8" ht="18" customHeight="1">
      <c r="A16" s="7">
        <v>13</v>
      </c>
      <c r="B16" s="12" t="s">
        <v>435</v>
      </c>
      <c r="C16" s="91"/>
      <c r="D16" s="12" t="s">
        <v>436</v>
      </c>
      <c r="E16" s="10" t="s">
        <v>437</v>
      </c>
      <c r="F16" s="91"/>
      <c r="G16" s="12" t="s">
        <v>438</v>
      </c>
      <c r="H16" s="92"/>
    </row>
    <row r="17" spans="1:8" ht="18" customHeight="1">
      <c r="A17" s="11">
        <v>14</v>
      </c>
      <c r="B17" s="47" t="s">
        <v>439</v>
      </c>
      <c r="C17" s="91"/>
      <c r="D17" s="47" t="s">
        <v>440</v>
      </c>
      <c r="E17" s="13" t="s">
        <v>441</v>
      </c>
      <c r="F17" s="91"/>
      <c r="G17" s="47" t="s">
        <v>442</v>
      </c>
      <c r="H17" s="93"/>
    </row>
    <row r="18" spans="1:8" ht="18" customHeight="1">
      <c r="A18" s="7">
        <v>15</v>
      </c>
      <c r="B18" s="12" t="s">
        <v>443</v>
      </c>
      <c r="C18" s="91"/>
      <c r="D18" s="12" t="s">
        <v>444</v>
      </c>
      <c r="E18" s="10" t="s">
        <v>445</v>
      </c>
      <c r="F18" s="91"/>
      <c r="G18" s="12" t="s">
        <v>446</v>
      </c>
      <c r="H18" s="92"/>
    </row>
    <row r="19" spans="1:8" ht="18" customHeight="1">
      <c r="A19" s="11">
        <v>16</v>
      </c>
      <c r="B19" s="47" t="s">
        <v>447</v>
      </c>
      <c r="C19" s="91"/>
      <c r="D19" s="47" t="s">
        <v>448</v>
      </c>
      <c r="E19" s="13" t="s">
        <v>449</v>
      </c>
      <c r="F19" s="91"/>
      <c r="G19" s="47" t="s">
        <v>450</v>
      </c>
      <c r="H19" s="93"/>
    </row>
    <row r="20" spans="1:8" ht="18" customHeight="1">
      <c r="A20" s="7">
        <v>17</v>
      </c>
      <c r="B20" s="12" t="s">
        <v>451</v>
      </c>
      <c r="C20" s="91"/>
      <c r="D20" s="12" t="s">
        <v>452</v>
      </c>
      <c r="E20" s="10" t="s">
        <v>453</v>
      </c>
      <c r="F20" s="91"/>
      <c r="G20" s="12" t="s">
        <v>454</v>
      </c>
      <c r="H20" s="92"/>
    </row>
    <row r="21" spans="1:8" ht="18" customHeight="1">
      <c r="A21" s="11">
        <v>18</v>
      </c>
      <c r="B21" s="47" t="s">
        <v>455</v>
      </c>
      <c r="C21" s="91"/>
      <c r="D21" s="47" t="s">
        <v>456</v>
      </c>
      <c r="E21" s="13" t="s">
        <v>457</v>
      </c>
      <c r="F21" s="91"/>
      <c r="G21" s="47" t="s">
        <v>458</v>
      </c>
      <c r="H21" s="93"/>
    </row>
    <row r="22" spans="1:8" ht="18" customHeight="1">
      <c r="A22" s="7">
        <v>19</v>
      </c>
      <c r="B22" s="12" t="s">
        <v>459</v>
      </c>
      <c r="C22" s="91"/>
      <c r="D22" s="12" t="s">
        <v>460</v>
      </c>
      <c r="E22" s="10" t="s">
        <v>461</v>
      </c>
      <c r="F22" s="91"/>
      <c r="G22" s="12" t="s">
        <v>462</v>
      </c>
      <c r="H22" s="92"/>
    </row>
    <row r="23" spans="1:8" ht="18" customHeight="1">
      <c r="A23" s="11">
        <v>20</v>
      </c>
      <c r="B23" s="47" t="s">
        <v>463</v>
      </c>
      <c r="C23" s="91"/>
      <c r="D23" s="47" t="s">
        <v>464</v>
      </c>
      <c r="E23" s="13" t="s">
        <v>465</v>
      </c>
      <c r="F23" s="91"/>
      <c r="G23" s="47" t="s">
        <v>466</v>
      </c>
      <c r="H23" s="93"/>
    </row>
    <row r="24" spans="1:8" ht="18" customHeight="1">
      <c r="A24" s="7">
        <v>21</v>
      </c>
      <c r="B24" s="12" t="s">
        <v>467</v>
      </c>
      <c r="C24" s="91"/>
      <c r="D24" s="12" t="s">
        <v>468</v>
      </c>
      <c r="E24" s="10" t="s">
        <v>469</v>
      </c>
      <c r="F24" s="91"/>
      <c r="G24" s="12" t="s">
        <v>470</v>
      </c>
      <c r="H24" s="92"/>
    </row>
    <row r="25" spans="1:8" ht="18" customHeight="1">
      <c r="A25" s="11">
        <v>22</v>
      </c>
      <c r="B25" s="47" t="s">
        <v>471</v>
      </c>
      <c r="C25" s="91"/>
      <c r="D25" s="47" t="s">
        <v>472</v>
      </c>
      <c r="E25" s="13" t="s">
        <v>473</v>
      </c>
      <c r="F25" s="91"/>
      <c r="G25" s="47" t="s">
        <v>474</v>
      </c>
      <c r="H25" s="93"/>
    </row>
    <row r="26" spans="1:8" ht="18" customHeight="1">
      <c r="A26" s="7">
        <v>23</v>
      </c>
      <c r="B26" s="12" t="s">
        <v>475</v>
      </c>
      <c r="C26" s="91"/>
      <c r="D26" s="12" t="s">
        <v>476</v>
      </c>
      <c r="E26" s="10" t="s">
        <v>477</v>
      </c>
      <c r="F26" s="91"/>
      <c r="G26" s="12" t="s">
        <v>478</v>
      </c>
      <c r="H26" s="92"/>
    </row>
    <row r="27" spans="1:8" ht="18" customHeight="1">
      <c r="A27" s="11">
        <v>24</v>
      </c>
      <c r="B27" s="47" t="s">
        <v>479</v>
      </c>
      <c r="C27" s="91"/>
      <c r="D27" s="47" t="s">
        <v>480</v>
      </c>
      <c r="E27" s="13"/>
      <c r="F27" s="91"/>
      <c r="G27" s="47" t="s">
        <v>481</v>
      </c>
      <c r="H27" s="93"/>
    </row>
    <row r="28" spans="1:8" ht="18" customHeight="1">
      <c r="A28" s="7">
        <v>25</v>
      </c>
      <c r="B28" s="12" t="s">
        <v>482</v>
      </c>
      <c r="C28" s="91"/>
      <c r="D28" s="12" t="s">
        <v>483</v>
      </c>
      <c r="E28" s="10" t="s">
        <v>484</v>
      </c>
      <c r="F28" s="91"/>
      <c r="G28" s="12" t="s">
        <v>485</v>
      </c>
      <c r="H28" s="92"/>
    </row>
    <row r="29" spans="1:8" ht="18" customHeight="1">
      <c r="A29" s="11">
        <v>26</v>
      </c>
      <c r="B29" s="47" t="s">
        <v>486</v>
      </c>
      <c r="C29" s="91"/>
      <c r="D29" s="47" t="s">
        <v>487</v>
      </c>
      <c r="E29" s="13" t="s">
        <v>488</v>
      </c>
      <c r="F29" s="91"/>
      <c r="G29" s="47" t="s">
        <v>489</v>
      </c>
      <c r="H29" s="93"/>
    </row>
    <row r="30" spans="1:8" ht="18" customHeight="1">
      <c r="A30" s="7">
        <v>27</v>
      </c>
      <c r="B30" s="12" t="s">
        <v>490</v>
      </c>
      <c r="C30" s="91"/>
      <c r="D30" s="12" t="s">
        <v>491</v>
      </c>
      <c r="E30" s="10" t="s">
        <v>492</v>
      </c>
      <c r="F30" s="91"/>
      <c r="G30" s="12" t="s">
        <v>493</v>
      </c>
      <c r="H30" s="92"/>
    </row>
    <row r="31" spans="1:8" ht="18" customHeight="1">
      <c r="A31" s="11">
        <v>28</v>
      </c>
      <c r="B31" s="47" t="s">
        <v>494</v>
      </c>
      <c r="C31" s="91"/>
      <c r="D31" s="47" t="s">
        <v>495</v>
      </c>
      <c r="E31" s="13" t="s">
        <v>496</v>
      </c>
      <c r="F31" s="91"/>
      <c r="G31" s="47" t="s">
        <v>497</v>
      </c>
      <c r="H31" s="93"/>
    </row>
    <row r="32" spans="1:8" ht="18" customHeight="1">
      <c r="A32" s="7">
        <v>29</v>
      </c>
      <c r="B32" s="12" t="s">
        <v>498</v>
      </c>
      <c r="C32" s="91"/>
      <c r="D32" s="12" t="s">
        <v>499</v>
      </c>
      <c r="E32" s="10" t="s">
        <v>500</v>
      </c>
      <c r="F32" s="91"/>
      <c r="G32" s="12" t="s">
        <v>501</v>
      </c>
      <c r="H32" s="92"/>
    </row>
    <row r="33" spans="1:8" ht="18" customHeight="1">
      <c r="A33" s="11">
        <v>30</v>
      </c>
      <c r="B33" s="47" t="s">
        <v>502</v>
      </c>
      <c r="C33" s="91"/>
      <c r="D33" s="47" t="s">
        <v>503</v>
      </c>
      <c r="E33" s="13" t="s">
        <v>504</v>
      </c>
      <c r="F33" s="91"/>
      <c r="G33" s="47" t="s">
        <v>505</v>
      </c>
      <c r="H33" s="93"/>
    </row>
    <row r="34" spans="1:8" ht="18" customHeight="1">
      <c r="A34" s="7">
        <v>31</v>
      </c>
      <c r="B34" s="12" t="s">
        <v>506</v>
      </c>
      <c r="C34" s="91"/>
      <c r="D34" s="12" t="s">
        <v>420</v>
      </c>
      <c r="E34" s="10" t="s">
        <v>507</v>
      </c>
      <c r="F34" s="91"/>
      <c r="G34" s="12" t="s">
        <v>508</v>
      </c>
      <c r="H34" s="92"/>
    </row>
    <row r="35" spans="1:8" ht="18" customHeight="1">
      <c r="A35" s="11">
        <v>32</v>
      </c>
      <c r="B35" s="47" t="s">
        <v>509</v>
      </c>
      <c r="C35" s="91"/>
      <c r="D35" s="47" t="s">
        <v>510</v>
      </c>
      <c r="E35" s="13" t="s">
        <v>511</v>
      </c>
      <c r="F35" s="91"/>
      <c r="G35" s="47" t="s">
        <v>512</v>
      </c>
      <c r="H35" s="93"/>
    </row>
    <row r="36" spans="1:8" ht="18" customHeight="1">
      <c r="A36" s="7">
        <v>33</v>
      </c>
      <c r="B36" s="12" t="s">
        <v>513</v>
      </c>
      <c r="C36" s="91"/>
      <c r="D36" s="12" t="s">
        <v>514</v>
      </c>
      <c r="E36" s="10" t="s">
        <v>515</v>
      </c>
      <c r="F36" s="91"/>
      <c r="G36" s="12" t="s">
        <v>516</v>
      </c>
      <c r="H36" s="92"/>
    </row>
    <row r="37" spans="1:8" ht="18" customHeight="1">
      <c r="A37" s="11">
        <v>34</v>
      </c>
      <c r="B37" s="47" t="s">
        <v>517</v>
      </c>
      <c r="C37" s="91"/>
      <c r="D37" s="47" t="s">
        <v>518</v>
      </c>
      <c r="E37" s="13" t="s">
        <v>519</v>
      </c>
      <c r="F37" s="91"/>
      <c r="G37" s="47" t="s">
        <v>520</v>
      </c>
      <c r="H37" s="93"/>
    </row>
    <row r="38" spans="1:8" ht="18" customHeight="1">
      <c r="A38" s="7">
        <v>35</v>
      </c>
      <c r="B38" s="12" t="s">
        <v>521</v>
      </c>
      <c r="C38" s="91"/>
      <c r="D38" s="12" t="s">
        <v>522</v>
      </c>
      <c r="E38" s="10" t="s">
        <v>523</v>
      </c>
      <c r="F38" s="91"/>
      <c r="G38" s="12" t="s">
        <v>524</v>
      </c>
      <c r="H38" s="92"/>
    </row>
    <row r="39" spans="1:8" ht="18" customHeight="1">
      <c r="A39" s="11">
        <v>36</v>
      </c>
      <c r="B39" s="47" t="s">
        <v>525</v>
      </c>
      <c r="C39" s="91"/>
      <c r="D39" s="47" t="s">
        <v>526</v>
      </c>
      <c r="E39" s="13" t="s">
        <v>527</v>
      </c>
      <c r="F39" s="91"/>
      <c r="G39" s="47" t="s">
        <v>528</v>
      </c>
      <c r="H39" s="93"/>
    </row>
    <row r="40" spans="1:8" ht="18" customHeight="1">
      <c r="A40" s="7">
        <v>37</v>
      </c>
      <c r="B40" s="12" t="s">
        <v>529</v>
      </c>
      <c r="C40" s="91"/>
      <c r="D40" s="12" t="s">
        <v>530</v>
      </c>
      <c r="E40" s="10" t="s">
        <v>531</v>
      </c>
      <c r="F40" s="91"/>
      <c r="G40" s="12" t="s">
        <v>532</v>
      </c>
      <c r="H40" s="92"/>
    </row>
    <row r="41" spans="1:8" ht="18" customHeight="1">
      <c r="A41" s="11">
        <v>38</v>
      </c>
      <c r="B41" s="47" t="s">
        <v>533</v>
      </c>
      <c r="C41" s="91"/>
      <c r="D41" s="47" t="s">
        <v>534</v>
      </c>
      <c r="E41" s="13" t="s">
        <v>535</v>
      </c>
      <c r="F41" s="91"/>
      <c r="G41" s="47" t="s">
        <v>536</v>
      </c>
      <c r="H41" s="93"/>
    </row>
    <row r="42" spans="1:8" ht="18" customHeight="1">
      <c r="A42" s="7">
        <v>39</v>
      </c>
      <c r="B42" s="12" t="s">
        <v>537</v>
      </c>
      <c r="C42" s="91"/>
      <c r="D42" s="12" t="s">
        <v>538</v>
      </c>
      <c r="E42" s="10" t="s">
        <v>539</v>
      </c>
      <c r="F42" s="91"/>
      <c r="G42" s="12" t="s">
        <v>540</v>
      </c>
      <c r="H42" s="92"/>
    </row>
    <row r="43" spans="1:8" ht="18" customHeight="1">
      <c r="A43" s="11">
        <v>40</v>
      </c>
      <c r="B43" s="47" t="s">
        <v>541</v>
      </c>
      <c r="C43" s="91"/>
      <c r="D43" s="47" t="s">
        <v>542</v>
      </c>
      <c r="E43" s="13" t="s">
        <v>543</v>
      </c>
      <c r="F43" s="91"/>
      <c r="G43" s="47" t="s">
        <v>544</v>
      </c>
      <c r="H43" s="93"/>
    </row>
    <row r="44" spans="1:8" ht="18" customHeight="1">
      <c r="A44" s="7">
        <v>41</v>
      </c>
      <c r="B44" s="12" t="s">
        <v>545</v>
      </c>
      <c r="C44" s="91"/>
      <c r="D44" s="12" t="s">
        <v>546</v>
      </c>
      <c r="E44" s="10" t="s">
        <v>547</v>
      </c>
      <c r="F44" s="91"/>
      <c r="G44" s="12" t="s">
        <v>548</v>
      </c>
      <c r="H44" s="92"/>
    </row>
    <row r="45" spans="1:8" ht="18" customHeight="1">
      <c r="A45" s="11">
        <v>42</v>
      </c>
      <c r="B45" s="47" t="s">
        <v>549</v>
      </c>
      <c r="C45" s="91"/>
      <c r="D45" s="47" t="s">
        <v>550</v>
      </c>
      <c r="E45" s="13" t="s">
        <v>551</v>
      </c>
      <c r="F45" s="91"/>
      <c r="G45" s="47" t="s">
        <v>552</v>
      </c>
      <c r="H45" s="93"/>
    </row>
    <row r="46" spans="1:8" ht="18" customHeight="1">
      <c r="A46" s="7">
        <v>43</v>
      </c>
      <c r="B46" s="12" t="s">
        <v>553</v>
      </c>
      <c r="C46" s="91"/>
      <c r="D46" s="12" t="s">
        <v>404</v>
      </c>
      <c r="E46" s="10" t="s">
        <v>405</v>
      </c>
      <c r="F46" s="91"/>
      <c r="G46" s="12" t="s">
        <v>554</v>
      </c>
      <c r="H46" s="92"/>
    </row>
    <row r="47" spans="1:8" ht="18" customHeight="1">
      <c r="A47" s="11">
        <v>44</v>
      </c>
      <c r="B47" s="47" t="s">
        <v>555</v>
      </c>
      <c r="C47" s="91"/>
      <c r="D47" s="47" t="s">
        <v>556</v>
      </c>
      <c r="E47" s="13" t="s">
        <v>557</v>
      </c>
      <c r="F47" s="91"/>
      <c r="G47" s="47" t="s">
        <v>558</v>
      </c>
      <c r="H47" s="93"/>
    </row>
    <row r="48" spans="1:8" ht="18" customHeight="1">
      <c r="A48" s="7">
        <v>45</v>
      </c>
      <c r="B48" s="12" t="s">
        <v>559</v>
      </c>
      <c r="C48" s="91"/>
      <c r="D48" s="12" t="s">
        <v>560</v>
      </c>
      <c r="E48" s="10" t="s">
        <v>561</v>
      </c>
      <c r="F48" s="91"/>
      <c r="G48" s="12" t="s">
        <v>562</v>
      </c>
      <c r="H48" s="92"/>
    </row>
    <row r="49" spans="1:8" ht="18" customHeight="1">
      <c r="A49" s="11">
        <v>46</v>
      </c>
      <c r="B49" s="47" t="s">
        <v>563</v>
      </c>
      <c r="C49" s="91"/>
      <c r="D49" s="47" t="s">
        <v>564</v>
      </c>
      <c r="E49" s="13" t="s">
        <v>565</v>
      </c>
      <c r="F49" s="91"/>
      <c r="G49" s="47" t="s">
        <v>566</v>
      </c>
      <c r="H49" s="93"/>
    </row>
    <row r="50" spans="1:8" ht="18" customHeight="1">
      <c r="A50" s="7">
        <v>47</v>
      </c>
      <c r="B50" s="12" t="s">
        <v>567</v>
      </c>
      <c r="C50" s="91"/>
      <c r="D50" s="12" t="s">
        <v>568</v>
      </c>
      <c r="E50" s="10" t="s">
        <v>569</v>
      </c>
      <c r="F50" s="91"/>
      <c r="G50" s="12" t="s">
        <v>570</v>
      </c>
      <c r="H50" s="92"/>
    </row>
    <row r="51" spans="1:8" ht="18" customHeight="1">
      <c r="A51" s="11">
        <v>48</v>
      </c>
      <c r="B51" s="47" t="s">
        <v>571</v>
      </c>
      <c r="C51" s="91"/>
      <c r="D51" s="47" t="s">
        <v>572</v>
      </c>
      <c r="E51" s="13" t="s">
        <v>531</v>
      </c>
      <c r="F51" s="91"/>
      <c r="G51" s="47" t="s">
        <v>573</v>
      </c>
      <c r="H51" s="93"/>
    </row>
    <row r="52" spans="1:8" ht="18" customHeight="1">
      <c r="A52" s="7">
        <v>49</v>
      </c>
      <c r="B52" s="12" t="s">
        <v>574</v>
      </c>
      <c r="C52" s="91"/>
      <c r="D52" s="12" t="s">
        <v>575</v>
      </c>
      <c r="E52" s="10" t="s">
        <v>576</v>
      </c>
      <c r="F52" s="91"/>
      <c r="G52" s="12" t="s">
        <v>577</v>
      </c>
      <c r="H52" s="92"/>
    </row>
    <row r="53" spans="1:8" ht="18" customHeight="1">
      <c r="A53" s="11">
        <v>50</v>
      </c>
      <c r="B53" s="47" t="s">
        <v>578</v>
      </c>
      <c r="C53" s="91"/>
      <c r="D53" s="47" t="s">
        <v>579</v>
      </c>
      <c r="E53" s="13" t="s">
        <v>580</v>
      </c>
      <c r="F53" s="91"/>
      <c r="G53" s="47" t="s">
        <v>581</v>
      </c>
      <c r="H53" s="93"/>
    </row>
    <row r="54" spans="1:8" ht="16.5" customHeight="1">
      <c r="A54" s="14">
        <v>51</v>
      </c>
      <c r="B54" s="15" t="s">
        <v>582</v>
      </c>
      <c r="C54" s="14"/>
      <c r="D54" s="15" t="s">
        <v>583</v>
      </c>
      <c r="E54" s="94" t="s">
        <v>584</v>
      </c>
      <c r="F54" s="14"/>
      <c r="G54" s="15" t="s">
        <v>585</v>
      </c>
      <c r="H54" s="94"/>
    </row>
    <row r="55" spans="1:8" ht="13.5" customHeight="1">
      <c r="A55" s="7">
        <v>52</v>
      </c>
      <c r="B55" s="15" t="s">
        <v>586</v>
      </c>
      <c r="C55" s="14"/>
      <c r="D55" s="15" t="s">
        <v>587</v>
      </c>
      <c r="E55" s="94" t="s">
        <v>588</v>
      </c>
      <c r="F55" s="14"/>
      <c r="G55" s="15" t="s">
        <v>589</v>
      </c>
      <c r="H55" s="94"/>
    </row>
    <row r="56" spans="1:8" ht="16.5" customHeight="1">
      <c r="A56" s="14">
        <v>53</v>
      </c>
      <c r="B56" s="15" t="s">
        <v>586</v>
      </c>
      <c r="C56" s="14"/>
      <c r="D56" s="15" t="s">
        <v>587</v>
      </c>
      <c r="E56" s="94"/>
      <c r="F56" s="14"/>
      <c r="G56" s="15" t="s">
        <v>589</v>
      </c>
      <c r="H56" s="94"/>
    </row>
    <row r="57" spans="1:8" ht="16.5" customHeight="1">
      <c r="A57" s="14">
        <v>54</v>
      </c>
      <c r="B57" s="15" t="s">
        <v>590</v>
      </c>
      <c r="C57" s="14"/>
      <c r="D57" s="15" t="s">
        <v>591</v>
      </c>
      <c r="E57" s="94" t="s">
        <v>592</v>
      </c>
      <c r="F57" s="14"/>
      <c r="G57" s="15" t="s">
        <v>593</v>
      </c>
      <c r="H57" s="94"/>
    </row>
    <row r="58" spans="1:8" ht="32.25" customHeight="1">
      <c r="A58" s="14">
        <v>55</v>
      </c>
      <c r="B58" s="15" t="s">
        <v>594</v>
      </c>
      <c r="C58" s="14"/>
      <c r="D58" s="15" t="s">
        <v>595</v>
      </c>
      <c r="E58" s="94" t="s">
        <v>596</v>
      </c>
      <c r="F58" s="14"/>
      <c r="G58" s="15" t="s">
        <v>597</v>
      </c>
      <c r="H58" s="94"/>
    </row>
    <row r="59" spans="1:8" ht="32.25" customHeight="1">
      <c r="A59" s="14">
        <v>56</v>
      </c>
      <c r="B59" s="15" t="s">
        <v>598</v>
      </c>
      <c r="C59" s="14"/>
      <c r="D59" s="15" t="s">
        <v>599</v>
      </c>
      <c r="E59" s="94" t="s">
        <v>600</v>
      </c>
      <c r="F59" s="14"/>
      <c r="G59" s="15" t="s">
        <v>601</v>
      </c>
      <c r="H59" s="94"/>
    </row>
    <row r="60" spans="1:8" ht="32.25" customHeight="1">
      <c r="A60" s="14">
        <v>57</v>
      </c>
      <c r="B60" s="15" t="s">
        <v>602</v>
      </c>
      <c r="C60" s="14"/>
      <c r="D60" s="15" t="s">
        <v>603</v>
      </c>
      <c r="E60" s="94" t="s">
        <v>604</v>
      </c>
      <c r="F60" s="14"/>
      <c r="G60" s="15" t="s">
        <v>605</v>
      </c>
      <c r="H60" s="94"/>
    </row>
    <row r="61" spans="1:8" ht="16.5" customHeight="1">
      <c r="A61" s="14">
        <v>58</v>
      </c>
      <c r="B61" s="15" t="s">
        <v>606</v>
      </c>
      <c r="C61" s="14"/>
      <c r="D61" s="15" t="s">
        <v>607</v>
      </c>
      <c r="E61" s="94" t="s">
        <v>608</v>
      </c>
      <c r="F61" s="14"/>
      <c r="G61" s="15" t="s">
        <v>609</v>
      </c>
      <c r="H61" s="94"/>
    </row>
    <row r="62" spans="1:8" ht="32.25" customHeight="1">
      <c r="A62" s="14">
        <v>59</v>
      </c>
      <c r="B62" s="15" t="s">
        <v>610</v>
      </c>
      <c r="C62" s="14"/>
      <c r="D62" s="15" t="s">
        <v>611</v>
      </c>
      <c r="E62" s="94" t="s">
        <v>461</v>
      </c>
      <c r="F62" s="14"/>
      <c r="G62" s="15" t="s">
        <v>612</v>
      </c>
      <c r="H62" s="94"/>
    </row>
  </sheetData>
  <mergeCells count="2">
    <mergeCell ref="A2:H2"/>
    <mergeCell ref="A1:H1"/>
  </mergeCells>
  <phoneticPr fontId="55" type="noConversion"/>
  <dataValidations count="2">
    <dataValidation type="list" sqref="C4:C53" xr:uid="{00000000-0002-0000-0600-000000000000}">
      <formula1>"위탁생산,B2B납품"</formula1>
      <formula2>0</formula2>
    </dataValidation>
    <dataValidation type="list" sqref="F4:F53" xr:uid="{00000000-0002-0000-06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5"/>
  <sheetViews>
    <sheetView zoomScaleNormal="100" workbookViewId="0"/>
  </sheetViews>
  <sheetFormatPr defaultColWidth="8.5" defaultRowHeight="16.5"/>
  <cols>
    <col min="1" max="1" width="13" customWidth="1"/>
    <col min="2" max="3" width="22" customWidth="1"/>
    <col min="4" max="6" width="12" customWidth="1"/>
    <col min="7" max="8" width="14" customWidth="1"/>
    <col min="9" max="9" width="13" customWidth="1"/>
    <col min="10" max="10" width="10" customWidth="1"/>
    <col min="11" max="11" width="12" customWidth="1"/>
  </cols>
  <sheetData>
    <row r="1" spans="1:11" ht="34.5" customHeight="1">
      <c r="A1" s="182" t="s">
        <v>613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ht="18" customHeight="1">
      <c r="A2" s="190" t="s">
        <v>614</v>
      </c>
      <c r="B2" s="178"/>
      <c r="C2" s="178"/>
      <c r="D2" s="178"/>
      <c r="E2" s="178"/>
      <c r="F2" s="178"/>
      <c r="G2" s="178"/>
      <c r="H2" s="178"/>
      <c r="I2" s="178"/>
      <c r="J2" s="178"/>
    </row>
    <row r="3" spans="1:11" ht="30" customHeight="1">
      <c r="A3" s="6" t="s">
        <v>615</v>
      </c>
      <c r="B3" s="6" t="s">
        <v>140</v>
      </c>
      <c r="C3" s="6" t="s">
        <v>616</v>
      </c>
      <c r="D3" s="6" t="s">
        <v>617</v>
      </c>
      <c r="E3" s="6" t="s">
        <v>618</v>
      </c>
      <c r="F3" s="6" t="s">
        <v>251</v>
      </c>
      <c r="G3" s="6" t="s">
        <v>619</v>
      </c>
      <c r="H3" s="5" t="s">
        <v>229</v>
      </c>
      <c r="I3" s="6" t="s">
        <v>620</v>
      </c>
      <c r="J3" s="6" t="s">
        <v>621</v>
      </c>
      <c r="K3" s="5" t="s">
        <v>233</v>
      </c>
    </row>
    <row r="4" spans="1:11" ht="18" customHeight="1">
      <c r="A4" s="95">
        <v>46025</v>
      </c>
      <c r="B4" s="12" t="s">
        <v>120</v>
      </c>
      <c r="C4" s="96" t="s">
        <v>622</v>
      </c>
      <c r="D4" s="97" t="s">
        <v>623</v>
      </c>
      <c r="E4" s="98">
        <v>200</v>
      </c>
      <c r="F4" s="98">
        <v>4000</v>
      </c>
      <c r="G4" s="99">
        <f t="shared" ref="G4:G67" si="0">IFERROR(E4*F4,"")</f>
        <v>800000</v>
      </c>
      <c r="H4" s="100"/>
      <c r="I4" s="101">
        <v>45985</v>
      </c>
      <c r="J4" s="96" t="s">
        <v>624</v>
      </c>
      <c r="K4" s="14" t="s">
        <v>238</v>
      </c>
    </row>
    <row r="5" spans="1:11" ht="18" customHeight="1">
      <c r="A5" s="95">
        <v>46028</v>
      </c>
      <c r="B5" s="12" t="s">
        <v>71</v>
      </c>
      <c r="C5" s="96" t="s">
        <v>625</v>
      </c>
      <c r="D5" s="97" t="s">
        <v>623</v>
      </c>
      <c r="E5" s="98">
        <v>10</v>
      </c>
      <c r="F5" s="98">
        <v>7800</v>
      </c>
      <c r="G5" s="99">
        <f t="shared" si="0"/>
        <v>78000</v>
      </c>
      <c r="H5" s="100"/>
      <c r="I5" s="101">
        <v>46462</v>
      </c>
      <c r="J5" s="96"/>
      <c r="K5" s="14" t="s">
        <v>238</v>
      </c>
    </row>
    <row r="6" spans="1:11" ht="18" customHeight="1">
      <c r="A6" s="95">
        <v>46031</v>
      </c>
      <c r="B6" s="12" t="s">
        <v>116</v>
      </c>
      <c r="C6" s="96" t="s">
        <v>626</v>
      </c>
      <c r="D6" s="102" t="s">
        <v>627</v>
      </c>
      <c r="E6" s="98">
        <v>1500</v>
      </c>
      <c r="F6" s="98">
        <v>2750</v>
      </c>
      <c r="G6" s="99">
        <f t="shared" si="0"/>
        <v>4125000</v>
      </c>
      <c r="H6" s="100"/>
      <c r="I6" s="101">
        <v>46118</v>
      </c>
      <c r="J6" s="96"/>
      <c r="K6" s="14" t="s">
        <v>238</v>
      </c>
    </row>
    <row r="7" spans="1:11" ht="18" customHeight="1">
      <c r="A7" s="95">
        <v>46031</v>
      </c>
      <c r="B7" s="12" t="s">
        <v>116</v>
      </c>
      <c r="C7" s="96" t="s">
        <v>626</v>
      </c>
      <c r="D7" s="102" t="s">
        <v>627</v>
      </c>
      <c r="E7" s="98">
        <v>500</v>
      </c>
      <c r="F7" s="98">
        <v>2860</v>
      </c>
      <c r="G7" s="99">
        <f t="shared" si="0"/>
        <v>1430000</v>
      </c>
      <c r="H7" s="100"/>
      <c r="I7" s="101">
        <v>46119</v>
      </c>
      <c r="J7" s="96"/>
      <c r="K7" s="14" t="s">
        <v>238</v>
      </c>
    </row>
    <row r="8" spans="1:11" ht="18" customHeight="1">
      <c r="A8" s="95">
        <v>46032</v>
      </c>
      <c r="B8" s="12" t="s">
        <v>120</v>
      </c>
      <c r="C8" s="96" t="s">
        <v>622</v>
      </c>
      <c r="D8" s="97" t="s">
        <v>623</v>
      </c>
      <c r="E8" s="98">
        <v>420</v>
      </c>
      <c r="F8" s="98">
        <v>4000</v>
      </c>
      <c r="G8" s="99">
        <f t="shared" si="0"/>
        <v>1680000</v>
      </c>
      <c r="H8" s="100"/>
      <c r="I8" s="101">
        <v>45961</v>
      </c>
      <c r="J8" s="96" t="s">
        <v>624</v>
      </c>
      <c r="K8" s="14" t="s">
        <v>238</v>
      </c>
    </row>
    <row r="9" spans="1:11" ht="18" customHeight="1">
      <c r="A9" s="95">
        <v>46035</v>
      </c>
      <c r="B9" s="12" t="s">
        <v>120</v>
      </c>
      <c r="C9" s="96" t="s">
        <v>622</v>
      </c>
      <c r="D9" s="97" t="s">
        <v>623</v>
      </c>
      <c r="E9" s="98">
        <v>200</v>
      </c>
      <c r="F9" s="98">
        <v>4000</v>
      </c>
      <c r="G9" s="99">
        <f t="shared" si="0"/>
        <v>800000</v>
      </c>
      <c r="H9" s="100"/>
      <c r="I9" s="101">
        <v>45961</v>
      </c>
      <c r="J9" s="96" t="s">
        <v>624</v>
      </c>
      <c r="K9" s="14" t="s">
        <v>238</v>
      </c>
    </row>
    <row r="10" spans="1:11" ht="18" customHeight="1">
      <c r="A10" s="95">
        <v>46036</v>
      </c>
      <c r="B10" s="12" t="s">
        <v>92</v>
      </c>
      <c r="C10" s="96" t="s">
        <v>625</v>
      </c>
      <c r="D10" s="97" t="s">
        <v>623</v>
      </c>
      <c r="E10" s="98">
        <v>48</v>
      </c>
      <c r="F10" s="98">
        <v>1625</v>
      </c>
      <c r="G10" s="99">
        <f t="shared" si="0"/>
        <v>78000</v>
      </c>
      <c r="H10" s="100"/>
      <c r="I10" s="101">
        <v>46761</v>
      </c>
      <c r="J10" s="96"/>
      <c r="K10" s="14" t="s">
        <v>238</v>
      </c>
    </row>
    <row r="11" spans="1:11" ht="18" customHeight="1">
      <c r="A11" s="95">
        <v>46036</v>
      </c>
      <c r="B11" s="12" t="s">
        <v>120</v>
      </c>
      <c r="C11" s="96" t="s">
        <v>628</v>
      </c>
      <c r="D11" s="102" t="s">
        <v>627</v>
      </c>
      <c r="E11" s="98">
        <v>2000</v>
      </c>
      <c r="F11" s="98">
        <v>3287.5</v>
      </c>
      <c r="G11" s="99">
        <f t="shared" si="0"/>
        <v>6575000</v>
      </c>
      <c r="H11" s="100"/>
      <c r="I11" s="101">
        <v>46024</v>
      </c>
      <c r="J11" s="96" t="s">
        <v>624</v>
      </c>
      <c r="K11" s="14" t="s">
        <v>238</v>
      </c>
    </row>
    <row r="12" spans="1:11" ht="18" customHeight="1">
      <c r="A12" s="95">
        <v>46037</v>
      </c>
      <c r="B12" s="12" t="s">
        <v>71</v>
      </c>
      <c r="C12" s="96" t="s">
        <v>625</v>
      </c>
      <c r="D12" s="97" t="s">
        <v>623</v>
      </c>
      <c r="E12" s="98">
        <v>20</v>
      </c>
      <c r="F12" s="98">
        <v>7800</v>
      </c>
      <c r="G12" s="99">
        <f t="shared" si="0"/>
        <v>156000</v>
      </c>
      <c r="H12" s="100"/>
      <c r="I12" s="101">
        <v>46462</v>
      </c>
      <c r="J12" s="96"/>
      <c r="K12" s="14" t="s">
        <v>238</v>
      </c>
    </row>
    <row r="13" spans="1:11" ht="18" customHeight="1">
      <c r="A13" s="95">
        <v>46037</v>
      </c>
      <c r="B13" s="12" t="s">
        <v>130</v>
      </c>
      <c r="C13" s="96" t="s">
        <v>625</v>
      </c>
      <c r="D13" s="97" t="s">
        <v>623</v>
      </c>
      <c r="E13" s="98">
        <v>54</v>
      </c>
      <c r="F13" s="98">
        <v>5361.11</v>
      </c>
      <c r="G13" s="99">
        <f t="shared" si="0"/>
        <v>289499.94</v>
      </c>
      <c r="H13" s="100"/>
      <c r="I13" s="101">
        <v>46386</v>
      </c>
      <c r="J13" s="96"/>
      <c r="K13" s="14" t="s">
        <v>238</v>
      </c>
    </row>
    <row r="14" spans="1:11" ht="18" customHeight="1">
      <c r="A14" s="95">
        <v>46038</v>
      </c>
      <c r="B14" s="12" t="s">
        <v>68</v>
      </c>
      <c r="C14" s="96" t="s">
        <v>629</v>
      </c>
      <c r="D14" s="97" t="s">
        <v>623</v>
      </c>
      <c r="E14" s="98">
        <v>144</v>
      </c>
      <c r="F14" s="98">
        <v>7150</v>
      </c>
      <c r="G14" s="99">
        <f t="shared" si="0"/>
        <v>1029600</v>
      </c>
      <c r="H14" s="100"/>
      <c r="I14" s="101">
        <v>46176</v>
      </c>
      <c r="J14" s="96"/>
      <c r="K14" s="14" t="s">
        <v>238</v>
      </c>
    </row>
    <row r="15" spans="1:11" ht="18" customHeight="1">
      <c r="A15" s="95">
        <v>46038</v>
      </c>
      <c r="B15" s="12" t="s">
        <v>132</v>
      </c>
      <c r="C15" s="96" t="s">
        <v>625</v>
      </c>
      <c r="D15" s="97" t="s">
        <v>623</v>
      </c>
      <c r="E15" s="98">
        <v>18</v>
      </c>
      <c r="F15" s="98">
        <v>9200</v>
      </c>
      <c r="G15" s="99">
        <f t="shared" si="0"/>
        <v>165600</v>
      </c>
      <c r="H15" s="100"/>
      <c r="I15" s="101">
        <v>46310</v>
      </c>
      <c r="J15" s="96"/>
      <c r="K15" s="14" t="s">
        <v>238</v>
      </c>
    </row>
    <row r="16" spans="1:11" ht="18" customHeight="1">
      <c r="A16" s="95">
        <v>46038</v>
      </c>
      <c r="B16" s="12" t="s">
        <v>68</v>
      </c>
      <c r="C16" s="96" t="s">
        <v>625</v>
      </c>
      <c r="D16" s="97" t="s">
        <v>623</v>
      </c>
      <c r="E16" s="98">
        <v>10</v>
      </c>
      <c r="F16" s="98">
        <v>12200</v>
      </c>
      <c r="G16" s="99">
        <f t="shared" si="0"/>
        <v>122000</v>
      </c>
      <c r="H16" s="100"/>
      <c r="I16" s="101">
        <v>46217</v>
      </c>
      <c r="J16" s="96"/>
      <c r="K16" s="14" t="s">
        <v>238</v>
      </c>
    </row>
    <row r="17" spans="1:11" ht="18" customHeight="1">
      <c r="A17" s="95">
        <v>46038</v>
      </c>
      <c r="B17" s="12" t="s">
        <v>111</v>
      </c>
      <c r="C17" s="96" t="s">
        <v>625</v>
      </c>
      <c r="D17" s="97" t="s">
        <v>623</v>
      </c>
      <c r="E17" s="98">
        <v>2</v>
      </c>
      <c r="F17" s="98">
        <v>11500</v>
      </c>
      <c r="G17" s="99">
        <f t="shared" si="0"/>
        <v>23000</v>
      </c>
      <c r="H17" s="100"/>
      <c r="I17" s="101">
        <v>46673</v>
      </c>
      <c r="J17" s="96"/>
      <c r="K17" s="14" t="s">
        <v>238</v>
      </c>
    </row>
    <row r="18" spans="1:11" ht="18" customHeight="1">
      <c r="A18" s="95">
        <v>46038</v>
      </c>
      <c r="B18" s="12" t="s">
        <v>84</v>
      </c>
      <c r="C18" s="96" t="s">
        <v>625</v>
      </c>
      <c r="D18" s="97" t="s">
        <v>623</v>
      </c>
      <c r="E18" s="98">
        <v>2.5</v>
      </c>
      <c r="F18" s="98">
        <v>6600</v>
      </c>
      <c r="G18" s="99">
        <f t="shared" si="0"/>
        <v>16500</v>
      </c>
      <c r="H18" s="100"/>
      <c r="I18" s="101">
        <v>46151</v>
      </c>
      <c r="J18" s="96"/>
      <c r="K18" s="14" t="s">
        <v>238</v>
      </c>
    </row>
    <row r="19" spans="1:11" ht="18" customHeight="1">
      <c r="A19" s="95">
        <v>46038</v>
      </c>
      <c r="B19" s="12" t="s">
        <v>97</v>
      </c>
      <c r="C19" s="96" t="s">
        <v>625</v>
      </c>
      <c r="D19" s="97" t="s">
        <v>623</v>
      </c>
      <c r="E19" s="98">
        <v>36</v>
      </c>
      <c r="F19" s="98">
        <v>7500</v>
      </c>
      <c r="G19" s="99">
        <f t="shared" si="0"/>
        <v>270000</v>
      </c>
      <c r="H19" s="100"/>
      <c r="I19" s="101">
        <v>46322</v>
      </c>
      <c r="J19" s="96"/>
      <c r="K19" s="14" t="s">
        <v>238</v>
      </c>
    </row>
    <row r="20" spans="1:11" ht="18" customHeight="1">
      <c r="A20" s="95">
        <v>46039</v>
      </c>
      <c r="B20" s="12" t="s">
        <v>62</v>
      </c>
      <c r="C20" s="96" t="s">
        <v>625</v>
      </c>
      <c r="D20" s="97" t="s">
        <v>623</v>
      </c>
      <c r="E20" s="98">
        <v>4</v>
      </c>
      <c r="F20" s="98">
        <v>12000</v>
      </c>
      <c r="G20" s="99">
        <f t="shared" si="0"/>
        <v>48000</v>
      </c>
      <c r="H20" s="100"/>
      <c r="I20" s="101">
        <v>46742</v>
      </c>
      <c r="J20" s="96"/>
      <c r="K20" s="14" t="s">
        <v>238</v>
      </c>
    </row>
    <row r="21" spans="1:11" ht="18" customHeight="1">
      <c r="A21" s="95">
        <v>46039</v>
      </c>
      <c r="B21" s="12" t="s">
        <v>122</v>
      </c>
      <c r="C21" s="96" t="s">
        <v>625</v>
      </c>
      <c r="D21" s="97" t="s">
        <v>623</v>
      </c>
      <c r="E21" s="98">
        <v>20</v>
      </c>
      <c r="F21" s="98">
        <v>39700</v>
      </c>
      <c r="G21" s="99">
        <f t="shared" si="0"/>
        <v>794000</v>
      </c>
      <c r="H21" s="100"/>
      <c r="I21" s="101">
        <v>46245</v>
      </c>
      <c r="J21" s="96"/>
      <c r="K21" s="14" t="s">
        <v>238</v>
      </c>
    </row>
    <row r="22" spans="1:11" ht="18" customHeight="1">
      <c r="A22" s="95">
        <v>46039</v>
      </c>
      <c r="B22" s="12" t="s">
        <v>92</v>
      </c>
      <c r="C22" s="96" t="s">
        <v>625</v>
      </c>
      <c r="D22" s="97" t="s">
        <v>623</v>
      </c>
      <c r="E22" s="98">
        <v>48</v>
      </c>
      <c r="F22" s="98">
        <v>1625</v>
      </c>
      <c r="G22" s="99">
        <f t="shared" si="0"/>
        <v>78000</v>
      </c>
      <c r="H22" s="100"/>
      <c r="I22" s="101">
        <v>46761</v>
      </c>
      <c r="J22" s="96"/>
      <c r="K22" s="14" t="s">
        <v>238</v>
      </c>
    </row>
    <row r="23" spans="1:11" ht="18" customHeight="1">
      <c r="A23" s="95">
        <v>46039</v>
      </c>
      <c r="B23" s="12" t="s">
        <v>74</v>
      </c>
      <c r="C23" s="96" t="s">
        <v>625</v>
      </c>
      <c r="D23" s="97" t="s">
        <v>623</v>
      </c>
      <c r="E23" s="98">
        <v>1</v>
      </c>
      <c r="F23" s="98">
        <v>23900</v>
      </c>
      <c r="G23" s="99">
        <f t="shared" si="0"/>
        <v>23900</v>
      </c>
      <c r="H23" s="100"/>
      <c r="I23" s="101">
        <v>46266</v>
      </c>
      <c r="J23" s="96"/>
      <c r="K23" s="14" t="s">
        <v>238</v>
      </c>
    </row>
    <row r="24" spans="1:11" ht="18" customHeight="1">
      <c r="A24" s="95">
        <v>46039</v>
      </c>
      <c r="B24" s="12" t="s">
        <v>97</v>
      </c>
      <c r="C24" s="96" t="s">
        <v>625</v>
      </c>
      <c r="D24" s="97" t="s">
        <v>623</v>
      </c>
      <c r="E24" s="98">
        <v>84</v>
      </c>
      <c r="F24" s="98">
        <v>7500</v>
      </c>
      <c r="G24" s="99">
        <f t="shared" si="0"/>
        <v>630000</v>
      </c>
      <c r="H24" s="100"/>
      <c r="I24" s="101">
        <v>46322</v>
      </c>
      <c r="J24" s="96"/>
      <c r="K24" s="14" t="s">
        <v>238</v>
      </c>
    </row>
    <row r="25" spans="1:11" ht="18" customHeight="1">
      <c r="A25" s="95">
        <v>46039</v>
      </c>
      <c r="B25" s="12" t="s">
        <v>132</v>
      </c>
      <c r="C25" s="96" t="s">
        <v>625</v>
      </c>
      <c r="D25" s="97" t="s">
        <v>623</v>
      </c>
      <c r="E25" s="98">
        <v>10</v>
      </c>
      <c r="F25" s="98">
        <v>10200</v>
      </c>
      <c r="G25" s="99">
        <f t="shared" si="0"/>
        <v>102000</v>
      </c>
      <c r="H25" s="100"/>
      <c r="I25" s="101">
        <v>46266</v>
      </c>
      <c r="J25" s="96"/>
      <c r="K25" s="14" t="s">
        <v>238</v>
      </c>
    </row>
    <row r="26" spans="1:11" ht="18" customHeight="1">
      <c r="A26" s="95">
        <v>46041</v>
      </c>
      <c r="B26" s="12" t="s">
        <v>115</v>
      </c>
      <c r="C26" s="96" t="s">
        <v>630</v>
      </c>
      <c r="D26" s="97" t="s">
        <v>623</v>
      </c>
      <c r="E26" s="98">
        <v>400</v>
      </c>
      <c r="F26" s="98">
        <v>1584</v>
      </c>
      <c r="G26" s="99">
        <f t="shared" si="0"/>
        <v>633600</v>
      </c>
      <c r="H26" s="100"/>
      <c r="I26" s="101">
        <v>46142</v>
      </c>
      <c r="J26" s="96"/>
      <c r="K26" s="14" t="s">
        <v>238</v>
      </c>
    </row>
    <row r="27" spans="1:11" ht="18" customHeight="1">
      <c r="A27" s="95">
        <v>46041</v>
      </c>
      <c r="B27" s="12" t="s">
        <v>99</v>
      </c>
      <c r="C27" s="96" t="s">
        <v>630</v>
      </c>
      <c r="D27" s="97" t="s">
        <v>623</v>
      </c>
      <c r="E27" s="98">
        <v>300</v>
      </c>
      <c r="F27" s="98">
        <v>1320</v>
      </c>
      <c r="G27" s="99">
        <f t="shared" si="0"/>
        <v>396000</v>
      </c>
      <c r="H27" s="100"/>
      <c r="I27" s="101">
        <v>46012</v>
      </c>
      <c r="J27" s="96" t="s">
        <v>631</v>
      </c>
      <c r="K27" s="14" t="s">
        <v>238</v>
      </c>
    </row>
    <row r="28" spans="1:11" ht="18" customHeight="1">
      <c r="A28" s="95">
        <v>46041</v>
      </c>
      <c r="B28" s="12" t="s">
        <v>92</v>
      </c>
      <c r="C28" s="96" t="s">
        <v>630</v>
      </c>
      <c r="D28" s="97" t="s">
        <v>623</v>
      </c>
      <c r="E28" s="98">
        <v>72</v>
      </c>
      <c r="F28" s="98">
        <v>1695.83</v>
      </c>
      <c r="G28" s="99">
        <f t="shared" si="0"/>
        <v>122099.76</v>
      </c>
      <c r="H28" s="100"/>
      <c r="I28" s="101">
        <v>46274</v>
      </c>
      <c r="J28" s="96"/>
      <c r="K28" s="14" t="s">
        <v>238</v>
      </c>
    </row>
    <row r="29" spans="1:11" ht="18" customHeight="1">
      <c r="A29" s="95">
        <v>46039</v>
      </c>
      <c r="B29" s="12" t="s">
        <v>107</v>
      </c>
      <c r="C29" s="96" t="s">
        <v>625</v>
      </c>
      <c r="D29" s="97" t="s">
        <v>623</v>
      </c>
      <c r="E29" s="98">
        <v>0.5</v>
      </c>
      <c r="F29" s="98">
        <v>28000</v>
      </c>
      <c r="G29" s="99">
        <f t="shared" si="0"/>
        <v>14000</v>
      </c>
      <c r="H29" s="100"/>
      <c r="I29" s="101">
        <v>46118</v>
      </c>
      <c r="J29" s="96"/>
      <c r="K29" s="14" t="s">
        <v>238</v>
      </c>
    </row>
    <row r="30" spans="1:11" ht="18" customHeight="1">
      <c r="A30" s="95">
        <v>46042</v>
      </c>
      <c r="B30" s="12" t="s">
        <v>73</v>
      </c>
      <c r="C30" s="96" t="s">
        <v>625</v>
      </c>
      <c r="D30" s="97" t="s">
        <v>623</v>
      </c>
      <c r="E30" s="98">
        <v>2</v>
      </c>
      <c r="F30" s="98">
        <v>28000</v>
      </c>
      <c r="G30" s="99">
        <f t="shared" si="0"/>
        <v>56000</v>
      </c>
      <c r="H30" s="100"/>
      <c r="I30" s="101">
        <v>46724</v>
      </c>
      <c r="J30" s="96"/>
      <c r="K30" s="14" t="s">
        <v>238</v>
      </c>
    </row>
    <row r="31" spans="1:11" ht="18" customHeight="1">
      <c r="A31" s="95">
        <v>46043</v>
      </c>
      <c r="B31" s="12" t="s">
        <v>108</v>
      </c>
      <c r="C31" s="96" t="s">
        <v>625</v>
      </c>
      <c r="D31" s="97" t="s">
        <v>623</v>
      </c>
      <c r="E31" s="98">
        <v>80</v>
      </c>
      <c r="F31" s="98">
        <v>1175</v>
      </c>
      <c r="G31" s="99">
        <f t="shared" si="0"/>
        <v>94000</v>
      </c>
      <c r="H31" s="100"/>
      <c r="I31" s="101">
        <v>45982</v>
      </c>
      <c r="J31" s="96" t="s">
        <v>631</v>
      </c>
      <c r="K31" s="14" t="s">
        <v>238</v>
      </c>
    </row>
    <row r="32" spans="1:11" ht="18" customHeight="1">
      <c r="A32" s="95">
        <v>46043</v>
      </c>
      <c r="B32" s="12" t="s">
        <v>134</v>
      </c>
      <c r="C32" s="96" t="s">
        <v>632</v>
      </c>
      <c r="D32" s="102" t="s">
        <v>627</v>
      </c>
      <c r="E32" s="98">
        <v>1000</v>
      </c>
      <c r="F32" s="98">
        <v>2900</v>
      </c>
      <c r="G32" s="99">
        <f t="shared" si="0"/>
        <v>2900000</v>
      </c>
      <c r="H32" s="100"/>
      <c r="I32" s="101">
        <v>46350</v>
      </c>
      <c r="J32" s="96" t="s">
        <v>631</v>
      </c>
      <c r="K32" s="14" t="s">
        <v>238</v>
      </c>
    </row>
    <row r="33" spans="1:11" ht="18" customHeight="1">
      <c r="A33" s="95">
        <v>46043</v>
      </c>
      <c r="B33" s="12" t="s">
        <v>99</v>
      </c>
      <c r="C33" s="96" t="s">
        <v>632</v>
      </c>
      <c r="D33" s="102" t="s">
        <v>627</v>
      </c>
      <c r="E33" s="98">
        <v>1260</v>
      </c>
      <c r="F33" s="98">
        <v>1166.67</v>
      </c>
      <c r="G33" s="99">
        <f t="shared" si="0"/>
        <v>1470004.2000000002</v>
      </c>
      <c r="H33" s="100"/>
      <c r="I33" s="101">
        <v>46024</v>
      </c>
      <c r="J33" s="96" t="s">
        <v>631</v>
      </c>
      <c r="K33" s="14" t="s">
        <v>238</v>
      </c>
    </row>
    <row r="34" spans="1:11" ht="18" customHeight="1">
      <c r="A34" s="95">
        <v>46044</v>
      </c>
      <c r="B34" s="12" t="s">
        <v>92</v>
      </c>
      <c r="C34" s="96" t="s">
        <v>625</v>
      </c>
      <c r="D34" s="97" t="s">
        <v>623</v>
      </c>
      <c r="E34" s="98">
        <v>72</v>
      </c>
      <c r="F34" s="98">
        <v>1350</v>
      </c>
      <c r="G34" s="99">
        <f t="shared" si="0"/>
        <v>97200</v>
      </c>
      <c r="H34" s="100"/>
      <c r="I34" s="101">
        <v>46737</v>
      </c>
      <c r="J34" s="96"/>
      <c r="K34" s="14" t="s">
        <v>238</v>
      </c>
    </row>
    <row r="35" spans="1:11" ht="18" customHeight="1">
      <c r="A35" s="95">
        <v>46044</v>
      </c>
      <c r="B35" s="12" t="s">
        <v>84</v>
      </c>
      <c r="C35" s="96" t="s">
        <v>633</v>
      </c>
      <c r="D35" s="97" t="s">
        <v>623</v>
      </c>
      <c r="E35" s="98">
        <v>60</v>
      </c>
      <c r="F35" s="98">
        <v>6652</v>
      </c>
      <c r="G35" s="99">
        <f t="shared" si="0"/>
        <v>399120</v>
      </c>
      <c r="H35" s="100"/>
      <c r="I35" s="101">
        <v>46207</v>
      </c>
      <c r="J35" s="96"/>
      <c r="K35" s="14" t="s">
        <v>238</v>
      </c>
    </row>
    <row r="36" spans="1:11" ht="18" customHeight="1">
      <c r="A36" s="95">
        <v>46046</v>
      </c>
      <c r="B36" s="12" t="s">
        <v>115</v>
      </c>
      <c r="C36" s="96" t="s">
        <v>625</v>
      </c>
      <c r="D36" s="97" t="s">
        <v>623</v>
      </c>
      <c r="E36" s="98">
        <v>60</v>
      </c>
      <c r="F36" s="98">
        <v>3480</v>
      </c>
      <c r="G36" s="99">
        <f t="shared" si="0"/>
        <v>208800</v>
      </c>
      <c r="H36" s="100"/>
      <c r="I36" s="101">
        <v>46181</v>
      </c>
      <c r="J36" s="96"/>
      <c r="K36" s="14" t="s">
        <v>238</v>
      </c>
    </row>
    <row r="37" spans="1:11" ht="18" customHeight="1">
      <c r="A37" s="95">
        <v>46049</v>
      </c>
      <c r="B37" s="12" t="s">
        <v>116</v>
      </c>
      <c r="C37" s="96" t="s">
        <v>626</v>
      </c>
      <c r="D37" s="102" t="s">
        <v>627</v>
      </c>
      <c r="E37" s="98">
        <v>2000</v>
      </c>
      <c r="F37" s="98">
        <v>2750</v>
      </c>
      <c r="G37" s="99">
        <f t="shared" si="0"/>
        <v>5500000</v>
      </c>
      <c r="H37" s="100"/>
      <c r="I37" s="101">
        <v>46134</v>
      </c>
      <c r="J37" s="96"/>
      <c r="K37" s="14" t="s">
        <v>238</v>
      </c>
    </row>
    <row r="38" spans="1:11" ht="18" customHeight="1">
      <c r="A38" s="95">
        <v>46051</v>
      </c>
      <c r="B38" s="12" t="s">
        <v>108</v>
      </c>
      <c r="C38" s="96" t="s">
        <v>625</v>
      </c>
      <c r="D38" s="97" t="s">
        <v>623</v>
      </c>
      <c r="E38" s="98">
        <v>80</v>
      </c>
      <c r="F38" s="98">
        <v>1175</v>
      </c>
      <c r="G38" s="99">
        <f t="shared" si="0"/>
        <v>94000</v>
      </c>
      <c r="H38" s="100"/>
      <c r="I38" s="101">
        <v>45982</v>
      </c>
      <c r="J38" s="96" t="s">
        <v>631</v>
      </c>
      <c r="K38" s="14" t="s">
        <v>238</v>
      </c>
    </row>
    <row r="39" spans="1:11" ht="18" customHeight="1">
      <c r="A39" s="95">
        <v>46052</v>
      </c>
      <c r="B39" s="12" t="s">
        <v>121</v>
      </c>
      <c r="C39" s="96" t="s">
        <v>625</v>
      </c>
      <c r="D39" s="97" t="s">
        <v>623</v>
      </c>
      <c r="E39" s="98">
        <v>160</v>
      </c>
      <c r="F39" s="98">
        <v>620</v>
      </c>
      <c r="G39" s="99">
        <f t="shared" si="0"/>
        <v>99200</v>
      </c>
      <c r="H39" s="100"/>
      <c r="I39" s="101" t="s">
        <v>634</v>
      </c>
      <c r="J39" s="96"/>
      <c r="K39" s="14" t="s">
        <v>238</v>
      </c>
    </row>
    <row r="40" spans="1:11" ht="18" customHeight="1">
      <c r="A40" s="95">
        <v>46052</v>
      </c>
      <c r="B40" s="12" t="s">
        <v>104</v>
      </c>
      <c r="C40" s="96" t="s">
        <v>625</v>
      </c>
      <c r="D40" s="97" t="s">
        <v>623</v>
      </c>
      <c r="E40" s="98">
        <v>8</v>
      </c>
      <c r="F40" s="98">
        <v>14100</v>
      </c>
      <c r="G40" s="99">
        <f t="shared" si="0"/>
        <v>112800</v>
      </c>
      <c r="H40" s="100"/>
      <c r="I40" s="101">
        <v>46603</v>
      </c>
      <c r="J40" s="96"/>
      <c r="K40" s="14" t="s">
        <v>238</v>
      </c>
    </row>
    <row r="41" spans="1:11" ht="18" customHeight="1">
      <c r="A41" s="95">
        <v>46052</v>
      </c>
      <c r="B41" s="12" t="s">
        <v>99</v>
      </c>
      <c r="C41" s="96" t="s">
        <v>632</v>
      </c>
      <c r="D41" s="102" t="s">
        <v>627</v>
      </c>
      <c r="E41" s="98">
        <v>1260</v>
      </c>
      <c r="F41" s="98">
        <v>1166.67</v>
      </c>
      <c r="G41" s="99">
        <f t="shared" si="0"/>
        <v>1470004.2000000002</v>
      </c>
      <c r="H41" s="100"/>
      <c r="I41" s="101">
        <v>46032</v>
      </c>
      <c r="J41" s="96" t="s">
        <v>631</v>
      </c>
      <c r="K41" s="14" t="s">
        <v>238</v>
      </c>
    </row>
    <row r="42" spans="1:11" ht="18" customHeight="1">
      <c r="A42" s="95">
        <v>46052</v>
      </c>
      <c r="B42" s="12" t="s">
        <v>134</v>
      </c>
      <c r="C42" s="96" t="s">
        <v>632</v>
      </c>
      <c r="D42" s="102" t="s">
        <v>627</v>
      </c>
      <c r="E42" s="98">
        <v>780</v>
      </c>
      <c r="F42" s="98">
        <v>2900</v>
      </c>
      <c r="G42" s="99">
        <f t="shared" si="0"/>
        <v>2262000</v>
      </c>
      <c r="H42" s="100"/>
      <c r="I42" s="101">
        <v>46046</v>
      </c>
      <c r="J42" s="96" t="s">
        <v>631</v>
      </c>
      <c r="K42" s="14" t="s">
        <v>238</v>
      </c>
    </row>
    <row r="43" spans="1:11" ht="18" customHeight="1">
      <c r="A43" s="95">
        <v>46052</v>
      </c>
      <c r="B43" s="12" t="s">
        <v>108</v>
      </c>
      <c r="C43" s="96" t="s">
        <v>632</v>
      </c>
      <c r="D43" s="102" t="s">
        <v>627</v>
      </c>
      <c r="E43" s="98">
        <v>500</v>
      </c>
      <c r="F43" s="98">
        <v>1225</v>
      </c>
      <c r="G43" s="99">
        <f t="shared" si="0"/>
        <v>612500</v>
      </c>
      <c r="H43" s="100"/>
      <c r="I43" s="101">
        <v>46775</v>
      </c>
      <c r="J43" s="96"/>
      <c r="K43" s="14" t="s">
        <v>238</v>
      </c>
    </row>
    <row r="44" spans="1:11" ht="18" customHeight="1">
      <c r="A44" s="95">
        <v>46053</v>
      </c>
      <c r="B44" s="12" t="s">
        <v>120</v>
      </c>
      <c r="C44" s="96" t="s">
        <v>628</v>
      </c>
      <c r="D44" s="102" t="s">
        <v>627</v>
      </c>
      <c r="E44" s="98">
        <v>1600</v>
      </c>
      <c r="F44" s="98">
        <v>3287.5</v>
      </c>
      <c r="G44" s="99">
        <f t="shared" si="0"/>
        <v>5260000</v>
      </c>
      <c r="H44" s="100"/>
      <c r="I44" s="101">
        <v>46041</v>
      </c>
      <c r="J44" s="96" t="s">
        <v>624</v>
      </c>
      <c r="K44" s="14" t="s">
        <v>238</v>
      </c>
    </row>
    <row r="45" spans="1:11" ht="18" customHeight="1">
      <c r="A45" s="95">
        <v>46053</v>
      </c>
      <c r="B45" s="12" t="s">
        <v>60</v>
      </c>
      <c r="C45" s="96" t="s">
        <v>628</v>
      </c>
      <c r="D45" s="102" t="s">
        <v>627</v>
      </c>
      <c r="E45" s="98">
        <v>40</v>
      </c>
      <c r="F45" s="98">
        <v>8000</v>
      </c>
      <c r="G45" s="99">
        <f t="shared" si="0"/>
        <v>320000</v>
      </c>
      <c r="H45" s="100"/>
      <c r="I45" s="101">
        <v>46401</v>
      </c>
      <c r="J45" s="96"/>
      <c r="K45" s="14" t="s">
        <v>238</v>
      </c>
    </row>
    <row r="46" spans="1:11" ht="18" customHeight="1">
      <c r="A46" s="95">
        <v>46056</v>
      </c>
      <c r="B46" s="12" t="s">
        <v>84</v>
      </c>
      <c r="C46" s="96" t="s">
        <v>633</v>
      </c>
      <c r="D46" s="97" t="s">
        <v>623</v>
      </c>
      <c r="E46" s="98">
        <v>60</v>
      </c>
      <c r="F46" s="98">
        <v>6652</v>
      </c>
      <c r="G46" s="99">
        <f t="shared" si="0"/>
        <v>399120</v>
      </c>
      <c r="H46" s="100"/>
      <c r="I46" s="101">
        <v>46214</v>
      </c>
      <c r="J46" s="96"/>
      <c r="K46" s="14" t="s">
        <v>239</v>
      </c>
    </row>
    <row r="47" spans="1:11" ht="18" customHeight="1">
      <c r="A47" s="95">
        <v>46056</v>
      </c>
      <c r="B47" s="12" t="s">
        <v>116</v>
      </c>
      <c r="C47" s="96" t="s">
        <v>626</v>
      </c>
      <c r="D47" s="102" t="s">
        <v>627</v>
      </c>
      <c r="E47" s="98">
        <v>1000</v>
      </c>
      <c r="F47" s="98">
        <v>2750</v>
      </c>
      <c r="G47" s="99">
        <f t="shared" si="0"/>
        <v>2750000</v>
      </c>
      <c r="H47" s="100"/>
      <c r="I47" s="101">
        <v>46141</v>
      </c>
      <c r="J47" s="96"/>
      <c r="K47" s="14" t="s">
        <v>239</v>
      </c>
    </row>
    <row r="48" spans="1:11" ht="18" customHeight="1">
      <c r="A48" s="95">
        <v>46056</v>
      </c>
      <c r="B48" s="12" t="s">
        <v>116</v>
      </c>
      <c r="C48" s="96" t="s">
        <v>626</v>
      </c>
      <c r="D48" s="102" t="s">
        <v>627</v>
      </c>
      <c r="E48" s="98">
        <v>1000</v>
      </c>
      <c r="F48" s="98">
        <v>2860</v>
      </c>
      <c r="G48" s="99">
        <f t="shared" si="0"/>
        <v>2860000</v>
      </c>
      <c r="H48" s="100"/>
      <c r="I48" s="101">
        <v>46141</v>
      </c>
      <c r="J48" s="96"/>
      <c r="K48" s="14" t="s">
        <v>239</v>
      </c>
    </row>
    <row r="49" spans="1:11" ht="18" customHeight="1">
      <c r="A49" s="95">
        <v>46057</v>
      </c>
      <c r="B49" s="12" t="s">
        <v>130</v>
      </c>
      <c r="C49" s="96" t="s">
        <v>625</v>
      </c>
      <c r="D49" s="97" t="s">
        <v>623</v>
      </c>
      <c r="E49" s="98">
        <v>36</v>
      </c>
      <c r="F49" s="98">
        <v>5500</v>
      </c>
      <c r="G49" s="99">
        <f t="shared" si="0"/>
        <v>198000</v>
      </c>
      <c r="H49" s="100"/>
      <c r="I49" s="101">
        <v>46386</v>
      </c>
      <c r="J49" s="96"/>
      <c r="K49" s="14" t="s">
        <v>239</v>
      </c>
    </row>
    <row r="50" spans="1:11" ht="18" customHeight="1">
      <c r="A50" s="95">
        <v>46057</v>
      </c>
      <c r="B50" s="12" t="s">
        <v>89</v>
      </c>
      <c r="C50" s="96" t="s">
        <v>635</v>
      </c>
      <c r="D50" s="97" t="s">
        <v>623</v>
      </c>
      <c r="E50" s="98">
        <v>22.68</v>
      </c>
      <c r="F50" s="98">
        <v>24500</v>
      </c>
      <c r="G50" s="99">
        <f t="shared" si="0"/>
        <v>555660</v>
      </c>
      <c r="H50" s="100"/>
      <c r="I50" s="101">
        <v>46150</v>
      </c>
      <c r="J50" s="96"/>
      <c r="K50" s="14" t="s">
        <v>239</v>
      </c>
    </row>
    <row r="51" spans="1:11" ht="18" customHeight="1">
      <c r="A51" s="95">
        <v>46059</v>
      </c>
      <c r="B51" s="12" t="s">
        <v>128</v>
      </c>
      <c r="C51" s="96" t="s">
        <v>625</v>
      </c>
      <c r="D51" s="97" t="s">
        <v>623</v>
      </c>
      <c r="E51" s="98">
        <v>13.61</v>
      </c>
      <c r="F51" s="98">
        <v>12490.82</v>
      </c>
      <c r="G51" s="99">
        <f t="shared" si="0"/>
        <v>170000.06019999998</v>
      </c>
      <c r="H51" s="100"/>
      <c r="I51" s="101">
        <v>45979</v>
      </c>
      <c r="J51" s="96" t="s">
        <v>636</v>
      </c>
      <c r="K51" s="14" t="s">
        <v>239</v>
      </c>
    </row>
    <row r="52" spans="1:11" ht="18" customHeight="1">
      <c r="A52" s="95">
        <v>46059</v>
      </c>
      <c r="B52" s="12" t="s">
        <v>115</v>
      </c>
      <c r="C52" s="96" t="s">
        <v>625</v>
      </c>
      <c r="D52" s="97" t="s">
        <v>623</v>
      </c>
      <c r="E52" s="98">
        <v>60</v>
      </c>
      <c r="F52" s="98">
        <v>3480</v>
      </c>
      <c r="G52" s="99">
        <f t="shared" si="0"/>
        <v>208800</v>
      </c>
      <c r="H52" s="100"/>
      <c r="I52" s="101">
        <v>46181</v>
      </c>
      <c r="J52" s="96"/>
      <c r="K52" s="14" t="s">
        <v>239</v>
      </c>
    </row>
    <row r="53" spans="1:11" ht="18" customHeight="1">
      <c r="A53" s="95">
        <v>46059</v>
      </c>
      <c r="B53" s="12" t="s">
        <v>82</v>
      </c>
      <c r="C53" s="96" t="s">
        <v>625</v>
      </c>
      <c r="D53" s="97" t="s">
        <v>623</v>
      </c>
      <c r="E53" s="98">
        <v>20</v>
      </c>
      <c r="F53" s="98">
        <v>3215</v>
      </c>
      <c r="G53" s="99">
        <f t="shared" si="0"/>
        <v>64300</v>
      </c>
      <c r="H53" s="100"/>
      <c r="I53" s="101" t="s">
        <v>634</v>
      </c>
      <c r="J53" s="96"/>
      <c r="K53" s="14" t="s">
        <v>239</v>
      </c>
    </row>
    <row r="54" spans="1:11" ht="18" customHeight="1">
      <c r="A54" s="95">
        <v>46059</v>
      </c>
      <c r="B54" s="12" t="s">
        <v>71</v>
      </c>
      <c r="C54" s="96" t="s">
        <v>625</v>
      </c>
      <c r="D54" s="97" t="s">
        <v>623</v>
      </c>
      <c r="E54" s="98">
        <v>20</v>
      </c>
      <c r="F54" s="98">
        <v>7800</v>
      </c>
      <c r="G54" s="99">
        <f t="shared" si="0"/>
        <v>156000</v>
      </c>
      <c r="H54" s="100"/>
      <c r="I54" s="101">
        <v>46515</v>
      </c>
      <c r="J54" s="96"/>
      <c r="K54" s="14" t="s">
        <v>239</v>
      </c>
    </row>
    <row r="55" spans="1:11" ht="18" customHeight="1">
      <c r="A55" s="95">
        <v>46059</v>
      </c>
      <c r="B55" s="12" t="s">
        <v>104</v>
      </c>
      <c r="C55" s="96" t="s">
        <v>625</v>
      </c>
      <c r="D55" s="97" t="s">
        <v>623</v>
      </c>
      <c r="E55" s="98">
        <v>8</v>
      </c>
      <c r="F55" s="98">
        <v>14100</v>
      </c>
      <c r="G55" s="99">
        <f t="shared" si="0"/>
        <v>112800</v>
      </c>
      <c r="H55" s="100"/>
      <c r="I55" s="101">
        <v>46603</v>
      </c>
      <c r="J55" s="96"/>
      <c r="K55" s="14" t="s">
        <v>239</v>
      </c>
    </row>
    <row r="56" spans="1:11" ht="18" customHeight="1">
      <c r="A56" s="95">
        <v>46059</v>
      </c>
      <c r="B56" s="12" t="s">
        <v>73</v>
      </c>
      <c r="C56" s="96" t="s">
        <v>633</v>
      </c>
      <c r="D56" s="97" t="s">
        <v>623</v>
      </c>
      <c r="E56" s="98">
        <v>4</v>
      </c>
      <c r="F56" s="98">
        <v>34680</v>
      </c>
      <c r="G56" s="99">
        <f t="shared" si="0"/>
        <v>138720</v>
      </c>
      <c r="H56" s="100"/>
      <c r="I56" s="101">
        <v>46724</v>
      </c>
      <c r="J56" s="96"/>
      <c r="K56" s="14" t="s">
        <v>239</v>
      </c>
    </row>
    <row r="57" spans="1:11" ht="18" customHeight="1">
      <c r="A57" s="95">
        <v>46059</v>
      </c>
      <c r="B57" s="12" t="s">
        <v>99</v>
      </c>
      <c r="C57" s="96" t="s">
        <v>632</v>
      </c>
      <c r="D57" s="102" t="s">
        <v>627</v>
      </c>
      <c r="E57" s="98">
        <v>2520</v>
      </c>
      <c r="F57" s="98">
        <v>1153.33</v>
      </c>
      <c r="G57" s="99">
        <f t="shared" si="0"/>
        <v>2906391.5999999996</v>
      </c>
      <c r="H57" s="100"/>
      <c r="I57" s="101">
        <v>46032</v>
      </c>
      <c r="J57" s="96" t="s">
        <v>631</v>
      </c>
      <c r="K57" s="14" t="s">
        <v>239</v>
      </c>
    </row>
    <row r="58" spans="1:11" ht="18" customHeight="1">
      <c r="A58" s="95">
        <v>46059</v>
      </c>
      <c r="B58" s="12" t="s">
        <v>120</v>
      </c>
      <c r="C58" s="96" t="s">
        <v>628</v>
      </c>
      <c r="D58" s="102" t="s">
        <v>627</v>
      </c>
      <c r="E58" s="98">
        <v>1800</v>
      </c>
      <c r="F58" s="98">
        <v>3287.5</v>
      </c>
      <c r="G58" s="99">
        <f t="shared" si="0"/>
        <v>5917500</v>
      </c>
      <c r="H58" s="100"/>
      <c r="I58" s="101">
        <v>46041</v>
      </c>
      <c r="J58" s="96" t="s">
        <v>624</v>
      </c>
      <c r="K58" s="14" t="s">
        <v>239</v>
      </c>
    </row>
    <row r="59" spans="1:11" ht="18" customHeight="1">
      <c r="A59" s="95">
        <v>46062</v>
      </c>
      <c r="B59" s="12" t="s">
        <v>114</v>
      </c>
      <c r="C59" s="96" t="s">
        <v>625</v>
      </c>
      <c r="D59" s="97" t="s">
        <v>623</v>
      </c>
      <c r="E59" s="98">
        <v>2</v>
      </c>
      <c r="F59" s="98">
        <v>20800</v>
      </c>
      <c r="G59" s="99">
        <f t="shared" si="0"/>
        <v>41600</v>
      </c>
      <c r="H59" s="100"/>
      <c r="I59" s="101">
        <v>47109</v>
      </c>
      <c r="J59" s="96"/>
      <c r="K59" s="14" t="s">
        <v>239</v>
      </c>
    </row>
    <row r="60" spans="1:11" ht="18" customHeight="1">
      <c r="A60" s="95">
        <v>46062</v>
      </c>
      <c r="B60" s="12" t="s">
        <v>63</v>
      </c>
      <c r="C60" s="96" t="s">
        <v>625</v>
      </c>
      <c r="D60" s="97" t="s">
        <v>623</v>
      </c>
      <c r="E60" s="98">
        <v>5</v>
      </c>
      <c r="F60" s="98">
        <v>5500</v>
      </c>
      <c r="G60" s="99">
        <f t="shared" si="0"/>
        <v>27500</v>
      </c>
      <c r="H60" s="100"/>
      <c r="I60" s="101">
        <v>46113</v>
      </c>
      <c r="J60" s="96"/>
      <c r="K60" s="14" t="s">
        <v>239</v>
      </c>
    </row>
    <row r="61" spans="1:11" ht="18" customHeight="1">
      <c r="A61" s="95">
        <v>46062</v>
      </c>
      <c r="B61" s="12" t="s">
        <v>87</v>
      </c>
      <c r="C61" s="96" t="s">
        <v>625</v>
      </c>
      <c r="D61" s="97" t="s">
        <v>623</v>
      </c>
      <c r="E61" s="98">
        <v>2.1</v>
      </c>
      <c r="F61" s="98">
        <v>5500</v>
      </c>
      <c r="G61" s="99">
        <f t="shared" si="0"/>
        <v>11550</v>
      </c>
      <c r="H61" s="100"/>
      <c r="I61" s="101">
        <v>46569</v>
      </c>
      <c r="J61" s="96"/>
      <c r="K61" s="14" t="s">
        <v>239</v>
      </c>
    </row>
    <row r="62" spans="1:11" ht="18" customHeight="1">
      <c r="A62" s="95">
        <v>46062</v>
      </c>
      <c r="B62" s="12" t="s">
        <v>86</v>
      </c>
      <c r="C62" s="96" t="s">
        <v>625</v>
      </c>
      <c r="D62" s="97" t="s">
        <v>623</v>
      </c>
      <c r="E62" s="98">
        <v>4</v>
      </c>
      <c r="F62" s="98">
        <v>12870</v>
      </c>
      <c r="G62" s="99">
        <f t="shared" si="0"/>
        <v>51480</v>
      </c>
      <c r="H62" s="100"/>
      <c r="I62" s="101">
        <v>46199</v>
      </c>
      <c r="J62" s="96"/>
      <c r="K62" s="14" t="s">
        <v>239</v>
      </c>
    </row>
    <row r="63" spans="1:11" ht="18" customHeight="1">
      <c r="A63" s="95">
        <v>46062</v>
      </c>
      <c r="B63" s="12" t="s">
        <v>115</v>
      </c>
      <c r="C63" s="96" t="s">
        <v>625</v>
      </c>
      <c r="D63" s="97" t="s">
        <v>623</v>
      </c>
      <c r="E63" s="98">
        <v>60</v>
      </c>
      <c r="F63" s="98">
        <v>3480</v>
      </c>
      <c r="G63" s="99">
        <f t="shared" si="0"/>
        <v>208800</v>
      </c>
      <c r="H63" s="100"/>
      <c r="I63" s="101">
        <v>46181</v>
      </c>
      <c r="J63" s="96"/>
      <c r="K63" s="14" t="s">
        <v>239</v>
      </c>
    </row>
    <row r="64" spans="1:11" ht="18" customHeight="1">
      <c r="A64" s="95">
        <v>46062</v>
      </c>
      <c r="B64" s="12" t="s">
        <v>122</v>
      </c>
      <c r="C64" s="96" t="s">
        <v>625</v>
      </c>
      <c r="D64" s="97" t="s">
        <v>623</v>
      </c>
      <c r="E64" s="98">
        <v>60</v>
      </c>
      <c r="F64" s="98">
        <v>9900</v>
      </c>
      <c r="G64" s="99">
        <f t="shared" si="0"/>
        <v>594000</v>
      </c>
      <c r="H64" s="100"/>
      <c r="I64" s="101">
        <v>46093</v>
      </c>
      <c r="J64" s="96"/>
      <c r="K64" s="14" t="s">
        <v>239</v>
      </c>
    </row>
    <row r="65" spans="1:11" ht="18" customHeight="1">
      <c r="A65" s="95">
        <v>46062</v>
      </c>
      <c r="B65" s="12" t="s">
        <v>97</v>
      </c>
      <c r="C65" s="96" t="s">
        <v>625</v>
      </c>
      <c r="D65" s="97" t="s">
        <v>623</v>
      </c>
      <c r="E65" s="98">
        <v>48</v>
      </c>
      <c r="F65" s="98">
        <v>8250</v>
      </c>
      <c r="G65" s="99">
        <f t="shared" si="0"/>
        <v>396000</v>
      </c>
      <c r="H65" s="100"/>
      <c r="I65" s="101">
        <v>46322</v>
      </c>
      <c r="J65" s="96"/>
      <c r="K65" s="14" t="s">
        <v>239</v>
      </c>
    </row>
    <row r="66" spans="1:11" ht="18" customHeight="1">
      <c r="A66" s="95">
        <v>46062</v>
      </c>
      <c r="B66" s="12" t="s">
        <v>115</v>
      </c>
      <c r="C66" s="96" t="s">
        <v>625</v>
      </c>
      <c r="D66" s="97" t="s">
        <v>623</v>
      </c>
      <c r="E66" s="98">
        <v>60</v>
      </c>
      <c r="F66" s="98">
        <v>3480</v>
      </c>
      <c r="G66" s="99">
        <f t="shared" si="0"/>
        <v>208800</v>
      </c>
      <c r="H66" s="100"/>
      <c r="I66" s="101">
        <v>46204</v>
      </c>
      <c r="J66" s="96"/>
      <c r="K66" s="14" t="s">
        <v>239</v>
      </c>
    </row>
    <row r="67" spans="1:11" ht="18" customHeight="1">
      <c r="A67" s="95">
        <v>46062</v>
      </c>
      <c r="B67" s="12" t="s">
        <v>104</v>
      </c>
      <c r="C67" s="96" t="s">
        <v>633</v>
      </c>
      <c r="D67" s="97" t="s">
        <v>623</v>
      </c>
      <c r="E67" s="98">
        <v>8</v>
      </c>
      <c r="F67" s="98">
        <v>14205</v>
      </c>
      <c r="G67" s="99">
        <f t="shared" si="0"/>
        <v>113640</v>
      </c>
      <c r="H67" s="100"/>
      <c r="I67" s="101">
        <v>46731</v>
      </c>
      <c r="J67" s="96"/>
      <c r="K67" s="14" t="s">
        <v>239</v>
      </c>
    </row>
    <row r="68" spans="1:11" ht="18" customHeight="1">
      <c r="A68" s="95">
        <v>46062</v>
      </c>
      <c r="B68" s="12" t="s">
        <v>84</v>
      </c>
      <c r="C68" s="96" t="s">
        <v>633</v>
      </c>
      <c r="D68" s="97" t="s">
        <v>623</v>
      </c>
      <c r="E68" s="98">
        <v>60</v>
      </c>
      <c r="F68" s="98">
        <v>6652</v>
      </c>
      <c r="G68" s="99">
        <f t="shared" ref="G68:G131" si="1">IFERROR(E68*F68,"")</f>
        <v>399120</v>
      </c>
      <c r="H68" s="100"/>
      <c r="I68" s="101">
        <v>46236</v>
      </c>
      <c r="J68" s="96"/>
      <c r="K68" s="14" t="s">
        <v>239</v>
      </c>
    </row>
    <row r="69" spans="1:11" ht="18" customHeight="1">
      <c r="A69" s="95">
        <v>46062</v>
      </c>
      <c r="B69" s="12" t="s">
        <v>62</v>
      </c>
      <c r="C69" s="96" t="s">
        <v>625</v>
      </c>
      <c r="D69" s="97" t="s">
        <v>623</v>
      </c>
      <c r="E69" s="98">
        <v>2</v>
      </c>
      <c r="F69" s="98">
        <v>12000</v>
      </c>
      <c r="G69" s="99">
        <f t="shared" si="1"/>
        <v>24000</v>
      </c>
      <c r="H69" s="100"/>
      <c r="I69" s="101">
        <v>46742</v>
      </c>
      <c r="J69" s="96"/>
      <c r="K69" s="14" t="s">
        <v>239</v>
      </c>
    </row>
    <row r="70" spans="1:11" ht="18" customHeight="1">
      <c r="A70" s="95">
        <v>46063</v>
      </c>
      <c r="B70" s="12" t="s">
        <v>118</v>
      </c>
      <c r="C70" s="96" t="s">
        <v>637</v>
      </c>
      <c r="D70" s="97" t="s">
        <v>623</v>
      </c>
      <c r="E70" s="98">
        <v>20</v>
      </c>
      <c r="F70" s="98">
        <v>890</v>
      </c>
      <c r="G70" s="99">
        <f t="shared" si="1"/>
        <v>17800</v>
      </c>
      <c r="H70" s="100"/>
      <c r="I70" s="101">
        <v>46363</v>
      </c>
      <c r="J70" s="96"/>
      <c r="K70" s="14" t="s">
        <v>239</v>
      </c>
    </row>
    <row r="71" spans="1:11" ht="18" customHeight="1">
      <c r="A71" s="95">
        <v>46063</v>
      </c>
      <c r="B71" s="12" t="s">
        <v>107</v>
      </c>
      <c r="C71" s="96" t="s">
        <v>637</v>
      </c>
      <c r="D71" s="97" t="s">
        <v>623</v>
      </c>
      <c r="E71" s="98">
        <v>0.5</v>
      </c>
      <c r="F71" s="98">
        <v>11960</v>
      </c>
      <c r="G71" s="99">
        <f t="shared" si="1"/>
        <v>5980</v>
      </c>
      <c r="H71" s="100"/>
      <c r="I71" s="101">
        <v>46170</v>
      </c>
      <c r="J71" s="96"/>
      <c r="K71" s="14" t="s">
        <v>239</v>
      </c>
    </row>
    <row r="72" spans="1:11" ht="18" customHeight="1">
      <c r="A72" s="95">
        <v>46064</v>
      </c>
      <c r="B72" s="12" t="s">
        <v>134</v>
      </c>
      <c r="C72" s="96" t="s">
        <v>632</v>
      </c>
      <c r="D72" s="102" t="s">
        <v>627</v>
      </c>
      <c r="E72" s="98">
        <v>1000</v>
      </c>
      <c r="F72" s="98">
        <v>2900</v>
      </c>
      <c r="G72" s="99">
        <f t="shared" si="1"/>
        <v>2900000</v>
      </c>
      <c r="H72" s="100"/>
      <c r="I72" s="101">
        <v>46046</v>
      </c>
      <c r="J72" s="96" t="s">
        <v>631</v>
      </c>
      <c r="K72" s="14" t="s">
        <v>239</v>
      </c>
    </row>
    <row r="73" spans="1:11" ht="18" customHeight="1">
      <c r="A73" s="95">
        <v>46064</v>
      </c>
      <c r="B73" s="12" t="s">
        <v>116</v>
      </c>
      <c r="C73" s="96" t="s">
        <v>626</v>
      </c>
      <c r="D73" s="102" t="s">
        <v>627</v>
      </c>
      <c r="E73" s="98">
        <v>2000</v>
      </c>
      <c r="F73" s="98">
        <v>2750</v>
      </c>
      <c r="G73" s="99">
        <f t="shared" si="1"/>
        <v>5500000</v>
      </c>
      <c r="H73" s="100"/>
      <c r="I73" s="101">
        <v>46146</v>
      </c>
      <c r="J73" s="96"/>
      <c r="K73" s="14" t="s">
        <v>239</v>
      </c>
    </row>
    <row r="74" spans="1:11" ht="18" customHeight="1">
      <c r="A74" s="95">
        <v>46064</v>
      </c>
      <c r="B74" s="12" t="s">
        <v>116</v>
      </c>
      <c r="C74" s="96" t="s">
        <v>626</v>
      </c>
      <c r="D74" s="102" t="s">
        <v>627</v>
      </c>
      <c r="E74" s="98">
        <v>1000</v>
      </c>
      <c r="F74" s="98">
        <v>2860</v>
      </c>
      <c r="G74" s="99">
        <f t="shared" si="1"/>
        <v>2860000</v>
      </c>
      <c r="H74" s="100"/>
      <c r="I74" s="101">
        <v>46144</v>
      </c>
      <c r="J74" s="96"/>
      <c r="K74" s="14" t="s">
        <v>239</v>
      </c>
    </row>
    <row r="75" spans="1:11" ht="18" customHeight="1">
      <c r="A75" s="95">
        <v>46066</v>
      </c>
      <c r="B75" s="12" t="s">
        <v>130</v>
      </c>
      <c r="C75" s="96" t="s">
        <v>625</v>
      </c>
      <c r="D75" s="97" t="s">
        <v>623</v>
      </c>
      <c r="E75" s="98">
        <v>54</v>
      </c>
      <c r="F75" s="98">
        <v>5453.7</v>
      </c>
      <c r="G75" s="99">
        <f t="shared" si="1"/>
        <v>294499.8</v>
      </c>
      <c r="H75" s="100"/>
      <c r="I75" s="101">
        <v>46394</v>
      </c>
      <c r="J75" s="96"/>
      <c r="K75" s="14" t="s">
        <v>239</v>
      </c>
    </row>
    <row r="76" spans="1:11" ht="18" customHeight="1">
      <c r="A76" s="95">
        <v>46066</v>
      </c>
      <c r="B76" s="12" t="s">
        <v>68</v>
      </c>
      <c r="C76" s="96" t="s">
        <v>625</v>
      </c>
      <c r="D76" s="97" t="s">
        <v>623</v>
      </c>
      <c r="E76" s="98">
        <v>20</v>
      </c>
      <c r="F76" s="98">
        <v>12600</v>
      </c>
      <c r="G76" s="99">
        <f t="shared" si="1"/>
        <v>252000</v>
      </c>
      <c r="H76" s="100"/>
      <c r="I76" s="101">
        <v>46210</v>
      </c>
      <c r="J76" s="96"/>
      <c r="K76" s="14" t="s">
        <v>239</v>
      </c>
    </row>
    <row r="77" spans="1:11" ht="18" customHeight="1">
      <c r="A77" s="95">
        <v>46066</v>
      </c>
      <c r="B77" s="12" t="s">
        <v>69</v>
      </c>
      <c r="C77" s="96" t="s">
        <v>625</v>
      </c>
      <c r="D77" s="97" t="s">
        <v>623</v>
      </c>
      <c r="E77" s="98">
        <v>4</v>
      </c>
      <c r="F77" s="98">
        <v>12900</v>
      </c>
      <c r="G77" s="99">
        <f t="shared" si="1"/>
        <v>51600</v>
      </c>
      <c r="H77" s="100"/>
      <c r="I77" s="101">
        <v>46329</v>
      </c>
      <c r="J77" s="96"/>
      <c r="K77" s="14" t="s">
        <v>239</v>
      </c>
    </row>
    <row r="78" spans="1:11" ht="18" customHeight="1">
      <c r="A78" s="95">
        <v>46066</v>
      </c>
      <c r="B78" s="12" t="s">
        <v>111</v>
      </c>
      <c r="C78" s="96" t="s">
        <v>625</v>
      </c>
      <c r="D78" s="97" t="s">
        <v>623</v>
      </c>
      <c r="E78" s="98">
        <v>4</v>
      </c>
      <c r="F78" s="98">
        <v>11500</v>
      </c>
      <c r="G78" s="99">
        <f t="shared" si="1"/>
        <v>46000</v>
      </c>
      <c r="H78" s="100"/>
      <c r="I78" s="101">
        <v>46352</v>
      </c>
      <c r="J78" s="96"/>
      <c r="K78" s="14" t="s">
        <v>239</v>
      </c>
    </row>
    <row r="79" spans="1:11" ht="18" customHeight="1">
      <c r="A79" s="95">
        <v>46066</v>
      </c>
      <c r="B79" s="12" t="s">
        <v>115</v>
      </c>
      <c r="C79" s="96" t="s">
        <v>625</v>
      </c>
      <c r="D79" s="97" t="s">
        <v>623</v>
      </c>
      <c r="E79" s="98">
        <v>60</v>
      </c>
      <c r="F79" s="98">
        <v>3480</v>
      </c>
      <c r="G79" s="99">
        <f t="shared" si="1"/>
        <v>208800</v>
      </c>
      <c r="H79" s="100"/>
      <c r="I79" s="101">
        <v>46181</v>
      </c>
      <c r="J79" s="96"/>
      <c r="K79" s="14" t="s">
        <v>239</v>
      </c>
    </row>
    <row r="80" spans="1:11" ht="18" customHeight="1">
      <c r="A80" s="95">
        <v>46066</v>
      </c>
      <c r="B80" s="12" t="s">
        <v>71</v>
      </c>
      <c r="C80" s="96" t="s">
        <v>625</v>
      </c>
      <c r="D80" s="97" t="s">
        <v>623</v>
      </c>
      <c r="E80" s="98">
        <v>20</v>
      </c>
      <c r="F80" s="98">
        <v>7800</v>
      </c>
      <c r="G80" s="99">
        <f t="shared" si="1"/>
        <v>156000</v>
      </c>
      <c r="H80" s="100"/>
      <c r="I80" s="101">
        <v>46150</v>
      </c>
      <c r="J80" s="96"/>
      <c r="K80" s="14" t="s">
        <v>239</v>
      </c>
    </row>
    <row r="81" spans="1:11" ht="18" customHeight="1">
      <c r="A81" s="95">
        <v>46066</v>
      </c>
      <c r="B81" s="12" t="s">
        <v>82</v>
      </c>
      <c r="C81" s="96" t="s">
        <v>625</v>
      </c>
      <c r="D81" s="97" t="s">
        <v>623</v>
      </c>
      <c r="E81" s="98">
        <v>20</v>
      </c>
      <c r="F81" s="98">
        <v>3215</v>
      </c>
      <c r="G81" s="99">
        <f t="shared" si="1"/>
        <v>64300</v>
      </c>
      <c r="H81" s="100"/>
      <c r="I81" s="101" t="s">
        <v>634</v>
      </c>
      <c r="J81" s="96"/>
      <c r="K81" s="14" t="s">
        <v>239</v>
      </c>
    </row>
    <row r="82" spans="1:11" ht="18" customHeight="1">
      <c r="A82" s="95">
        <v>46066</v>
      </c>
      <c r="B82" s="12" t="s">
        <v>129</v>
      </c>
      <c r="C82" s="96" t="s">
        <v>625</v>
      </c>
      <c r="D82" s="97" t="s">
        <v>623</v>
      </c>
      <c r="E82" s="98">
        <v>10</v>
      </c>
      <c r="F82" s="98">
        <v>6000</v>
      </c>
      <c r="G82" s="99">
        <f t="shared" si="1"/>
        <v>60000</v>
      </c>
      <c r="H82" s="100"/>
      <c r="I82" s="101">
        <v>46662</v>
      </c>
      <c r="J82" s="96"/>
      <c r="K82" s="14" t="s">
        <v>239</v>
      </c>
    </row>
    <row r="83" spans="1:11" ht="18" customHeight="1">
      <c r="A83" s="95">
        <v>46066</v>
      </c>
      <c r="B83" s="12" t="s">
        <v>125</v>
      </c>
      <c r="C83" s="96" t="s">
        <v>625</v>
      </c>
      <c r="D83" s="97" t="s">
        <v>623</v>
      </c>
      <c r="E83" s="98">
        <v>10</v>
      </c>
      <c r="F83" s="98">
        <v>3000</v>
      </c>
      <c r="G83" s="99">
        <f t="shared" si="1"/>
        <v>30000</v>
      </c>
      <c r="H83" s="100"/>
      <c r="I83" s="101">
        <v>46392</v>
      </c>
      <c r="J83" s="96"/>
      <c r="K83" s="14" t="s">
        <v>239</v>
      </c>
    </row>
    <row r="84" spans="1:11" ht="18" customHeight="1">
      <c r="A84" s="95">
        <v>46066</v>
      </c>
      <c r="B84" s="12" t="s">
        <v>95</v>
      </c>
      <c r="C84" s="96" t="s">
        <v>625</v>
      </c>
      <c r="D84" s="97" t="s">
        <v>623</v>
      </c>
      <c r="E84" s="98">
        <v>10</v>
      </c>
      <c r="F84" s="98">
        <v>4900</v>
      </c>
      <c r="G84" s="99">
        <f t="shared" si="1"/>
        <v>49000</v>
      </c>
      <c r="H84" s="100"/>
      <c r="I84" s="101">
        <v>46435</v>
      </c>
      <c r="J84" s="96"/>
      <c r="K84" s="14" t="s">
        <v>239</v>
      </c>
    </row>
    <row r="85" spans="1:11" ht="18" customHeight="1">
      <c r="A85" s="95">
        <v>46066</v>
      </c>
      <c r="B85" s="12" t="s">
        <v>68</v>
      </c>
      <c r="C85" s="96" t="s">
        <v>625</v>
      </c>
      <c r="D85" s="97" t="s">
        <v>623</v>
      </c>
      <c r="E85" s="98">
        <v>10</v>
      </c>
      <c r="F85" s="98">
        <v>12200</v>
      </c>
      <c r="G85" s="99">
        <f t="shared" si="1"/>
        <v>122000</v>
      </c>
      <c r="H85" s="100"/>
      <c r="I85" s="101">
        <v>46210</v>
      </c>
      <c r="J85" s="96"/>
      <c r="K85" s="14" t="s">
        <v>239</v>
      </c>
    </row>
    <row r="86" spans="1:11" ht="18" customHeight="1">
      <c r="A86" s="95">
        <v>46066</v>
      </c>
      <c r="B86" s="12" t="s">
        <v>69</v>
      </c>
      <c r="C86" s="96" t="s">
        <v>625</v>
      </c>
      <c r="D86" s="97" t="s">
        <v>623</v>
      </c>
      <c r="E86" s="98">
        <v>2</v>
      </c>
      <c r="F86" s="98">
        <v>12900</v>
      </c>
      <c r="G86" s="99">
        <f t="shared" si="1"/>
        <v>25800</v>
      </c>
      <c r="H86" s="100"/>
      <c r="I86" s="101">
        <v>46329</v>
      </c>
      <c r="J86" s="96"/>
      <c r="K86" s="14" t="s">
        <v>239</v>
      </c>
    </row>
    <row r="87" spans="1:11" ht="18" customHeight="1">
      <c r="A87" s="95">
        <v>46067</v>
      </c>
      <c r="B87" s="12" t="s">
        <v>111</v>
      </c>
      <c r="C87" s="96" t="s">
        <v>625</v>
      </c>
      <c r="D87" s="97" t="s">
        <v>623</v>
      </c>
      <c r="E87" s="98">
        <v>2</v>
      </c>
      <c r="F87" s="98">
        <v>11500</v>
      </c>
      <c r="G87" s="99">
        <f t="shared" si="1"/>
        <v>23000</v>
      </c>
      <c r="H87" s="100"/>
      <c r="I87" s="101">
        <v>46386</v>
      </c>
      <c r="J87" s="96"/>
      <c r="K87" s="14" t="s">
        <v>239</v>
      </c>
    </row>
    <row r="88" spans="1:11" ht="18" customHeight="1">
      <c r="A88" s="95">
        <v>46072</v>
      </c>
      <c r="B88" s="12" t="s">
        <v>84</v>
      </c>
      <c r="C88" s="96" t="s">
        <v>633</v>
      </c>
      <c r="D88" s="97" t="s">
        <v>623</v>
      </c>
      <c r="E88" s="98">
        <v>100</v>
      </c>
      <c r="F88" s="98">
        <v>6652</v>
      </c>
      <c r="G88" s="99">
        <f t="shared" si="1"/>
        <v>665200</v>
      </c>
      <c r="H88" s="100"/>
      <c r="I88" s="101">
        <v>46251</v>
      </c>
      <c r="J88" s="96"/>
      <c r="K88" s="14" t="s">
        <v>239</v>
      </c>
    </row>
    <row r="89" spans="1:11" ht="18" customHeight="1">
      <c r="A89" s="95">
        <v>46077</v>
      </c>
      <c r="B89" s="12" t="s">
        <v>115</v>
      </c>
      <c r="C89" s="96" t="s">
        <v>630</v>
      </c>
      <c r="D89" s="97" t="s">
        <v>623</v>
      </c>
      <c r="E89" s="98">
        <v>40</v>
      </c>
      <c r="F89" s="98">
        <v>15840</v>
      </c>
      <c r="G89" s="99">
        <f t="shared" si="1"/>
        <v>633600</v>
      </c>
      <c r="H89" s="100"/>
      <c r="I89" s="101">
        <v>46146</v>
      </c>
      <c r="J89" s="96"/>
      <c r="K89" s="14" t="s">
        <v>239</v>
      </c>
    </row>
    <row r="90" spans="1:11" ht="18" customHeight="1">
      <c r="A90" s="95">
        <v>46077</v>
      </c>
      <c r="B90" s="12" t="s">
        <v>92</v>
      </c>
      <c r="C90" s="96" t="s">
        <v>630</v>
      </c>
      <c r="D90" s="97" t="s">
        <v>623</v>
      </c>
      <c r="E90" s="98">
        <v>144</v>
      </c>
      <c r="F90" s="98">
        <v>1695.83</v>
      </c>
      <c r="G90" s="99">
        <f t="shared" si="1"/>
        <v>244199.52</v>
      </c>
      <c r="H90" s="100"/>
      <c r="I90" s="101">
        <v>46276</v>
      </c>
      <c r="J90" s="96"/>
      <c r="K90" s="14" t="s">
        <v>239</v>
      </c>
    </row>
    <row r="91" spans="1:11" ht="18" customHeight="1">
      <c r="A91" s="95">
        <v>46077</v>
      </c>
      <c r="B91" s="12" t="s">
        <v>118</v>
      </c>
      <c r="C91" s="96" t="s">
        <v>630</v>
      </c>
      <c r="D91" s="97" t="s">
        <v>623</v>
      </c>
      <c r="E91" s="98">
        <v>200</v>
      </c>
      <c r="F91" s="98">
        <v>900</v>
      </c>
      <c r="G91" s="99">
        <f t="shared" si="1"/>
        <v>180000</v>
      </c>
      <c r="H91" s="100"/>
      <c r="I91" s="101">
        <v>46380</v>
      </c>
      <c r="J91" s="96"/>
      <c r="K91" s="14" t="s">
        <v>239</v>
      </c>
    </row>
    <row r="92" spans="1:11" ht="18" customHeight="1">
      <c r="A92" s="95">
        <v>46077</v>
      </c>
      <c r="B92" s="12" t="s">
        <v>120</v>
      </c>
      <c r="C92" s="96" t="s">
        <v>622</v>
      </c>
      <c r="D92" s="102" t="s">
        <v>627</v>
      </c>
      <c r="E92" s="98">
        <v>1000</v>
      </c>
      <c r="F92" s="98">
        <v>3375</v>
      </c>
      <c r="G92" s="99">
        <f t="shared" si="1"/>
        <v>3375000</v>
      </c>
      <c r="H92" s="100"/>
      <c r="I92" s="101" t="s">
        <v>634</v>
      </c>
      <c r="J92" s="96" t="s">
        <v>624</v>
      </c>
      <c r="K92" s="14" t="s">
        <v>239</v>
      </c>
    </row>
    <row r="93" spans="1:11" ht="18" customHeight="1">
      <c r="A93" s="103"/>
      <c r="B93" s="104"/>
      <c r="C93" s="104"/>
      <c r="D93" s="105"/>
      <c r="E93" s="106"/>
      <c r="F93" s="107"/>
      <c r="G93" s="108">
        <f t="shared" si="1"/>
        <v>0</v>
      </c>
      <c r="H93" s="109"/>
      <c r="I93" s="110"/>
      <c r="J93" s="111"/>
    </row>
    <row r="94" spans="1:11" ht="18" customHeight="1">
      <c r="A94" s="103"/>
      <c r="B94" s="104"/>
      <c r="C94" s="104"/>
      <c r="D94" s="105"/>
      <c r="E94" s="106"/>
      <c r="F94" s="107"/>
      <c r="G94" s="108">
        <f t="shared" si="1"/>
        <v>0</v>
      </c>
      <c r="H94" s="112"/>
      <c r="I94" s="113"/>
      <c r="J94" s="114"/>
    </row>
    <row r="95" spans="1:11" ht="18" customHeight="1">
      <c r="A95" s="103"/>
      <c r="B95" s="104"/>
      <c r="C95" s="104"/>
      <c r="D95" s="105"/>
      <c r="E95" s="106"/>
      <c r="F95" s="107"/>
      <c r="G95" s="108">
        <f t="shared" si="1"/>
        <v>0</v>
      </c>
      <c r="H95" s="109"/>
      <c r="I95" s="110"/>
      <c r="J95" s="111"/>
    </row>
    <row r="96" spans="1:11" ht="18" customHeight="1">
      <c r="A96" s="103"/>
      <c r="B96" s="104"/>
      <c r="C96" s="104"/>
      <c r="D96" s="105"/>
      <c r="E96" s="106"/>
      <c r="F96" s="107"/>
      <c r="G96" s="108">
        <f t="shared" si="1"/>
        <v>0</v>
      </c>
      <c r="H96" s="112"/>
      <c r="I96" s="113"/>
      <c r="J96" s="114"/>
    </row>
    <row r="97" spans="1:10" ht="18" customHeight="1">
      <c r="A97" s="103"/>
      <c r="B97" s="104"/>
      <c r="C97" s="104"/>
      <c r="D97" s="105"/>
      <c r="E97" s="106"/>
      <c r="F97" s="107"/>
      <c r="G97" s="108">
        <f t="shared" si="1"/>
        <v>0</v>
      </c>
      <c r="H97" s="109"/>
      <c r="I97" s="110"/>
      <c r="J97" s="111"/>
    </row>
    <row r="98" spans="1:10" ht="18" customHeight="1">
      <c r="A98" s="103"/>
      <c r="B98" s="104"/>
      <c r="C98" s="104"/>
      <c r="D98" s="105"/>
      <c r="E98" s="106"/>
      <c r="F98" s="107"/>
      <c r="G98" s="108">
        <f t="shared" si="1"/>
        <v>0</v>
      </c>
      <c r="H98" s="112"/>
      <c r="I98" s="113"/>
      <c r="J98" s="114"/>
    </row>
    <row r="99" spans="1:10" ht="18" customHeight="1">
      <c r="A99" s="103"/>
      <c r="B99" s="104"/>
      <c r="C99" s="104"/>
      <c r="D99" s="105"/>
      <c r="E99" s="106"/>
      <c r="F99" s="107"/>
      <c r="G99" s="108">
        <f t="shared" si="1"/>
        <v>0</v>
      </c>
      <c r="H99" s="109"/>
      <c r="I99" s="110"/>
      <c r="J99" s="111"/>
    </row>
    <row r="100" spans="1:10" ht="18" customHeight="1">
      <c r="A100" s="103"/>
      <c r="B100" s="104"/>
      <c r="C100" s="104"/>
      <c r="D100" s="105"/>
      <c r="E100" s="106"/>
      <c r="F100" s="107"/>
      <c r="G100" s="108">
        <f t="shared" si="1"/>
        <v>0</v>
      </c>
      <c r="H100" s="112"/>
      <c r="I100" s="113"/>
      <c r="J100" s="114"/>
    </row>
    <row r="101" spans="1:10" ht="18" customHeight="1">
      <c r="A101" s="103"/>
      <c r="B101" s="104"/>
      <c r="C101" s="104"/>
      <c r="D101" s="105"/>
      <c r="E101" s="106"/>
      <c r="F101" s="107"/>
      <c r="G101" s="108">
        <f t="shared" si="1"/>
        <v>0</v>
      </c>
      <c r="H101" s="109"/>
      <c r="I101" s="110"/>
      <c r="J101" s="111"/>
    </row>
    <row r="102" spans="1:10" ht="18" customHeight="1">
      <c r="A102" s="103"/>
      <c r="B102" s="104"/>
      <c r="C102" s="104"/>
      <c r="D102" s="105"/>
      <c r="E102" s="106"/>
      <c r="F102" s="107"/>
      <c r="G102" s="108">
        <f t="shared" si="1"/>
        <v>0</v>
      </c>
      <c r="H102" s="112"/>
      <c r="I102" s="113"/>
      <c r="J102" s="114"/>
    </row>
    <row r="103" spans="1:10" ht="18" customHeight="1">
      <c r="A103" s="103"/>
      <c r="B103" s="104"/>
      <c r="C103" s="104"/>
      <c r="D103" s="105"/>
      <c r="E103" s="106"/>
      <c r="F103" s="107"/>
      <c r="G103" s="108">
        <f t="shared" si="1"/>
        <v>0</v>
      </c>
      <c r="H103" s="109"/>
      <c r="I103" s="110"/>
      <c r="J103" s="111"/>
    </row>
    <row r="104" spans="1:10" ht="18" customHeight="1">
      <c r="A104" s="103"/>
      <c r="B104" s="104"/>
      <c r="C104" s="104"/>
      <c r="D104" s="105"/>
      <c r="E104" s="106"/>
      <c r="F104" s="107"/>
      <c r="G104" s="108">
        <f t="shared" si="1"/>
        <v>0</v>
      </c>
      <c r="H104" s="112"/>
      <c r="I104" s="113"/>
      <c r="J104" s="114"/>
    </row>
    <row r="105" spans="1:10" ht="18" customHeight="1">
      <c r="A105" s="103"/>
      <c r="B105" s="104"/>
      <c r="C105" s="104"/>
      <c r="D105" s="105"/>
      <c r="E105" s="106"/>
      <c r="F105" s="107"/>
      <c r="G105" s="108">
        <f t="shared" si="1"/>
        <v>0</v>
      </c>
      <c r="H105" s="109"/>
      <c r="I105" s="110"/>
      <c r="J105" s="111"/>
    </row>
    <row r="106" spans="1:10" ht="18" customHeight="1">
      <c r="A106" s="103"/>
      <c r="B106" s="104"/>
      <c r="C106" s="104"/>
      <c r="D106" s="105"/>
      <c r="E106" s="106"/>
      <c r="F106" s="107"/>
      <c r="G106" s="108">
        <f t="shared" si="1"/>
        <v>0</v>
      </c>
      <c r="H106" s="112"/>
      <c r="I106" s="113"/>
      <c r="J106" s="114"/>
    </row>
    <row r="107" spans="1:10" ht="18" customHeight="1">
      <c r="A107" s="103"/>
      <c r="B107" s="104"/>
      <c r="C107" s="104"/>
      <c r="D107" s="105"/>
      <c r="E107" s="106"/>
      <c r="F107" s="107"/>
      <c r="G107" s="108">
        <f t="shared" si="1"/>
        <v>0</v>
      </c>
      <c r="H107" s="109"/>
      <c r="I107" s="110"/>
      <c r="J107" s="111"/>
    </row>
    <row r="108" spans="1:10" ht="18" customHeight="1">
      <c r="A108" s="103"/>
      <c r="B108" s="104"/>
      <c r="C108" s="104"/>
      <c r="D108" s="105"/>
      <c r="E108" s="106"/>
      <c r="F108" s="107"/>
      <c r="G108" s="108">
        <f t="shared" si="1"/>
        <v>0</v>
      </c>
      <c r="H108" s="112"/>
      <c r="I108" s="113"/>
      <c r="J108" s="114"/>
    </row>
    <row r="109" spans="1:10" ht="18" customHeight="1">
      <c r="A109" s="103"/>
      <c r="B109" s="104"/>
      <c r="C109" s="104"/>
      <c r="D109" s="105"/>
      <c r="E109" s="106"/>
      <c r="F109" s="107"/>
      <c r="G109" s="108">
        <f t="shared" si="1"/>
        <v>0</v>
      </c>
      <c r="H109" s="109"/>
      <c r="I109" s="110"/>
      <c r="J109" s="111"/>
    </row>
    <row r="110" spans="1:10" ht="18" customHeight="1">
      <c r="A110" s="103"/>
      <c r="B110" s="104"/>
      <c r="C110" s="104"/>
      <c r="D110" s="105"/>
      <c r="E110" s="106"/>
      <c r="F110" s="107"/>
      <c r="G110" s="108">
        <f t="shared" si="1"/>
        <v>0</v>
      </c>
      <c r="H110" s="112"/>
      <c r="I110" s="113"/>
      <c r="J110" s="114"/>
    </row>
    <row r="111" spans="1:10" ht="18" customHeight="1">
      <c r="A111" s="103"/>
      <c r="B111" s="104"/>
      <c r="C111" s="104"/>
      <c r="D111" s="105"/>
      <c r="E111" s="106"/>
      <c r="F111" s="107"/>
      <c r="G111" s="108">
        <f t="shared" si="1"/>
        <v>0</v>
      </c>
      <c r="H111" s="109"/>
      <c r="I111" s="110"/>
      <c r="J111" s="111"/>
    </row>
    <row r="112" spans="1:10" ht="18" customHeight="1">
      <c r="A112" s="103"/>
      <c r="B112" s="104"/>
      <c r="C112" s="104"/>
      <c r="D112" s="105"/>
      <c r="E112" s="106"/>
      <c r="F112" s="107"/>
      <c r="G112" s="108">
        <f t="shared" si="1"/>
        <v>0</v>
      </c>
      <c r="H112" s="112"/>
      <c r="I112" s="113"/>
      <c r="J112" s="114"/>
    </row>
    <row r="113" spans="1:10" ht="18" customHeight="1">
      <c r="A113" s="103"/>
      <c r="B113" s="104"/>
      <c r="C113" s="104"/>
      <c r="D113" s="105"/>
      <c r="E113" s="106"/>
      <c r="F113" s="107"/>
      <c r="G113" s="108">
        <f t="shared" si="1"/>
        <v>0</v>
      </c>
      <c r="H113" s="109"/>
      <c r="I113" s="110"/>
      <c r="J113" s="111"/>
    </row>
    <row r="114" spans="1:10" ht="18" customHeight="1">
      <c r="A114" s="103"/>
      <c r="B114" s="104"/>
      <c r="C114" s="104"/>
      <c r="D114" s="105"/>
      <c r="E114" s="106"/>
      <c r="F114" s="107"/>
      <c r="G114" s="108">
        <f t="shared" si="1"/>
        <v>0</v>
      </c>
      <c r="H114" s="112"/>
      <c r="I114" s="113"/>
      <c r="J114" s="114"/>
    </row>
    <row r="115" spans="1:10" ht="18" customHeight="1">
      <c r="A115" s="103"/>
      <c r="B115" s="104"/>
      <c r="C115" s="104"/>
      <c r="D115" s="105"/>
      <c r="E115" s="106"/>
      <c r="F115" s="107"/>
      <c r="G115" s="108">
        <f t="shared" si="1"/>
        <v>0</v>
      </c>
      <c r="H115" s="109"/>
      <c r="I115" s="110"/>
      <c r="J115" s="111"/>
    </row>
    <row r="116" spans="1:10" ht="18" customHeight="1">
      <c r="A116" s="103"/>
      <c r="B116" s="104"/>
      <c r="C116" s="104"/>
      <c r="D116" s="105"/>
      <c r="E116" s="106"/>
      <c r="F116" s="107"/>
      <c r="G116" s="108">
        <f t="shared" si="1"/>
        <v>0</v>
      </c>
      <c r="H116" s="112"/>
      <c r="I116" s="113"/>
      <c r="J116" s="114"/>
    </row>
    <row r="117" spans="1:10" ht="18" customHeight="1">
      <c r="A117" s="103"/>
      <c r="B117" s="104"/>
      <c r="C117" s="104"/>
      <c r="D117" s="105"/>
      <c r="E117" s="106"/>
      <c r="F117" s="107"/>
      <c r="G117" s="108">
        <f t="shared" si="1"/>
        <v>0</v>
      </c>
      <c r="H117" s="109"/>
      <c r="I117" s="110"/>
      <c r="J117" s="111"/>
    </row>
    <row r="118" spans="1:10" ht="18" customHeight="1">
      <c r="A118" s="103"/>
      <c r="B118" s="104"/>
      <c r="C118" s="104"/>
      <c r="D118" s="105"/>
      <c r="E118" s="106"/>
      <c r="F118" s="107"/>
      <c r="G118" s="108">
        <f t="shared" si="1"/>
        <v>0</v>
      </c>
      <c r="H118" s="112"/>
      <c r="I118" s="113"/>
      <c r="J118" s="114"/>
    </row>
    <row r="119" spans="1:10" ht="18" customHeight="1">
      <c r="A119" s="103"/>
      <c r="B119" s="104"/>
      <c r="C119" s="104"/>
      <c r="D119" s="105"/>
      <c r="E119" s="106"/>
      <c r="F119" s="107"/>
      <c r="G119" s="108">
        <f t="shared" si="1"/>
        <v>0</v>
      </c>
      <c r="H119" s="109"/>
      <c r="I119" s="110"/>
      <c r="J119" s="111"/>
    </row>
    <row r="120" spans="1:10" ht="18" customHeight="1">
      <c r="A120" s="103"/>
      <c r="B120" s="104"/>
      <c r="C120" s="104"/>
      <c r="D120" s="105"/>
      <c r="E120" s="106"/>
      <c r="F120" s="107"/>
      <c r="G120" s="108">
        <f t="shared" si="1"/>
        <v>0</v>
      </c>
      <c r="H120" s="112"/>
      <c r="I120" s="113"/>
      <c r="J120" s="114"/>
    </row>
    <row r="121" spans="1:10" ht="18" customHeight="1">
      <c r="A121" s="103"/>
      <c r="B121" s="104"/>
      <c r="C121" s="104"/>
      <c r="D121" s="105"/>
      <c r="E121" s="106"/>
      <c r="F121" s="107"/>
      <c r="G121" s="108">
        <f t="shared" si="1"/>
        <v>0</v>
      </c>
      <c r="H121" s="109"/>
      <c r="I121" s="110"/>
      <c r="J121" s="111"/>
    </row>
    <row r="122" spans="1:10" ht="18" customHeight="1">
      <c r="A122" s="103"/>
      <c r="B122" s="104"/>
      <c r="C122" s="104"/>
      <c r="D122" s="105"/>
      <c r="E122" s="106"/>
      <c r="F122" s="107"/>
      <c r="G122" s="108">
        <f t="shared" si="1"/>
        <v>0</v>
      </c>
      <c r="H122" s="112"/>
      <c r="I122" s="113"/>
      <c r="J122" s="114"/>
    </row>
    <row r="123" spans="1:10" ht="18" customHeight="1">
      <c r="A123" s="103"/>
      <c r="B123" s="104"/>
      <c r="C123" s="104"/>
      <c r="D123" s="105"/>
      <c r="E123" s="106"/>
      <c r="F123" s="107"/>
      <c r="G123" s="108">
        <f t="shared" si="1"/>
        <v>0</v>
      </c>
      <c r="H123" s="109"/>
      <c r="I123" s="110"/>
      <c r="J123" s="111"/>
    </row>
    <row r="124" spans="1:10" ht="18" customHeight="1">
      <c r="A124" s="103"/>
      <c r="B124" s="104"/>
      <c r="C124" s="104"/>
      <c r="D124" s="105"/>
      <c r="E124" s="106"/>
      <c r="F124" s="107"/>
      <c r="G124" s="108">
        <f t="shared" si="1"/>
        <v>0</v>
      </c>
      <c r="H124" s="112"/>
      <c r="I124" s="113"/>
      <c r="J124" s="114"/>
    </row>
    <row r="125" spans="1:10" ht="18" customHeight="1">
      <c r="A125" s="103"/>
      <c r="B125" s="104"/>
      <c r="C125" s="104"/>
      <c r="D125" s="105"/>
      <c r="E125" s="106"/>
      <c r="F125" s="107"/>
      <c r="G125" s="108">
        <f t="shared" si="1"/>
        <v>0</v>
      </c>
      <c r="H125" s="109"/>
      <c r="I125" s="110"/>
      <c r="J125" s="111"/>
    </row>
    <row r="126" spans="1:10" ht="18" customHeight="1">
      <c r="A126" s="103"/>
      <c r="B126" s="104"/>
      <c r="C126" s="104"/>
      <c r="D126" s="105"/>
      <c r="E126" s="106"/>
      <c r="F126" s="107"/>
      <c r="G126" s="108">
        <f t="shared" si="1"/>
        <v>0</v>
      </c>
      <c r="H126" s="112"/>
      <c r="I126" s="113"/>
      <c r="J126" s="114"/>
    </row>
    <row r="127" spans="1:10" ht="18" customHeight="1">
      <c r="A127" s="103"/>
      <c r="B127" s="104"/>
      <c r="C127" s="104"/>
      <c r="D127" s="105"/>
      <c r="E127" s="106"/>
      <c r="F127" s="107"/>
      <c r="G127" s="108">
        <f t="shared" si="1"/>
        <v>0</v>
      </c>
      <c r="H127" s="109"/>
      <c r="I127" s="110"/>
      <c r="J127" s="111"/>
    </row>
    <row r="128" spans="1:10" ht="18" customHeight="1">
      <c r="A128" s="103"/>
      <c r="B128" s="104"/>
      <c r="C128" s="104"/>
      <c r="D128" s="105"/>
      <c r="E128" s="106"/>
      <c r="F128" s="107"/>
      <c r="G128" s="108">
        <f t="shared" si="1"/>
        <v>0</v>
      </c>
      <c r="H128" s="112"/>
      <c r="I128" s="113"/>
      <c r="J128" s="114"/>
    </row>
    <row r="129" spans="1:10" ht="18" customHeight="1">
      <c r="A129" s="103"/>
      <c r="B129" s="104"/>
      <c r="C129" s="104"/>
      <c r="D129" s="105"/>
      <c r="E129" s="106"/>
      <c r="F129" s="107"/>
      <c r="G129" s="108">
        <f t="shared" si="1"/>
        <v>0</v>
      </c>
      <c r="H129" s="109"/>
      <c r="I129" s="110"/>
      <c r="J129" s="111"/>
    </row>
    <row r="130" spans="1:10" ht="18" customHeight="1">
      <c r="A130" s="103"/>
      <c r="B130" s="104"/>
      <c r="C130" s="104"/>
      <c r="D130" s="105"/>
      <c r="E130" s="106"/>
      <c r="F130" s="107"/>
      <c r="G130" s="108">
        <f t="shared" si="1"/>
        <v>0</v>
      </c>
      <c r="H130" s="112"/>
      <c r="I130" s="113"/>
      <c r="J130" s="114"/>
    </row>
    <row r="131" spans="1:10" ht="18" customHeight="1">
      <c r="A131" s="103"/>
      <c r="B131" s="104"/>
      <c r="C131" s="104"/>
      <c r="D131" s="105"/>
      <c r="E131" s="106"/>
      <c r="F131" s="107"/>
      <c r="G131" s="108">
        <f t="shared" si="1"/>
        <v>0</v>
      </c>
      <c r="H131" s="109"/>
      <c r="I131" s="110"/>
      <c r="J131" s="111"/>
    </row>
    <row r="132" spans="1:10" ht="18" customHeight="1">
      <c r="A132" s="103"/>
      <c r="B132" s="104"/>
      <c r="C132" s="104"/>
      <c r="D132" s="105"/>
      <c r="E132" s="106"/>
      <c r="F132" s="107"/>
      <c r="G132" s="108">
        <f t="shared" ref="G132:G195" si="2">IFERROR(E132*F132,"")</f>
        <v>0</v>
      </c>
      <c r="H132" s="112"/>
      <c r="I132" s="113"/>
      <c r="J132" s="114"/>
    </row>
    <row r="133" spans="1:10" ht="18" customHeight="1">
      <c r="A133" s="103"/>
      <c r="B133" s="104"/>
      <c r="C133" s="104"/>
      <c r="D133" s="105"/>
      <c r="E133" s="106"/>
      <c r="F133" s="107"/>
      <c r="G133" s="108">
        <f t="shared" si="2"/>
        <v>0</v>
      </c>
      <c r="H133" s="109"/>
      <c r="I133" s="110"/>
      <c r="J133" s="111"/>
    </row>
    <row r="134" spans="1:10" ht="18" customHeight="1">
      <c r="A134" s="103"/>
      <c r="B134" s="104"/>
      <c r="C134" s="104"/>
      <c r="D134" s="105"/>
      <c r="E134" s="106"/>
      <c r="F134" s="107"/>
      <c r="G134" s="108">
        <f t="shared" si="2"/>
        <v>0</v>
      </c>
      <c r="H134" s="112"/>
      <c r="I134" s="113"/>
      <c r="J134" s="114"/>
    </row>
    <row r="135" spans="1:10" ht="18" customHeight="1">
      <c r="A135" s="103"/>
      <c r="B135" s="104"/>
      <c r="C135" s="104"/>
      <c r="D135" s="105"/>
      <c r="E135" s="106"/>
      <c r="F135" s="107"/>
      <c r="G135" s="108">
        <f t="shared" si="2"/>
        <v>0</v>
      </c>
      <c r="H135" s="109"/>
      <c r="I135" s="110"/>
      <c r="J135" s="111"/>
    </row>
    <row r="136" spans="1:10" ht="18" customHeight="1">
      <c r="A136" s="103"/>
      <c r="B136" s="104"/>
      <c r="C136" s="104"/>
      <c r="D136" s="105"/>
      <c r="E136" s="106"/>
      <c r="F136" s="107"/>
      <c r="G136" s="108">
        <f t="shared" si="2"/>
        <v>0</v>
      </c>
      <c r="H136" s="112"/>
      <c r="I136" s="113"/>
      <c r="J136" s="114"/>
    </row>
    <row r="137" spans="1:10" ht="18" customHeight="1">
      <c r="A137" s="103"/>
      <c r="B137" s="104"/>
      <c r="C137" s="104"/>
      <c r="D137" s="105"/>
      <c r="E137" s="106"/>
      <c r="F137" s="107"/>
      <c r="G137" s="108">
        <f t="shared" si="2"/>
        <v>0</v>
      </c>
      <c r="H137" s="109"/>
      <c r="I137" s="110"/>
      <c r="J137" s="111"/>
    </row>
    <row r="138" spans="1:10" ht="18" customHeight="1">
      <c r="A138" s="103"/>
      <c r="B138" s="104"/>
      <c r="C138" s="104"/>
      <c r="D138" s="105"/>
      <c r="E138" s="106"/>
      <c r="F138" s="107"/>
      <c r="G138" s="108">
        <f t="shared" si="2"/>
        <v>0</v>
      </c>
      <c r="H138" s="112"/>
      <c r="I138" s="113"/>
      <c r="J138" s="114"/>
    </row>
    <row r="139" spans="1:10" ht="18" customHeight="1">
      <c r="A139" s="103"/>
      <c r="B139" s="104"/>
      <c r="C139" s="104"/>
      <c r="D139" s="105"/>
      <c r="E139" s="106"/>
      <c r="F139" s="107"/>
      <c r="G139" s="108">
        <f t="shared" si="2"/>
        <v>0</v>
      </c>
      <c r="H139" s="109"/>
      <c r="I139" s="110"/>
      <c r="J139" s="111"/>
    </row>
    <row r="140" spans="1:10" ht="18" customHeight="1">
      <c r="A140" s="103"/>
      <c r="B140" s="104"/>
      <c r="C140" s="104"/>
      <c r="D140" s="105"/>
      <c r="E140" s="106"/>
      <c r="F140" s="107"/>
      <c r="G140" s="108">
        <f t="shared" si="2"/>
        <v>0</v>
      </c>
      <c r="H140" s="112"/>
      <c r="I140" s="113"/>
      <c r="J140" s="114"/>
    </row>
    <row r="141" spans="1:10" ht="18" customHeight="1">
      <c r="A141" s="103"/>
      <c r="B141" s="104"/>
      <c r="C141" s="104"/>
      <c r="D141" s="105"/>
      <c r="E141" s="106"/>
      <c r="F141" s="107"/>
      <c r="G141" s="108">
        <f t="shared" si="2"/>
        <v>0</v>
      </c>
      <c r="H141" s="109"/>
      <c r="I141" s="110"/>
      <c r="J141" s="111"/>
    </row>
    <row r="142" spans="1:10" ht="18" customHeight="1">
      <c r="A142" s="103"/>
      <c r="B142" s="104"/>
      <c r="C142" s="104"/>
      <c r="D142" s="105"/>
      <c r="E142" s="106"/>
      <c r="F142" s="107"/>
      <c r="G142" s="108">
        <f t="shared" si="2"/>
        <v>0</v>
      </c>
      <c r="H142" s="112"/>
      <c r="I142" s="113"/>
      <c r="J142" s="114"/>
    </row>
    <row r="143" spans="1:10" ht="18" customHeight="1">
      <c r="A143" s="103"/>
      <c r="B143" s="104"/>
      <c r="C143" s="104"/>
      <c r="D143" s="105"/>
      <c r="E143" s="106"/>
      <c r="F143" s="107"/>
      <c r="G143" s="108">
        <f t="shared" si="2"/>
        <v>0</v>
      </c>
      <c r="H143" s="109"/>
      <c r="I143" s="110"/>
      <c r="J143" s="111"/>
    </row>
    <row r="144" spans="1:10" ht="18" customHeight="1">
      <c r="A144" s="103"/>
      <c r="B144" s="104"/>
      <c r="C144" s="104"/>
      <c r="D144" s="105"/>
      <c r="E144" s="106"/>
      <c r="F144" s="107"/>
      <c r="G144" s="108">
        <f t="shared" si="2"/>
        <v>0</v>
      </c>
      <c r="H144" s="112"/>
      <c r="I144" s="113"/>
      <c r="J144" s="114"/>
    </row>
    <row r="145" spans="1:10" ht="18" customHeight="1">
      <c r="A145" s="103"/>
      <c r="B145" s="104"/>
      <c r="C145" s="104"/>
      <c r="D145" s="105"/>
      <c r="E145" s="106"/>
      <c r="F145" s="107"/>
      <c r="G145" s="108">
        <f t="shared" si="2"/>
        <v>0</v>
      </c>
      <c r="H145" s="109"/>
      <c r="I145" s="110"/>
      <c r="J145" s="111"/>
    </row>
    <row r="146" spans="1:10" ht="18" customHeight="1">
      <c r="A146" s="103"/>
      <c r="B146" s="104"/>
      <c r="C146" s="104"/>
      <c r="D146" s="105"/>
      <c r="E146" s="106"/>
      <c r="F146" s="107"/>
      <c r="G146" s="108">
        <f t="shared" si="2"/>
        <v>0</v>
      </c>
      <c r="H146" s="112"/>
      <c r="I146" s="113"/>
      <c r="J146" s="114"/>
    </row>
    <row r="147" spans="1:10" ht="18" customHeight="1">
      <c r="A147" s="103"/>
      <c r="B147" s="104"/>
      <c r="C147" s="104"/>
      <c r="D147" s="105"/>
      <c r="E147" s="106"/>
      <c r="F147" s="107"/>
      <c r="G147" s="108">
        <f t="shared" si="2"/>
        <v>0</v>
      </c>
      <c r="H147" s="109"/>
      <c r="I147" s="110"/>
      <c r="J147" s="111"/>
    </row>
    <row r="148" spans="1:10" ht="18" customHeight="1">
      <c r="A148" s="103"/>
      <c r="B148" s="104"/>
      <c r="C148" s="104"/>
      <c r="D148" s="105"/>
      <c r="E148" s="106"/>
      <c r="F148" s="107"/>
      <c r="G148" s="108">
        <f t="shared" si="2"/>
        <v>0</v>
      </c>
      <c r="H148" s="112"/>
      <c r="I148" s="113"/>
      <c r="J148" s="114"/>
    </row>
    <row r="149" spans="1:10" ht="18" customHeight="1">
      <c r="A149" s="103"/>
      <c r="B149" s="104"/>
      <c r="C149" s="104"/>
      <c r="D149" s="105"/>
      <c r="E149" s="106"/>
      <c r="F149" s="107"/>
      <c r="G149" s="108">
        <f t="shared" si="2"/>
        <v>0</v>
      </c>
      <c r="H149" s="109"/>
      <c r="I149" s="110"/>
      <c r="J149" s="111"/>
    </row>
    <row r="150" spans="1:10" ht="18" customHeight="1">
      <c r="A150" s="103"/>
      <c r="B150" s="104"/>
      <c r="C150" s="104"/>
      <c r="D150" s="105"/>
      <c r="E150" s="106"/>
      <c r="F150" s="107"/>
      <c r="G150" s="108">
        <f t="shared" si="2"/>
        <v>0</v>
      </c>
      <c r="H150" s="112"/>
      <c r="I150" s="113"/>
      <c r="J150" s="114"/>
    </row>
    <row r="151" spans="1:10" ht="18" customHeight="1">
      <c r="A151" s="103"/>
      <c r="B151" s="104"/>
      <c r="C151" s="104"/>
      <c r="D151" s="105"/>
      <c r="E151" s="106"/>
      <c r="F151" s="107"/>
      <c r="G151" s="108">
        <f t="shared" si="2"/>
        <v>0</v>
      </c>
      <c r="H151" s="109"/>
      <c r="I151" s="110"/>
      <c r="J151" s="111"/>
    </row>
    <row r="152" spans="1:10" ht="18" customHeight="1">
      <c r="A152" s="103"/>
      <c r="B152" s="104"/>
      <c r="C152" s="104"/>
      <c r="D152" s="105"/>
      <c r="E152" s="106"/>
      <c r="F152" s="107"/>
      <c r="G152" s="108">
        <f t="shared" si="2"/>
        <v>0</v>
      </c>
      <c r="H152" s="112"/>
      <c r="I152" s="113"/>
      <c r="J152" s="114"/>
    </row>
    <row r="153" spans="1:10" ht="18" customHeight="1">
      <c r="A153" s="103"/>
      <c r="B153" s="104"/>
      <c r="C153" s="104"/>
      <c r="D153" s="105"/>
      <c r="E153" s="106"/>
      <c r="F153" s="107"/>
      <c r="G153" s="108">
        <f t="shared" si="2"/>
        <v>0</v>
      </c>
      <c r="H153" s="109"/>
      <c r="I153" s="110"/>
      <c r="J153" s="111"/>
    </row>
    <row r="154" spans="1:10" ht="18" customHeight="1">
      <c r="A154" s="103"/>
      <c r="B154" s="104"/>
      <c r="C154" s="104"/>
      <c r="D154" s="105"/>
      <c r="E154" s="106"/>
      <c r="F154" s="107"/>
      <c r="G154" s="108">
        <f t="shared" si="2"/>
        <v>0</v>
      </c>
      <c r="H154" s="112"/>
      <c r="I154" s="113"/>
      <c r="J154" s="114"/>
    </row>
    <row r="155" spans="1:10" ht="18" customHeight="1">
      <c r="A155" s="103"/>
      <c r="B155" s="104"/>
      <c r="C155" s="104"/>
      <c r="D155" s="105"/>
      <c r="E155" s="106"/>
      <c r="F155" s="107"/>
      <c r="G155" s="108">
        <f t="shared" si="2"/>
        <v>0</v>
      </c>
      <c r="H155" s="109"/>
      <c r="I155" s="110"/>
      <c r="J155" s="111"/>
    </row>
    <row r="156" spans="1:10" ht="18" customHeight="1">
      <c r="A156" s="103"/>
      <c r="B156" s="104"/>
      <c r="C156" s="104"/>
      <c r="D156" s="105"/>
      <c r="E156" s="106"/>
      <c r="F156" s="107"/>
      <c r="G156" s="108">
        <f t="shared" si="2"/>
        <v>0</v>
      </c>
      <c r="H156" s="112"/>
      <c r="I156" s="113"/>
      <c r="J156" s="114"/>
    </row>
    <row r="157" spans="1:10" ht="18" customHeight="1">
      <c r="A157" s="103"/>
      <c r="B157" s="104"/>
      <c r="C157" s="104"/>
      <c r="D157" s="105"/>
      <c r="E157" s="106"/>
      <c r="F157" s="107"/>
      <c r="G157" s="108">
        <f t="shared" si="2"/>
        <v>0</v>
      </c>
      <c r="H157" s="109"/>
      <c r="I157" s="110"/>
      <c r="J157" s="111"/>
    </row>
    <row r="158" spans="1:10" ht="18" customHeight="1">
      <c r="A158" s="103"/>
      <c r="B158" s="104"/>
      <c r="C158" s="104"/>
      <c r="D158" s="105"/>
      <c r="E158" s="106"/>
      <c r="F158" s="107"/>
      <c r="G158" s="108">
        <f t="shared" si="2"/>
        <v>0</v>
      </c>
      <c r="H158" s="112"/>
      <c r="I158" s="113"/>
      <c r="J158" s="114"/>
    </row>
    <row r="159" spans="1:10" ht="18" customHeight="1">
      <c r="A159" s="103"/>
      <c r="B159" s="104"/>
      <c r="C159" s="104"/>
      <c r="D159" s="105"/>
      <c r="E159" s="106"/>
      <c r="F159" s="107"/>
      <c r="G159" s="108">
        <f t="shared" si="2"/>
        <v>0</v>
      </c>
      <c r="H159" s="109"/>
      <c r="I159" s="110"/>
      <c r="J159" s="111"/>
    </row>
    <row r="160" spans="1:10" ht="18" customHeight="1">
      <c r="A160" s="103"/>
      <c r="B160" s="104"/>
      <c r="C160" s="104"/>
      <c r="D160" s="105"/>
      <c r="E160" s="106"/>
      <c r="F160" s="107"/>
      <c r="G160" s="108">
        <f t="shared" si="2"/>
        <v>0</v>
      </c>
      <c r="H160" s="112"/>
      <c r="I160" s="113"/>
      <c r="J160" s="114"/>
    </row>
    <row r="161" spans="1:10" ht="18" customHeight="1">
      <c r="A161" s="103"/>
      <c r="B161" s="104"/>
      <c r="C161" s="104"/>
      <c r="D161" s="105"/>
      <c r="E161" s="106"/>
      <c r="F161" s="107"/>
      <c r="G161" s="108">
        <f t="shared" si="2"/>
        <v>0</v>
      </c>
      <c r="H161" s="109"/>
      <c r="I161" s="110"/>
      <c r="J161" s="111"/>
    </row>
    <row r="162" spans="1:10" ht="18" customHeight="1">
      <c r="A162" s="103"/>
      <c r="B162" s="104"/>
      <c r="C162" s="104"/>
      <c r="D162" s="105"/>
      <c r="E162" s="106"/>
      <c r="F162" s="107"/>
      <c r="G162" s="108">
        <f t="shared" si="2"/>
        <v>0</v>
      </c>
      <c r="H162" s="112"/>
      <c r="I162" s="113"/>
      <c r="J162" s="114"/>
    </row>
    <row r="163" spans="1:10" ht="18" customHeight="1">
      <c r="A163" s="103"/>
      <c r="B163" s="104"/>
      <c r="C163" s="104"/>
      <c r="D163" s="105"/>
      <c r="E163" s="106"/>
      <c r="F163" s="107"/>
      <c r="G163" s="108">
        <f t="shared" si="2"/>
        <v>0</v>
      </c>
      <c r="H163" s="109"/>
      <c r="I163" s="110"/>
      <c r="J163" s="111"/>
    </row>
    <row r="164" spans="1:10" ht="18" customHeight="1">
      <c r="A164" s="103"/>
      <c r="B164" s="104"/>
      <c r="C164" s="104"/>
      <c r="D164" s="105"/>
      <c r="E164" s="106"/>
      <c r="F164" s="107"/>
      <c r="G164" s="108">
        <f t="shared" si="2"/>
        <v>0</v>
      </c>
      <c r="H164" s="112"/>
      <c r="I164" s="113"/>
      <c r="J164" s="114"/>
    </row>
    <row r="165" spans="1:10" ht="18" customHeight="1">
      <c r="A165" s="103"/>
      <c r="B165" s="104"/>
      <c r="C165" s="104"/>
      <c r="D165" s="105"/>
      <c r="E165" s="106"/>
      <c r="F165" s="107"/>
      <c r="G165" s="108">
        <f t="shared" si="2"/>
        <v>0</v>
      </c>
      <c r="H165" s="109"/>
      <c r="I165" s="110"/>
      <c r="J165" s="111"/>
    </row>
    <row r="166" spans="1:10" ht="18" customHeight="1">
      <c r="A166" s="103"/>
      <c r="B166" s="104"/>
      <c r="C166" s="104"/>
      <c r="D166" s="105"/>
      <c r="E166" s="106"/>
      <c r="F166" s="107"/>
      <c r="G166" s="108">
        <f t="shared" si="2"/>
        <v>0</v>
      </c>
      <c r="H166" s="112"/>
      <c r="I166" s="113"/>
      <c r="J166" s="114"/>
    </row>
    <row r="167" spans="1:10" ht="18" customHeight="1">
      <c r="A167" s="103"/>
      <c r="B167" s="104"/>
      <c r="C167" s="104"/>
      <c r="D167" s="105"/>
      <c r="E167" s="106"/>
      <c r="F167" s="107"/>
      <c r="G167" s="108">
        <f t="shared" si="2"/>
        <v>0</v>
      </c>
      <c r="H167" s="109"/>
      <c r="I167" s="110"/>
      <c r="J167" s="111"/>
    </row>
    <row r="168" spans="1:10" ht="18" customHeight="1">
      <c r="A168" s="103"/>
      <c r="B168" s="104"/>
      <c r="C168" s="104"/>
      <c r="D168" s="105"/>
      <c r="E168" s="106"/>
      <c r="F168" s="107"/>
      <c r="G168" s="108">
        <f t="shared" si="2"/>
        <v>0</v>
      </c>
      <c r="H168" s="112"/>
      <c r="I168" s="113"/>
      <c r="J168" s="114"/>
    </row>
    <row r="169" spans="1:10" ht="18" customHeight="1">
      <c r="A169" s="103"/>
      <c r="B169" s="104"/>
      <c r="C169" s="104"/>
      <c r="D169" s="105"/>
      <c r="E169" s="106"/>
      <c r="F169" s="107"/>
      <c r="G169" s="108">
        <f t="shared" si="2"/>
        <v>0</v>
      </c>
      <c r="H169" s="109"/>
      <c r="I169" s="110"/>
      <c r="J169" s="111"/>
    </row>
    <row r="170" spans="1:10" ht="18" customHeight="1">
      <c r="A170" s="103"/>
      <c r="B170" s="104"/>
      <c r="C170" s="104"/>
      <c r="D170" s="105"/>
      <c r="E170" s="106"/>
      <c r="F170" s="107"/>
      <c r="G170" s="108">
        <f t="shared" si="2"/>
        <v>0</v>
      </c>
      <c r="H170" s="112"/>
      <c r="I170" s="113"/>
      <c r="J170" s="114"/>
    </row>
    <row r="171" spans="1:10" ht="18" customHeight="1">
      <c r="A171" s="103"/>
      <c r="B171" s="104"/>
      <c r="C171" s="104"/>
      <c r="D171" s="105"/>
      <c r="E171" s="106"/>
      <c r="F171" s="107"/>
      <c r="G171" s="108">
        <f t="shared" si="2"/>
        <v>0</v>
      </c>
      <c r="H171" s="109"/>
      <c r="I171" s="110"/>
      <c r="J171" s="111"/>
    </row>
    <row r="172" spans="1:10" ht="18" customHeight="1">
      <c r="A172" s="103"/>
      <c r="B172" s="104"/>
      <c r="C172" s="104"/>
      <c r="D172" s="105"/>
      <c r="E172" s="106"/>
      <c r="F172" s="107"/>
      <c r="G172" s="108">
        <f t="shared" si="2"/>
        <v>0</v>
      </c>
      <c r="H172" s="112"/>
      <c r="I172" s="113"/>
      <c r="J172" s="114"/>
    </row>
    <row r="173" spans="1:10" ht="18" customHeight="1">
      <c r="A173" s="103"/>
      <c r="B173" s="104"/>
      <c r="C173" s="104"/>
      <c r="D173" s="105"/>
      <c r="E173" s="106"/>
      <c r="F173" s="107"/>
      <c r="G173" s="108">
        <f t="shared" si="2"/>
        <v>0</v>
      </c>
      <c r="H173" s="109"/>
      <c r="I173" s="110"/>
      <c r="J173" s="111"/>
    </row>
    <row r="174" spans="1:10" ht="18" customHeight="1">
      <c r="A174" s="103"/>
      <c r="B174" s="104"/>
      <c r="C174" s="104"/>
      <c r="D174" s="105"/>
      <c r="E174" s="106"/>
      <c r="F174" s="107"/>
      <c r="G174" s="108">
        <f t="shared" si="2"/>
        <v>0</v>
      </c>
      <c r="H174" s="112"/>
      <c r="I174" s="113"/>
      <c r="J174" s="114"/>
    </row>
    <row r="175" spans="1:10" ht="18" customHeight="1">
      <c r="A175" s="103"/>
      <c r="B175" s="104"/>
      <c r="C175" s="104"/>
      <c r="D175" s="105"/>
      <c r="E175" s="106"/>
      <c r="F175" s="107"/>
      <c r="G175" s="108">
        <f t="shared" si="2"/>
        <v>0</v>
      </c>
      <c r="H175" s="109"/>
      <c r="I175" s="110"/>
      <c r="J175" s="111"/>
    </row>
    <row r="176" spans="1:10" ht="18" customHeight="1">
      <c r="A176" s="103"/>
      <c r="B176" s="104"/>
      <c r="C176" s="104"/>
      <c r="D176" s="105"/>
      <c r="E176" s="106"/>
      <c r="F176" s="107"/>
      <c r="G176" s="108">
        <f t="shared" si="2"/>
        <v>0</v>
      </c>
      <c r="H176" s="112"/>
      <c r="I176" s="113"/>
      <c r="J176" s="114"/>
    </row>
    <row r="177" spans="1:10" ht="18" customHeight="1">
      <c r="A177" s="103"/>
      <c r="B177" s="104"/>
      <c r="C177" s="104"/>
      <c r="D177" s="105"/>
      <c r="E177" s="106"/>
      <c r="F177" s="107"/>
      <c r="G177" s="108">
        <f t="shared" si="2"/>
        <v>0</v>
      </c>
      <c r="H177" s="109"/>
      <c r="I177" s="110"/>
      <c r="J177" s="111"/>
    </row>
    <row r="178" spans="1:10" ht="18" customHeight="1">
      <c r="A178" s="103"/>
      <c r="B178" s="104"/>
      <c r="C178" s="104"/>
      <c r="D178" s="105"/>
      <c r="E178" s="106"/>
      <c r="F178" s="107"/>
      <c r="G178" s="108">
        <f t="shared" si="2"/>
        <v>0</v>
      </c>
      <c r="H178" s="112"/>
      <c r="I178" s="113"/>
      <c r="J178" s="114"/>
    </row>
    <row r="179" spans="1:10" ht="18" customHeight="1">
      <c r="A179" s="103"/>
      <c r="B179" s="104"/>
      <c r="C179" s="104"/>
      <c r="D179" s="105"/>
      <c r="E179" s="106"/>
      <c r="F179" s="107"/>
      <c r="G179" s="108">
        <f t="shared" si="2"/>
        <v>0</v>
      </c>
      <c r="H179" s="109"/>
      <c r="I179" s="110"/>
      <c r="J179" s="111"/>
    </row>
    <row r="180" spans="1:10" ht="18" customHeight="1">
      <c r="A180" s="103"/>
      <c r="B180" s="104"/>
      <c r="C180" s="104"/>
      <c r="D180" s="105"/>
      <c r="E180" s="106"/>
      <c r="F180" s="107"/>
      <c r="G180" s="108">
        <f t="shared" si="2"/>
        <v>0</v>
      </c>
      <c r="H180" s="112"/>
      <c r="I180" s="113"/>
      <c r="J180" s="114"/>
    </row>
    <row r="181" spans="1:10" ht="18" customHeight="1">
      <c r="A181" s="103"/>
      <c r="B181" s="104"/>
      <c r="C181" s="104"/>
      <c r="D181" s="105"/>
      <c r="E181" s="106"/>
      <c r="F181" s="107"/>
      <c r="G181" s="108">
        <f t="shared" si="2"/>
        <v>0</v>
      </c>
      <c r="H181" s="109"/>
      <c r="I181" s="110"/>
      <c r="J181" s="111"/>
    </row>
    <row r="182" spans="1:10" ht="18" customHeight="1">
      <c r="A182" s="103"/>
      <c r="B182" s="104"/>
      <c r="C182" s="104"/>
      <c r="D182" s="105"/>
      <c r="E182" s="106"/>
      <c r="F182" s="107"/>
      <c r="G182" s="108">
        <f t="shared" si="2"/>
        <v>0</v>
      </c>
      <c r="H182" s="112"/>
      <c r="I182" s="113"/>
      <c r="J182" s="114"/>
    </row>
    <row r="183" spans="1:10" ht="18" customHeight="1">
      <c r="A183" s="103"/>
      <c r="B183" s="104"/>
      <c r="C183" s="104"/>
      <c r="D183" s="105"/>
      <c r="E183" s="106"/>
      <c r="F183" s="107"/>
      <c r="G183" s="108">
        <f t="shared" si="2"/>
        <v>0</v>
      </c>
      <c r="H183" s="109"/>
      <c r="I183" s="110"/>
      <c r="J183" s="111"/>
    </row>
    <row r="184" spans="1:10" ht="18" customHeight="1">
      <c r="A184" s="103"/>
      <c r="B184" s="104"/>
      <c r="C184" s="104"/>
      <c r="D184" s="105"/>
      <c r="E184" s="106"/>
      <c r="F184" s="107"/>
      <c r="G184" s="108">
        <f t="shared" si="2"/>
        <v>0</v>
      </c>
      <c r="H184" s="112"/>
      <c r="I184" s="113"/>
      <c r="J184" s="114"/>
    </row>
    <row r="185" spans="1:10" ht="18" customHeight="1">
      <c r="A185" s="103"/>
      <c r="B185" s="104"/>
      <c r="C185" s="104"/>
      <c r="D185" s="105"/>
      <c r="E185" s="106"/>
      <c r="F185" s="107"/>
      <c r="G185" s="108">
        <f t="shared" si="2"/>
        <v>0</v>
      </c>
      <c r="H185" s="109"/>
      <c r="I185" s="110"/>
      <c r="J185" s="111"/>
    </row>
    <row r="186" spans="1:10" ht="18" customHeight="1">
      <c r="A186" s="103"/>
      <c r="B186" s="104"/>
      <c r="C186" s="104"/>
      <c r="D186" s="105"/>
      <c r="E186" s="106"/>
      <c r="F186" s="107"/>
      <c r="G186" s="108">
        <f t="shared" si="2"/>
        <v>0</v>
      </c>
      <c r="H186" s="112"/>
      <c r="I186" s="113"/>
      <c r="J186" s="114"/>
    </row>
    <row r="187" spans="1:10" ht="18" customHeight="1">
      <c r="A187" s="103"/>
      <c r="B187" s="104"/>
      <c r="C187" s="104"/>
      <c r="D187" s="105"/>
      <c r="E187" s="106"/>
      <c r="F187" s="107"/>
      <c r="G187" s="108">
        <f t="shared" si="2"/>
        <v>0</v>
      </c>
      <c r="H187" s="109"/>
      <c r="I187" s="110"/>
      <c r="J187" s="111"/>
    </row>
    <row r="188" spans="1:10" ht="18" customHeight="1">
      <c r="A188" s="103"/>
      <c r="B188" s="104"/>
      <c r="C188" s="104"/>
      <c r="D188" s="105"/>
      <c r="E188" s="106"/>
      <c r="F188" s="107"/>
      <c r="G188" s="108">
        <f t="shared" si="2"/>
        <v>0</v>
      </c>
      <c r="H188" s="112"/>
      <c r="I188" s="113"/>
      <c r="J188" s="114"/>
    </row>
    <row r="189" spans="1:10" ht="18" customHeight="1">
      <c r="A189" s="103"/>
      <c r="B189" s="104"/>
      <c r="C189" s="104"/>
      <c r="D189" s="105"/>
      <c r="E189" s="106"/>
      <c r="F189" s="107"/>
      <c r="G189" s="108">
        <f t="shared" si="2"/>
        <v>0</v>
      </c>
      <c r="H189" s="109"/>
      <c r="I189" s="110"/>
      <c r="J189" s="111"/>
    </row>
    <row r="190" spans="1:10" ht="18" customHeight="1">
      <c r="A190" s="103"/>
      <c r="B190" s="104"/>
      <c r="C190" s="104"/>
      <c r="D190" s="105"/>
      <c r="E190" s="106"/>
      <c r="F190" s="107"/>
      <c r="G190" s="108">
        <f t="shared" si="2"/>
        <v>0</v>
      </c>
      <c r="H190" s="112"/>
      <c r="I190" s="113"/>
      <c r="J190" s="114"/>
    </row>
    <row r="191" spans="1:10" ht="18" customHeight="1">
      <c r="A191" s="103"/>
      <c r="B191" s="104"/>
      <c r="C191" s="104"/>
      <c r="D191" s="105"/>
      <c r="E191" s="106"/>
      <c r="F191" s="107"/>
      <c r="G191" s="108">
        <f t="shared" si="2"/>
        <v>0</v>
      </c>
      <c r="H191" s="109"/>
      <c r="I191" s="110"/>
      <c r="J191" s="111"/>
    </row>
    <row r="192" spans="1:10" ht="18" customHeight="1">
      <c r="A192" s="103"/>
      <c r="B192" s="104"/>
      <c r="C192" s="104"/>
      <c r="D192" s="105"/>
      <c r="E192" s="106"/>
      <c r="F192" s="107"/>
      <c r="G192" s="108">
        <f t="shared" si="2"/>
        <v>0</v>
      </c>
      <c r="H192" s="112"/>
      <c r="I192" s="113"/>
      <c r="J192" s="114"/>
    </row>
    <row r="193" spans="1:10" ht="18" customHeight="1">
      <c r="A193" s="103"/>
      <c r="B193" s="104"/>
      <c r="C193" s="104"/>
      <c r="D193" s="105"/>
      <c r="E193" s="106"/>
      <c r="F193" s="107"/>
      <c r="G193" s="108">
        <f t="shared" si="2"/>
        <v>0</v>
      </c>
      <c r="H193" s="109"/>
      <c r="I193" s="110"/>
      <c r="J193" s="111"/>
    </row>
    <row r="194" spans="1:10" ht="18" customHeight="1">
      <c r="A194" s="103"/>
      <c r="B194" s="104"/>
      <c r="C194" s="104"/>
      <c r="D194" s="105"/>
      <c r="E194" s="106"/>
      <c r="F194" s="107"/>
      <c r="G194" s="108">
        <f t="shared" si="2"/>
        <v>0</v>
      </c>
      <c r="H194" s="112"/>
      <c r="I194" s="113"/>
      <c r="J194" s="114"/>
    </row>
    <row r="195" spans="1:10" ht="18" customHeight="1">
      <c r="A195" s="103"/>
      <c r="B195" s="104"/>
      <c r="C195" s="104"/>
      <c r="D195" s="105"/>
      <c r="E195" s="106"/>
      <c r="F195" s="107"/>
      <c r="G195" s="108">
        <f t="shared" si="2"/>
        <v>0</v>
      </c>
      <c r="H195" s="109"/>
      <c r="I195" s="110"/>
      <c r="J195" s="111"/>
    </row>
    <row r="196" spans="1:10" ht="18" customHeight="1">
      <c r="A196" s="103"/>
      <c r="B196" s="104"/>
      <c r="C196" s="104"/>
      <c r="D196" s="105"/>
      <c r="E196" s="106"/>
      <c r="F196" s="107"/>
      <c r="G196" s="108">
        <f t="shared" ref="G196:G259" si="3">IFERROR(E196*F196,"")</f>
        <v>0</v>
      </c>
      <c r="H196" s="112"/>
      <c r="I196" s="113"/>
      <c r="J196" s="114"/>
    </row>
    <row r="197" spans="1:10" ht="18" customHeight="1">
      <c r="A197" s="103"/>
      <c r="B197" s="104"/>
      <c r="C197" s="104"/>
      <c r="D197" s="105"/>
      <c r="E197" s="106"/>
      <c r="F197" s="107"/>
      <c r="G197" s="108">
        <f t="shared" si="3"/>
        <v>0</v>
      </c>
      <c r="H197" s="109"/>
      <c r="I197" s="110"/>
      <c r="J197" s="111"/>
    </row>
    <row r="198" spans="1:10" ht="18" customHeight="1">
      <c r="A198" s="103"/>
      <c r="B198" s="104"/>
      <c r="C198" s="104"/>
      <c r="D198" s="105"/>
      <c r="E198" s="106"/>
      <c r="F198" s="107"/>
      <c r="G198" s="108">
        <f t="shared" si="3"/>
        <v>0</v>
      </c>
      <c r="H198" s="112"/>
      <c r="I198" s="113"/>
      <c r="J198" s="114"/>
    </row>
    <row r="199" spans="1:10" ht="18" customHeight="1">
      <c r="A199" s="103"/>
      <c r="B199" s="104"/>
      <c r="C199" s="104"/>
      <c r="D199" s="105"/>
      <c r="E199" s="106"/>
      <c r="F199" s="107"/>
      <c r="G199" s="108">
        <f t="shared" si="3"/>
        <v>0</v>
      </c>
      <c r="H199" s="109"/>
      <c r="I199" s="110"/>
      <c r="J199" s="111"/>
    </row>
    <row r="200" spans="1:10" ht="18" customHeight="1">
      <c r="A200" s="103"/>
      <c r="B200" s="104"/>
      <c r="C200" s="104"/>
      <c r="D200" s="105"/>
      <c r="E200" s="106"/>
      <c r="F200" s="107"/>
      <c r="G200" s="108">
        <f t="shared" si="3"/>
        <v>0</v>
      </c>
      <c r="H200" s="112"/>
      <c r="I200" s="113"/>
      <c r="J200" s="114"/>
    </row>
    <row r="201" spans="1:10" ht="18" customHeight="1">
      <c r="A201" s="103"/>
      <c r="B201" s="104"/>
      <c r="C201" s="104"/>
      <c r="D201" s="105"/>
      <c r="E201" s="106"/>
      <c r="F201" s="107"/>
      <c r="G201" s="108">
        <f t="shared" si="3"/>
        <v>0</v>
      </c>
      <c r="H201" s="109"/>
      <c r="I201" s="110"/>
      <c r="J201" s="111"/>
    </row>
    <row r="202" spans="1:10" ht="18" customHeight="1">
      <c r="A202" s="103"/>
      <c r="B202" s="104"/>
      <c r="C202" s="104"/>
      <c r="D202" s="105"/>
      <c r="E202" s="106"/>
      <c r="F202" s="107"/>
      <c r="G202" s="108">
        <f t="shared" si="3"/>
        <v>0</v>
      </c>
      <c r="H202" s="112"/>
      <c r="I202" s="113"/>
      <c r="J202" s="114"/>
    </row>
    <row r="203" spans="1:10" ht="18" customHeight="1">
      <c r="A203" s="103"/>
      <c r="B203" s="104"/>
      <c r="C203" s="104"/>
      <c r="D203" s="105"/>
      <c r="E203" s="106"/>
      <c r="F203" s="107"/>
      <c r="G203" s="108">
        <f t="shared" si="3"/>
        <v>0</v>
      </c>
      <c r="H203" s="109"/>
      <c r="I203" s="110"/>
      <c r="J203" s="111"/>
    </row>
    <row r="204" spans="1:10" ht="18" customHeight="1">
      <c r="A204" s="103"/>
      <c r="B204" s="104"/>
      <c r="C204" s="104"/>
      <c r="D204" s="105"/>
      <c r="E204" s="106"/>
      <c r="F204" s="107"/>
      <c r="G204" s="108">
        <f t="shared" si="3"/>
        <v>0</v>
      </c>
      <c r="H204" s="112"/>
      <c r="I204" s="113"/>
      <c r="J204" s="114"/>
    </row>
    <row r="205" spans="1:10" ht="18" customHeight="1">
      <c r="A205" s="103"/>
      <c r="B205" s="104"/>
      <c r="C205" s="104"/>
      <c r="D205" s="105"/>
      <c r="E205" s="106"/>
      <c r="F205" s="107"/>
      <c r="G205" s="108">
        <f t="shared" si="3"/>
        <v>0</v>
      </c>
      <c r="H205" s="109"/>
      <c r="I205" s="110"/>
      <c r="J205" s="111"/>
    </row>
    <row r="206" spans="1:10" ht="18" customHeight="1">
      <c r="A206" s="103"/>
      <c r="B206" s="104"/>
      <c r="C206" s="104"/>
      <c r="D206" s="105"/>
      <c r="E206" s="106"/>
      <c r="F206" s="107"/>
      <c r="G206" s="108">
        <f t="shared" si="3"/>
        <v>0</v>
      </c>
      <c r="H206" s="112"/>
      <c r="I206" s="113"/>
      <c r="J206" s="114"/>
    </row>
    <row r="207" spans="1:10" ht="18" customHeight="1">
      <c r="A207" s="103"/>
      <c r="B207" s="104"/>
      <c r="C207" s="104"/>
      <c r="D207" s="105"/>
      <c r="E207" s="106"/>
      <c r="F207" s="107"/>
      <c r="G207" s="108">
        <f t="shared" si="3"/>
        <v>0</v>
      </c>
      <c r="H207" s="109"/>
      <c r="I207" s="110"/>
      <c r="J207" s="111"/>
    </row>
    <row r="208" spans="1:10" ht="18" customHeight="1">
      <c r="A208" s="103"/>
      <c r="B208" s="104"/>
      <c r="C208" s="104"/>
      <c r="D208" s="105"/>
      <c r="E208" s="106"/>
      <c r="F208" s="107"/>
      <c r="G208" s="108">
        <f t="shared" si="3"/>
        <v>0</v>
      </c>
      <c r="H208" s="112"/>
      <c r="I208" s="113"/>
      <c r="J208" s="114"/>
    </row>
    <row r="209" spans="1:10" ht="18" customHeight="1">
      <c r="A209" s="103"/>
      <c r="B209" s="104"/>
      <c r="C209" s="104"/>
      <c r="D209" s="105"/>
      <c r="E209" s="106"/>
      <c r="F209" s="107"/>
      <c r="G209" s="108">
        <f t="shared" si="3"/>
        <v>0</v>
      </c>
      <c r="H209" s="109"/>
      <c r="I209" s="110"/>
      <c r="J209" s="111"/>
    </row>
    <row r="210" spans="1:10" ht="18" customHeight="1">
      <c r="A210" s="103"/>
      <c r="B210" s="104"/>
      <c r="C210" s="104"/>
      <c r="D210" s="105"/>
      <c r="E210" s="106"/>
      <c r="F210" s="107"/>
      <c r="G210" s="108">
        <f t="shared" si="3"/>
        <v>0</v>
      </c>
      <c r="H210" s="112"/>
      <c r="I210" s="113"/>
      <c r="J210" s="114"/>
    </row>
    <row r="211" spans="1:10" ht="18" customHeight="1">
      <c r="A211" s="103"/>
      <c r="B211" s="104"/>
      <c r="C211" s="104"/>
      <c r="D211" s="105"/>
      <c r="E211" s="106"/>
      <c r="F211" s="107"/>
      <c r="G211" s="108">
        <f t="shared" si="3"/>
        <v>0</v>
      </c>
      <c r="H211" s="109"/>
      <c r="I211" s="110"/>
      <c r="J211" s="111"/>
    </row>
    <row r="212" spans="1:10" ht="18" customHeight="1">
      <c r="A212" s="103"/>
      <c r="B212" s="104"/>
      <c r="C212" s="104"/>
      <c r="D212" s="105"/>
      <c r="E212" s="106"/>
      <c r="F212" s="107"/>
      <c r="G212" s="108">
        <f t="shared" si="3"/>
        <v>0</v>
      </c>
      <c r="H212" s="112"/>
      <c r="I212" s="113"/>
      <c r="J212" s="114"/>
    </row>
    <row r="213" spans="1:10" ht="18" customHeight="1">
      <c r="A213" s="103"/>
      <c r="B213" s="104"/>
      <c r="C213" s="104"/>
      <c r="D213" s="105"/>
      <c r="E213" s="106"/>
      <c r="F213" s="107"/>
      <c r="G213" s="108">
        <f t="shared" si="3"/>
        <v>0</v>
      </c>
      <c r="H213" s="109"/>
      <c r="I213" s="110"/>
      <c r="J213" s="111"/>
    </row>
    <row r="214" spans="1:10" ht="18" customHeight="1">
      <c r="A214" s="103"/>
      <c r="B214" s="104"/>
      <c r="C214" s="104"/>
      <c r="D214" s="105"/>
      <c r="E214" s="106"/>
      <c r="F214" s="107"/>
      <c r="G214" s="108">
        <f t="shared" si="3"/>
        <v>0</v>
      </c>
      <c r="H214" s="112"/>
      <c r="I214" s="113"/>
      <c r="J214" s="114"/>
    </row>
    <row r="215" spans="1:10" ht="18" customHeight="1">
      <c r="A215" s="103"/>
      <c r="B215" s="104"/>
      <c r="C215" s="104"/>
      <c r="D215" s="105"/>
      <c r="E215" s="106"/>
      <c r="F215" s="107"/>
      <c r="G215" s="108">
        <f t="shared" si="3"/>
        <v>0</v>
      </c>
      <c r="H215" s="109"/>
      <c r="I215" s="110"/>
      <c r="J215" s="111"/>
    </row>
    <row r="216" spans="1:10" ht="18" customHeight="1">
      <c r="A216" s="103"/>
      <c r="B216" s="104"/>
      <c r="C216" s="104"/>
      <c r="D216" s="105"/>
      <c r="E216" s="106"/>
      <c r="F216" s="107"/>
      <c r="G216" s="108">
        <f t="shared" si="3"/>
        <v>0</v>
      </c>
      <c r="H216" s="112"/>
      <c r="I216" s="113"/>
      <c r="J216" s="114"/>
    </row>
    <row r="217" spans="1:10" ht="18" customHeight="1">
      <c r="A217" s="103"/>
      <c r="B217" s="104"/>
      <c r="C217" s="104"/>
      <c r="D217" s="105"/>
      <c r="E217" s="106"/>
      <c r="F217" s="107"/>
      <c r="G217" s="108">
        <f t="shared" si="3"/>
        <v>0</v>
      </c>
      <c r="H217" s="109"/>
      <c r="I217" s="110"/>
      <c r="J217" s="111"/>
    </row>
    <row r="218" spans="1:10" ht="18" customHeight="1">
      <c r="A218" s="103"/>
      <c r="B218" s="104"/>
      <c r="C218" s="104"/>
      <c r="D218" s="105"/>
      <c r="E218" s="106"/>
      <c r="F218" s="107"/>
      <c r="G218" s="108">
        <f t="shared" si="3"/>
        <v>0</v>
      </c>
      <c r="H218" s="112"/>
      <c r="I218" s="113"/>
      <c r="J218" s="114"/>
    </row>
    <row r="219" spans="1:10" ht="18" customHeight="1">
      <c r="A219" s="103"/>
      <c r="B219" s="104"/>
      <c r="C219" s="104"/>
      <c r="D219" s="105"/>
      <c r="E219" s="106"/>
      <c r="F219" s="107"/>
      <c r="G219" s="108">
        <f t="shared" si="3"/>
        <v>0</v>
      </c>
      <c r="H219" s="109"/>
      <c r="I219" s="110"/>
      <c r="J219" s="111"/>
    </row>
    <row r="220" spans="1:10" ht="18" customHeight="1">
      <c r="A220" s="103"/>
      <c r="B220" s="104"/>
      <c r="C220" s="104"/>
      <c r="D220" s="105"/>
      <c r="E220" s="106"/>
      <c r="F220" s="107"/>
      <c r="G220" s="108">
        <f t="shared" si="3"/>
        <v>0</v>
      </c>
      <c r="H220" s="112"/>
      <c r="I220" s="113"/>
      <c r="J220" s="114"/>
    </row>
    <row r="221" spans="1:10" ht="18" customHeight="1">
      <c r="A221" s="103"/>
      <c r="B221" s="104"/>
      <c r="C221" s="104"/>
      <c r="D221" s="105"/>
      <c r="E221" s="106"/>
      <c r="F221" s="107"/>
      <c r="G221" s="108">
        <f t="shared" si="3"/>
        <v>0</v>
      </c>
      <c r="H221" s="109"/>
      <c r="I221" s="110"/>
      <c r="J221" s="111"/>
    </row>
    <row r="222" spans="1:10" ht="18" customHeight="1">
      <c r="A222" s="103"/>
      <c r="B222" s="104"/>
      <c r="C222" s="104"/>
      <c r="D222" s="105"/>
      <c r="E222" s="106"/>
      <c r="F222" s="107"/>
      <c r="G222" s="108">
        <f t="shared" si="3"/>
        <v>0</v>
      </c>
      <c r="H222" s="112"/>
      <c r="I222" s="113"/>
      <c r="J222" s="114"/>
    </row>
    <row r="223" spans="1:10" ht="18" customHeight="1">
      <c r="A223" s="103"/>
      <c r="B223" s="104"/>
      <c r="C223" s="104"/>
      <c r="D223" s="105"/>
      <c r="E223" s="106"/>
      <c r="F223" s="107"/>
      <c r="G223" s="108">
        <f t="shared" si="3"/>
        <v>0</v>
      </c>
      <c r="H223" s="109"/>
      <c r="I223" s="110"/>
      <c r="J223" s="111"/>
    </row>
    <row r="224" spans="1:10" ht="18" customHeight="1">
      <c r="A224" s="103"/>
      <c r="B224" s="104"/>
      <c r="C224" s="104"/>
      <c r="D224" s="105"/>
      <c r="E224" s="106"/>
      <c r="F224" s="107"/>
      <c r="G224" s="108">
        <f t="shared" si="3"/>
        <v>0</v>
      </c>
      <c r="H224" s="112"/>
      <c r="I224" s="113"/>
      <c r="J224" s="114"/>
    </row>
    <row r="225" spans="1:10" ht="18" customHeight="1">
      <c r="A225" s="103"/>
      <c r="B225" s="104"/>
      <c r="C225" s="104"/>
      <c r="D225" s="105"/>
      <c r="E225" s="106"/>
      <c r="F225" s="107"/>
      <c r="G225" s="108">
        <f t="shared" si="3"/>
        <v>0</v>
      </c>
      <c r="H225" s="109"/>
      <c r="I225" s="110"/>
      <c r="J225" s="111"/>
    </row>
    <row r="226" spans="1:10" ht="18" customHeight="1">
      <c r="A226" s="103"/>
      <c r="B226" s="104"/>
      <c r="C226" s="104"/>
      <c r="D226" s="105"/>
      <c r="E226" s="106"/>
      <c r="F226" s="107"/>
      <c r="G226" s="108">
        <f t="shared" si="3"/>
        <v>0</v>
      </c>
      <c r="H226" s="112"/>
      <c r="I226" s="113"/>
      <c r="J226" s="114"/>
    </row>
    <row r="227" spans="1:10" ht="18" customHeight="1">
      <c r="A227" s="103"/>
      <c r="B227" s="104"/>
      <c r="C227" s="104"/>
      <c r="D227" s="105"/>
      <c r="E227" s="106"/>
      <c r="F227" s="107"/>
      <c r="G227" s="108">
        <f t="shared" si="3"/>
        <v>0</v>
      </c>
      <c r="H227" s="109"/>
      <c r="I227" s="110"/>
      <c r="J227" s="111"/>
    </row>
    <row r="228" spans="1:10" ht="18" customHeight="1">
      <c r="A228" s="103"/>
      <c r="B228" s="104"/>
      <c r="C228" s="104"/>
      <c r="D228" s="105"/>
      <c r="E228" s="106"/>
      <c r="F228" s="107"/>
      <c r="G228" s="108">
        <f t="shared" si="3"/>
        <v>0</v>
      </c>
      <c r="H228" s="112"/>
      <c r="I228" s="113"/>
      <c r="J228" s="114"/>
    </row>
    <row r="229" spans="1:10" ht="18" customHeight="1">
      <c r="A229" s="103"/>
      <c r="B229" s="104"/>
      <c r="C229" s="104"/>
      <c r="D229" s="105"/>
      <c r="E229" s="106"/>
      <c r="F229" s="107"/>
      <c r="G229" s="108">
        <f t="shared" si="3"/>
        <v>0</v>
      </c>
      <c r="H229" s="109"/>
      <c r="I229" s="110"/>
      <c r="J229" s="111"/>
    </row>
    <row r="230" spans="1:10" ht="18" customHeight="1">
      <c r="A230" s="103"/>
      <c r="B230" s="104"/>
      <c r="C230" s="104"/>
      <c r="D230" s="105"/>
      <c r="E230" s="106"/>
      <c r="F230" s="107"/>
      <c r="G230" s="108">
        <f t="shared" si="3"/>
        <v>0</v>
      </c>
      <c r="H230" s="112"/>
      <c r="I230" s="113"/>
      <c r="J230" s="114"/>
    </row>
    <row r="231" spans="1:10" ht="18" customHeight="1">
      <c r="A231" s="103"/>
      <c r="B231" s="104"/>
      <c r="C231" s="104"/>
      <c r="D231" s="105"/>
      <c r="E231" s="106"/>
      <c r="F231" s="107"/>
      <c r="G231" s="108">
        <f t="shared" si="3"/>
        <v>0</v>
      </c>
      <c r="H231" s="109"/>
      <c r="I231" s="110"/>
      <c r="J231" s="111"/>
    </row>
    <row r="232" spans="1:10" ht="18" customHeight="1">
      <c r="A232" s="103"/>
      <c r="B232" s="104"/>
      <c r="C232" s="104"/>
      <c r="D232" s="105"/>
      <c r="E232" s="106"/>
      <c r="F232" s="107"/>
      <c r="G232" s="108">
        <f t="shared" si="3"/>
        <v>0</v>
      </c>
      <c r="H232" s="112"/>
      <c r="I232" s="113"/>
      <c r="J232" s="114"/>
    </row>
    <row r="233" spans="1:10" ht="18" customHeight="1">
      <c r="A233" s="103"/>
      <c r="B233" s="104"/>
      <c r="C233" s="104"/>
      <c r="D233" s="105"/>
      <c r="E233" s="106"/>
      <c r="F233" s="107"/>
      <c r="G233" s="108">
        <f t="shared" si="3"/>
        <v>0</v>
      </c>
      <c r="H233" s="109"/>
      <c r="I233" s="110"/>
      <c r="J233" s="111"/>
    </row>
    <row r="234" spans="1:10" ht="18" customHeight="1">
      <c r="A234" s="103"/>
      <c r="B234" s="104"/>
      <c r="C234" s="104"/>
      <c r="D234" s="105"/>
      <c r="E234" s="106"/>
      <c r="F234" s="107"/>
      <c r="G234" s="108">
        <f t="shared" si="3"/>
        <v>0</v>
      </c>
      <c r="H234" s="112"/>
      <c r="I234" s="113"/>
      <c r="J234" s="114"/>
    </row>
    <row r="235" spans="1:10" ht="18" customHeight="1">
      <c r="A235" s="103"/>
      <c r="B235" s="104"/>
      <c r="C235" s="104"/>
      <c r="D235" s="105"/>
      <c r="E235" s="106"/>
      <c r="F235" s="107"/>
      <c r="G235" s="108">
        <f t="shared" si="3"/>
        <v>0</v>
      </c>
      <c r="H235" s="109"/>
      <c r="I235" s="110"/>
      <c r="J235" s="111"/>
    </row>
    <row r="236" spans="1:10" ht="18" customHeight="1">
      <c r="A236" s="103"/>
      <c r="B236" s="104"/>
      <c r="C236" s="104"/>
      <c r="D236" s="105"/>
      <c r="E236" s="106"/>
      <c r="F236" s="107"/>
      <c r="G236" s="108">
        <f t="shared" si="3"/>
        <v>0</v>
      </c>
      <c r="H236" s="112"/>
      <c r="I236" s="113"/>
      <c r="J236" s="114"/>
    </row>
    <row r="237" spans="1:10" ht="18" customHeight="1">
      <c r="A237" s="103"/>
      <c r="B237" s="104"/>
      <c r="C237" s="104"/>
      <c r="D237" s="105"/>
      <c r="E237" s="106"/>
      <c r="F237" s="107"/>
      <c r="G237" s="108">
        <f t="shared" si="3"/>
        <v>0</v>
      </c>
      <c r="H237" s="109"/>
      <c r="I237" s="110"/>
      <c r="J237" s="111"/>
    </row>
    <row r="238" spans="1:10" ht="18" customHeight="1">
      <c r="A238" s="103"/>
      <c r="B238" s="104"/>
      <c r="C238" s="104"/>
      <c r="D238" s="105"/>
      <c r="E238" s="106"/>
      <c r="F238" s="107"/>
      <c r="G238" s="108">
        <f t="shared" si="3"/>
        <v>0</v>
      </c>
      <c r="H238" s="112"/>
      <c r="I238" s="113"/>
      <c r="J238" s="114"/>
    </row>
    <row r="239" spans="1:10" ht="18" customHeight="1">
      <c r="A239" s="103"/>
      <c r="B239" s="104"/>
      <c r="C239" s="104"/>
      <c r="D239" s="105"/>
      <c r="E239" s="106"/>
      <c r="F239" s="107"/>
      <c r="G239" s="108">
        <f t="shared" si="3"/>
        <v>0</v>
      </c>
      <c r="H239" s="109"/>
      <c r="I239" s="110"/>
      <c r="J239" s="111"/>
    </row>
    <row r="240" spans="1:10" ht="18" customHeight="1">
      <c r="A240" s="103"/>
      <c r="B240" s="104"/>
      <c r="C240" s="104"/>
      <c r="D240" s="105"/>
      <c r="E240" s="106"/>
      <c r="F240" s="107"/>
      <c r="G240" s="108">
        <f t="shared" si="3"/>
        <v>0</v>
      </c>
      <c r="H240" s="112"/>
      <c r="I240" s="113"/>
      <c r="J240" s="114"/>
    </row>
    <row r="241" spans="1:10" ht="18" customHeight="1">
      <c r="A241" s="103"/>
      <c r="B241" s="104"/>
      <c r="C241" s="104"/>
      <c r="D241" s="105"/>
      <c r="E241" s="106"/>
      <c r="F241" s="107"/>
      <c r="G241" s="108">
        <f t="shared" si="3"/>
        <v>0</v>
      </c>
      <c r="H241" s="109"/>
      <c r="I241" s="110"/>
      <c r="J241" s="111"/>
    </row>
    <row r="242" spans="1:10" ht="18" customHeight="1">
      <c r="A242" s="103"/>
      <c r="B242" s="104"/>
      <c r="C242" s="104"/>
      <c r="D242" s="105"/>
      <c r="E242" s="106"/>
      <c r="F242" s="107"/>
      <c r="G242" s="108">
        <f t="shared" si="3"/>
        <v>0</v>
      </c>
      <c r="H242" s="112"/>
      <c r="I242" s="113"/>
      <c r="J242" s="114"/>
    </row>
    <row r="243" spans="1:10" ht="18" customHeight="1">
      <c r="A243" s="103"/>
      <c r="B243" s="104"/>
      <c r="C243" s="104"/>
      <c r="D243" s="105"/>
      <c r="E243" s="106"/>
      <c r="F243" s="107"/>
      <c r="G243" s="108">
        <f t="shared" si="3"/>
        <v>0</v>
      </c>
      <c r="H243" s="109"/>
      <c r="I243" s="110"/>
      <c r="J243" s="111"/>
    </row>
    <row r="244" spans="1:10" ht="18" customHeight="1">
      <c r="A244" s="103"/>
      <c r="B244" s="104"/>
      <c r="C244" s="104"/>
      <c r="D244" s="105"/>
      <c r="E244" s="106"/>
      <c r="F244" s="107"/>
      <c r="G244" s="108">
        <f t="shared" si="3"/>
        <v>0</v>
      </c>
      <c r="H244" s="112"/>
      <c r="I244" s="113"/>
      <c r="J244" s="114"/>
    </row>
    <row r="245" spans="1:10" ht="18" customHeight="1">
      <c r="A245" s="103"/>
      <c r="B245" s="104"/>
      <c r="C245" s="104"/>
      <c r="D245" s="105"/>
      <c r="E245" s="106"/>
      <c r="F245" s="107"/>
      <c r="G245" s="108">
        <f t="shared" si="3"/>
        <v>0</v>
      </c>
      <c r="H245" s="109"/>
      <c r="I245" s="110"/>
      <c r="J245" s="111"/>
    </row>
    <row r="246" spans="1:10" ht="18" customHeight="1">
      <c r="A246" s="103"/>
      <c r="B246" s="104"/>
      <c r="C246" s="104"/>
      <c r="D246" s="105"/>
      <c r="E246" s="106"/>
      <c r="F246" s="107"/>
      <c r="G246" s="108">
        <f t="shared" si="3"/>
        <v>0</v>
      </c>
      <c r="H246" s="112"/>
      <c r="I246" s="113"/>
      <c r="J246" s="114"/>
    </row>
    <row r="247" spans="1:10" ht="18" customHeight="1">
      <c r="A247" s="103"/>
      <c r="B247" s="104"/>
      <c r="C247" s="104"/>
      <c r="D247" s="105"/>
      <c r="E247" s="106"/>
      <c r="F247" s="107"/>
      <c r="G247" s="108">
        <f t="shared" si="3"/>
        <v>0</v>
      </c>
      <c r="H247" s="109"/>
      <c r="I247" s="110"/>
      <c r="J247" s="111"/>
    </row>
    <row r="248" spans="1:10" ht="18" customHeight="1">
      <c r="A248" s="103"/>
      <c r="B248" s="104"/>
      <c r="C248" s="104"/>
      <c r="D248" s="105"/>
      <c r="E248" s="106"/>
      <c r="F248" s="107"/>
      <c r="G248" s="108">
        <f t="shared" si="3"/>
        <v>0</v>
      </c>
      <c r="H248" s="112"/>
      <c r="I248" s="113"/>
      <c r="J248" s="114"/>
    </row>
    <row r="249" spans="1:10" ht="18" customHeight="1">
      <c r="A249" s="103"/>
      <c r="B249" s="104"/>
      <c r="C249" s="104"/>
      <c r="D249" s="105"/>
      <c r="E249" s="106"/>
      <c r="F249" s="107"/>
      <c r="G249" s="108">
        <f t="shared" si="3"/>
        <v>0</v>
      </c>
      <c r="H249" s="109"/>
      <c r="I249" s="110"/>
      <c r="J249" s="111"/>
    </row>
    <row r="250" spans="1:10" ht="18" customHeight="1">
      <c r="A250" s="103"/>
      <c r="B250" s="104"/>
      <c r="C250" s="104"/>
      <c r="D250" s="105"/>
      <c r="E250" s="106"/>
      <c r="F250" s="107"/>
      <c r="G250" s="108">
        <f t="shared" si="3"/>
        <v>0</v>
      </c>
      <c r="H250" s="112"/>
      <c r="I250" s="113"/>
      <c r="J250" s="114"/>
    </row>
    <row r="251" spans="1:10" ht="18" customHeight="1">
      <c r="A251" s="103"/>
      <c r="B251" s="104"/>
      <c r="C251" s="104"/>
      <c r="D251" s="105"/>
      <c r="E251" s="106"/>
      <c r="F251" s="107"/>
      <c r="G251" s="108">
        <f t="shared" si="3"/>
        <v>0</v>
      </c>
      <c r="H251" s="109"/>
      <c r="I251" s="110"/>
      <c r="J251" s="111"/>
    </row>
    <row r="252" spans="1:10" ht="18" customHeight="1">
      <c r="A252" s="103"/>
      <c r="B252" s="104"/>
      <c r="C252" s="104"/>
      <c r="D252" s="105"/>
      <c r="E252" s="106"/>
      <c r="F252" s="107"/>
      <c r="G252" s="108">
        <f t="shared" si="3"/>
        <v>0</v>
      </c>
      <c r="H252" s="112"/>
      <c r="I252" s="113"/>
      <c r="J252" s="114"/>
    </row>
    <row r="253" spans="1:10" ht="18" customHeight="1">
      <c r="A253" s="103"/>
      <c r="B253" s="104"/>
      <c r="C253" s="104"/>
      <c r="D253" s="105"/>
      <c r="E253" s="106"/>
      <c r="F253" s="107"/>
      <c r="G253" s="108">
        <f t="shared" si="3"/>
        <v>0</v>
      </c>
      <c r="H253" s="109"/>
      <c r="I253" s="110"/>
      <c r="J253" s="111"/>
    </row>
    <row r="254" spans="1:10" ht="18" customHeight="1">
      <c r="A254" s="103"/>
      <c r="B254" s="104"/>
      <c r="C254" s="104"/>
      <c r="D254" s="105"/>
      <c r="E254" s="106"/>
      <c r="F254" s="107"/>
      <c r="G254" s="108">
        <f t="shared" si="3"/>
        <v>0</v>
      </c>
      <c r="H254" s="112"/>
      <c r="I254" s="113"/>
      <c r="J254" s="114"/>
    </row>
    <row r="255" spans="1:10" ht="18" customHeight="1">
      <c r="A255" s="103"/>
      <c r="B255" s="104"/>
      <c r="C255" s="104"/>
      <c r="D255" s="105"/>
      <c r="E255" s="106"/>
      <c r="F255" s="107"/>
      <c r="G255" s="108">
        <f t="shared" si="3"/>
        <v>0</v>
      </c>
      <c r="H255" s="109"/>
      <c r="I255" s="110"/>
      <c r="J255" s="111"/>
    </row>
    <row r="256" spans="1:10" ht="18" customHeight="1">
      <c r="A256" s="103"/>
      <c r="B256" s="104"/>
      <c r="C256" s="104"/>
      <c r="D256" s="105"/>
      <c r="E256" s="106"/>
      <c r="F256" s="107"/>
      <c r="G256" s="108">
        <f t="shared" si="3"/>
        <v>0</v>
      </c>
      <c r="H256" s="112"/>
      <c r="I256" s="113"/>
      <c r="J256" s="114"/>
    </row>
    <row r="257" spans="1:10" ht="18" customHeight="1">
      <c r="A257" s="103"/>
      <c r="B257" s="104"/>
      <c r="C257" s="104"/>
      <c r="D257" s="105"/>
      <c r="E257" s="106"/>
      <c r="F257" s="107"/>
      <c r="G257" s="108">
        <f t="shared" si="3"/>
        <v>0</v>
      </c>
      <c r="H257" s="109"/>
      <c r="I257" s="110"/>
      <c r="J257" s="111"/>
    </row>
    <row r="258" spans="1:10" ht="18" customHeight="1">
      <c r="A258" s="103"/>
      <c r="B258" s="104"/>
      <c r="C258" s="104"/>
      <c r="D258" s="105"/>
      <c r="E258" s="106"/>
      <c r="F258" s="107"/>
      <c r="G258" s="108">
        <f t="shared" si="3"/>
        <v>0</v>
      </c>
      <c r="H258" s="112"/>
      <c r="I258" s="113"/>
      <c r="J258" s="114"/>
    </row>
    <row r="259" spans="1:10" ht="18" customHeight="1">
      <c r="A259" s="103"/>
      <c r="B259" s="104"/>
      <c r="C259" s="104"/>
      <c r="D259" s="105"/>
      <c r="E259" s="106"/>
      <c r="F259" s="107"/>
      <c r="G259" s="108">
        <f t="shared" si="3"/>
        <v>0</v>
      </c>
      <c r="H259" s="109"/>
      <c r="I259" s="110"/>
      <c r="J259" s="111"/>
    </row>
    <row r="260" spans="1:10" ht="18" customHeight="1">
      <c r="A260" s="103"/>
      <c r="B260" s="104"/>
      <c r="C260" s="104"/>
      <c r="D260" s="105"/>
      <c r="E260" s="106"/>
      <c r="F260" s="107"/>
      <c r="G260" s="108">
        <f t="shared" ref="G260:G323" si="4">IFERROR(E260*F260,"")</f>
        <v>0</v>
      </c>
      <c r="H260" s="112"/>
      <c r="I260" s="113"/>
      <c r="J260" s="114"/>
    </row>
    <row r="261" spans="1:10" ht="18" customHeight="1">
      <c r="A261" s="103"/>
      <c r="B261" s="104"/>
      <c r="C261" s="104"/>
      <c r="D261" s="105"/>
      <c r="E261" s="106"/>
      <c r="F261" s="107"/>
      <c r="G261" s="108">
        <f t="shared" si="4"/>
        <v>0</v>
      </c>
      <c r="H261" s="109"/>
      <c r="I261" s="110"/>
      <c r="J261" s="111"/>
    </row>
    <row r="262" spans="1:10" ht="18" customHeight="1">
      <c r="A262" s="103"/>
      <c r="B262" s="104"/>
      <c r="C262" s="104"/>
      <c r="D262" s="105"/>
      <c r="E262" s="106"/>
      <c r="F262" s="107"/>
      <c r="G262" s="108">
        <f t="shared" si="4"/>
        <v>0</v>
      </c>
      <c r="H262" s="112"/>
      <c r="I262" s="113"/>
      <c r="J262" s="114"/>
    </row>
    <row r="263" spans="1:10" ht="18" customHeight="1">
      <c r="A263" s="103"/>
      <c r="B263" s="104"/>
      <c r="C263" s="104"/>
      <c r="D263" s="105"/>
      <c r="E263" s="106"/>
      <c r="F263" s="107"/>
      <c r="G263" s="108">
        <f t="shared" si="4"/>
        <v>0</v>
      </c>
      <c r="H263" s="109"/>
      <c r="I263" s="110"/>
      <c r="J263" s="111"/>
    </row>
    <row r="264" spans="1:10" ht="18" customHeight="1">
      <c r="A264" s="103"/>
      <c r="B264" s="104"/>
      <c r="C264" s="104"/>
      <c r="D264" s="105"/>
      <c r="E264" s="106"/>
      <c r="F264" s="107"/>
      <c r="G264" s="108">
        <f t="shared" si="4"/>
        <v>0</v>
      </c>
      <c r="H264" s="112"/>
      <c r="I264" s="113"/>
      <c r="J264" s="114"/>
    </row>
    <row r="265" spans="1:10" ht="18" customHeight="1">
      <c r="A265" s="103"/>
      <c r="B265" s="104"/>
      <c r="C265" s="104"/>
      <c r="D265" s="105"/>
      <c r="E265" s="106"/>
      <c r="F265" s="107"/>
      <c r="G265" s="108">
        <f t="shared" si="4"/>
        <v>0</v>
      </c>
      <c r="H265" s="109"/>
      <c r="I265" s="110"/>
      <c r="J265" s="111"/>
    </row>
    <row r="266" spans="1:10" ht="18" customHeight="1">
      <c r="A266" s="103"/>
      <c r="B266" s="104"/>
      <c r="C266" s="104"/>
      <c r="D266" s="105"/>
      <c r="E266" s="106"/>
      <c r="F266" s="107"/>
      <c r="G266" s="108">
        <f t="shared" si="4"/>
        <v>0</v>
      </c>
      <c r="H266" s="112"/>
      <c r="I266" s="113"/>
      <c r="J266" s="114"/>
    </row>
    <row r="267" spans="1:10" ht="18" customHeight="1">
      <c r="A267" s="103"/>
      <c r="B267" s="104"/>
      <c r="C267" s="104"/>
      <c r="D267" s="105"/>
      <c r="E267" s="106"/>
      <c r="F267" s="107"/>
      <c r="G267" s="108">
        <f t="shared" si="4"/>
        <v>0</v>
      </c>
      <c r="H267" s="109"/>
      <c r="I267" s="110"/>
      <c r="J267" s="111"/>
    </row>
    <row r="268" spans="1:10" ht="18" customHeight="1">
      <c r="A268" s="103"/>
      <c r="B268" s="104"/>
      <c r="C268" s="104"/>
      <c r="D268" s="105"/>
      <c r="E268" s="106"/>
      <c r="F268" s="107"/>
      <c r="G268" s="108">
        <f t="shared" si="4"/>
        <v>0</v>
      </c>
      <c r="H268" s="112"/>
      <c r="I268" s="113"/>
      <c r="J268" s="114"/>
    </row>
    <row r="269" spans="1:10" ht="18" customHeight="1">
      <c r="A269" s="103"/>
      <c r="B269" s="104"/>
      <c r="C269" s="104"/>
      <c r="D269" s="105"/>
      <c r="E269" s="106"/>
      <c r="F269" s="107"/>
      <c r="G269" s="108">
        <f t="shared" si="4"/>
        <v>0</v>
      </c>
      <c r="H269" s="109"/>
      <c r="I269" s="110"/>
      <c r="J269" s="111"/>
    </row>
    <row r="270" spans="1:10" ht="18" customHeight="1">
      <c r="A270" s="103"/>
      <c r="B270" s="104"/>
      <c r="C270" s="104"/>
      <c r="D270" s="105"/>
      <c r="E270" s="106"/>
      <c r="F270" s="107"/>
      <c r="G270" s="108">
        <f t="shared" si="4"/>
        <v>0</v>
      </c>
      <c r="H270" s="112"/>
      <c r="I270" s="113"/>
      <c r="J270" s="114"/>
    </row>
    <row r="271" spans="1:10" ht="18" customHeight="1">
      <c r="A271" s="103"/>
      <c r="B271" s="104"/>
      <c r="C271" s="104"/>
      <c r="D271" s="105"/>
      <c r="E271" s="106"/>
      <c r="F271" s="107"/>
      <c r="G271" s="108">
        <f t="shared" si="4"/>
        <v>0</v>
      </c>
      <c r="H271" s="109"/>
      <c r="I271" s="110"/>
      <c r="J271" s="111"/>
    </row>
    <row r="272" spans="1:10" ht="18" customHeight="1">
      <c r="A272" s="103"/>
      <c r="B272" s="104"/>
      <c r="C272" s="104"/>
      <c r="D272" s="105"/>
      <c r="E272" s="106"/>
      <c r="F272" s="107"/>
      <c r="G272" s="108">
        <f t="shared" si="4"/>
        <v>0</v>
      </c>
      <c r="H272" s="112"/>
      <c r="I272" s="113"/>
      <c r="J272" s="114"/>
    </row>
    <row r="273" spans="1:10" ht="18" customHeight="1">
      <c r="A273" s="103"/>
      <c r="B273" s="104"/>
      <c r="C273" s="104"/>
      <c r="D273" s="105"/>
      <c r="E273" s="106"/>
      <c r="F273" s="107"/>
      <c r="G273" s="108">
        <f t="shared" si="4"/>
        <v>0</v>
      </c>
      <c r="H273" s="109"/>
      <c r="I273" s="110"/>
      <c r="J273" s="111"/>
    </row>
    <row r="274" spans="1:10" ht="18" customHeight="1">
      <c r="A274" s="103"/>
      <c r="B274" s="104"/>
      <c r="C274" s="104"/>
      <c r="D274" s="105"/>
      <c r="E274" s="106"/>
      <c r="F274" s="107"/>
      <c r="G274" s="108">
        <f t="shared" si="4"/>
        <v>0</v>
      </c>
      <c r="H274" s="112"/>
      <c r="I274" s="113"/>
      <c r="J274" s="114"/>
    </row>
    <row r="275" spans="1:10" ht="18" customHeight="1">
      <c r="A275" s="103"/>
      <c r="B275" s="104"/>
      <c r="C275" s="104"/>
      <c r="D275" s="105"/>
      <c r="E275" s="106"/>
      <c r="F275" s="107"/>
      <c r="G275" s="108">
        <f t="shared" si="4"/>
        <v>0</v>
      </c>
      <c r="H275" s="109"/>
      <c r="I275" s="110"/>
      <c r="J275" s="111"/>
    </row>
    <row r="276" spans="1:10" ht="18" customHeight="1">
      <c r="A276" s="103"/>
      <c r="B276" s="104"/>
      <c r="C276" s="104"/>
      <c r="D276" s="105"/>
      <c r="E276" s="106"/>
      <c r="F276" s="107"/>
      <c r="G276" s="108">
        <f t="shared" si="4"/>
        <v>0</v>
      </c>
      <c r="H276" s="112"/>
      <c r="I276" s="113"/>
      <c r="J276" s="114"/>
    </row>
    <row r="277" spans="1:10" ht="18" customHeight="1">
      <c r="A277" s="103"/>
      <c r="B277" s="104"/>
      <c r="C277" s="104"/>
      <c r="D277" s="105"/>
      <c r="E277" s="106"/>
      <c r="F277" s="107"/>
      <c r="G277" s="108">
        <f t="shared" si="4"/>
        <v>0</v>
      </c>
      <c r="H277" s="109"/>
      <c r="I277" s="110"/>
      <c r="J277" s="111"/>
    </row>
    <row r="278" spans="1:10" ht="18" customHeight="1">
      <c r="A278" s="103"/>
      <c r="B278" s="104"/>
      <c r="C278" s="104"/>
      <c r="D278" s="105"/>
      <c r="E278" s="106"/>
      <c r="F278" s="107"/>
      <c r="G278" s="108">
        <f t="shared" si="4"/>
        <v>0</v>
      </c>
      <c r="H278" s="112"/>
      <c r="I278" s="113"/>
      <c r="J278" s="114"/>
    </row>
    <row r="279" spans="1:10" ht="18" customHeight="1">
      <c r="A279" s="103"/>
      <c r="B279" s="104"/>
      <c r="C279" s="104"/>
      <c r="D279" s="105"/>
      <c r="E279" s="106"/>
      <c r="F279" s="107"/>
      <c r="G279" s="108">
        <f t="shared" si="4"/>
        <v>0</v>
      </c>
      <c r="H279" s="109"/>
      <c r="I279" s="110"/>
      <c r="J279" s="111"/>
    </row>
    <row r="280" spans="1:10" ht="18" customHeight="1">
      <c r="A280" s="103"/>
      <c r="B280" s="104"/>
      <c r="C280" s="104"/>
      <c r="D280" s="105"/>
      <c r="E280" s="106"/>
      <c r="F280" s="107"/>
      <c r="G280" s="108">
        <f t="shared" si="4"/>
        <v>0</v>
      </c>
      <c r="H280" s="112"/>
      <c r="I280" s="113"/>
      <c r="J280" s="114"/>
    </row>
    <row r="281" spans="1:10" ht="18" customHeight="1">
      <c r="A281" s="103"/>
      <c r="B281" s="104"/>
      <c r="C281" s="104"/>
      <c r="D281" s="105"/>
      <c r="E281" s="106"/>
      <c r="F281" s="107"/>
      <c r="G281" s="108">
        <f t="shared" si="4"/>
        <v>0</v>
      </c>
      <c r="H281" s="109"/>
      <c r="I281" s="110"/>
      <c r="J281" s="111"/>
    </row>
    <row r="282" spans="1:10" ht="18" customHeight="1">
      <c r="A282" s="103"/>
      <c r="B282" s="104"/>
      <c r="C282" s="104"/>
      <c r="D282" s="105"/>
      <c r="E282" s="106"/>
      <c r="F282" s="107"/>
      <c r="G282" s="108">
        <f t="shared" si="4"/>
        <v>0</v>
      </c>
      <c r="H282" s="112"/>
      <c r="I282" s="113"/>
      <c r="J282" s="114"/>
    </row>
    <row r="283" spans="1:10" ht="18" customHeight="1">
      <c r="A283" s="103"/>
      <c r="B283" s="104"/>
      <c r="C283" s="104"/>
      <c r="D283" s="105"/>
      <c r="E283" s="106"/>
      <c r="F283" s="107"/>
      <c r="G283" s="108">
        <f t="shared" si="4"/>
        <v>0</v>
      </c>
      <c r="H283" s="109"/>
      <c r="I283" s="110"/>
      <c r="J283" s="111"/>
    </row>
    <row r="284" spans="1:10" ht="18" customHeight="1">
      <c r="A284" s="103"/>
      <c r="B284" s="104"/>
      <c r="C284" s="104"/>
      <c r="D284" s="105"/>
      <c r="E284" s="106"/>
      <c r="F284" s="107"/>
      <c r="G284" s="108">
        <f t="shared" si="4"/>
        <v>0</v>
      </c>
      <c r="H284" s="112"/>
      <c r="I284" s="113"/>
      <c r="J284" s="114"/>
    </row>
    <row r="285" spans="1:10" ht="18" customHeight="1">
      <c r="A285" s="103"/>
      <c r="B285" s="104"/>
      <c r="C285" s="104"/>
      <c r="D285" s="105"/>
      <c r="E285" s="106"/>
      <c r="F285" s="107"/>
      <c r="G285" s="108">
        <f t="shared" si="4"/>
        <v>0</v>
      </c>
      <c r="H285" s="109"/>
      <c r="I285" s="110"/>
      <c r="J285" s="111"/>
    </row>
    <row r="286" spans="1:10" ht="18" customHeight="1">
      <c r="A286" s="103"/>
      <c r="B286" s="104"/>
      <c r="C286" s="104"/>
      <c r="D286" s="105"/>
      <c r="E286" s="106"/>
      <c r="F286" s="107"/>
      <c r="G286" s="108">
        <f t="shared" si="4"/>
        <v>0</v>
      </c>
      <c r="H286" s="112"/>
      <c r="I286" s="113"/>
      <c r="J286" s="114"/>
    </row>
    <row r="287" spans="1:10" ht="18" customHeight="1">
      <c r="A287" s="103"/>
      <c r="B287" s="104"/>
      <c r="C287" s="104"/>
      <c r="D287" s="105"/>
      <c r="E287" s="106"/>
      <c r="F287" s="107"/>
      <c r="G287" s="108">
        <f t="shared" si="4"/>
        <v>0</v>
      </c>
      <c r="H287" s="109"/>
      <c r="I287" s="110"/>
      <c r="J287" s="111"/>
    </row>
    <row r="288" spans="1:10" ht="18" customHeight="1">
      <c r="A288" s="103"/>
      <c r="B288" s="104"/>
      <c r="C288" s="104"/>
      <c r="D288" s="105"/>
      <c r="E288" s="106"/>
      <c r="F288" s="107"/>
      <c r="G288" s="108">
        <f t="shared" si="4"/>
        <v>0</v>
      </c>
      <c r="H288" s="112"/>
      <c r="I288" s="113"/>
      <c r="J288" s="114"/>
    </row>
    <row r="289" spans="1:10" ht="18" customHeight="1">
      <c r="A289" s="103"/>
      <c r="B289" s="104"/>
      <c r="C289" s="104"/>
      <c r="D289" s="105"/>
      <c r="E289" s="106"/>
      <c r="F289" s="107"/>
      <c r="G289" s="108">
        <f t="shared" si="4"/>
        <v>0</v>
      </c>
      <c r="H289" s="109"/>
      <c r="I289" s="110"/>
      <c r="J289" s="111"/>
    </row>
    <row r="290" spans="1:10" ht="18" customHeight="1">
      <c r="A290" s="103"/>
      <c r="B290" s="104"/>
      <c r="C290" s="104"/>
      <c r="D290" s="105"/>
      <c r="E290" s="106"/>
      <c r="F290" s="107"/>
      <c r="G290" s="108">
        <f t="shared" si="4"/>
        <v>0</v>
      </c>
      <c r="H290" s="112"/>
      <c r="I290" s="113"/>
      <c r="J290" s="114"/>
    </row>
    <row r="291" spans="1:10" ht="18" customHeight="1">
      <c r="A291" s="103"/>
      <c r="B291" s="104"/>
      <c r="C291" s="104"/>
      <c r="D291" s="105"/>
      <c r="E291" s="106"/>
      <c r="F291" s="107"/>
      <c r="G291" s="108">
        <f t="shared" si="4"/>
        <v>0</v>
      </c>
      <c r="H291" s="109"/>
      <c r="I291" s="110"/>
      <c r="J291" s="111"/>
    </row>
    <row r="292" spans="1:10" ht="18" customHeight="1">
      <c r="A292" s="103"/>
      <c r="B292" s="104"/>
      <c r="C292" s="104"/>
      <c r="D292" s="105"/>
      <c r="E292" s="106"/>
      <c r="F292" s="107"/>
      <c r="G292" s="108">
        <f t="shared" si="4"/>
        <v>0</v>
      </c>
      <c r="H292" s="112"/>
      <c r="I292" s="113"/>
      <c r="J292" s="114"/>
    </row>
    <row r="293" spans="1:10" ht="18" customHeight="1">
      <c r="A293" s="103"/>
      <c r="B293" s="104"/>
      <c r="C293" s="104"/>
      <c r="D293" s="105"/>
      <c r="E293" s="106"/>
      <c r="F293" s="107"/>
      <c r="G293" s="108">
        <f t="shared" si="4"/>
        <v>0</v>
      </c>
      <c r="H293" s="109"/>
      <c r="I293" s="110"/>
      <c r="J293" s="111"/>
    </row>
    <row r="294" spans="1:10" ht="18" customHeight="1">
      <c r="A294" s="103"/>
      <c r="B294" s="104"/>
      <c r="C294" s="104"/>
      <c r="D294" s="105"/>
      <c r="E294" s="106"/>
      <c r="F294" s="107"/>
      <c r="G294" s="108">
        <f t="shared" si="4"/>
        <v>0</v>
      </c>
      <c r="H294" s="112"/>
      <c r="I294" s="113"/>
      <c r="J294" s="114"/>
    </row>
    <row r="295" spans="1:10" ht="18" customHeight="1">
      <c r="A295" s="103"/>
      <c r="B295" s="104"/>
      <c r="C295" s="104"/>
      <c r="D295" s="105"/>
      <c r="E295" s="106"/>
      <c r="F295" s="107"/>
      <c r="G295" s="108">
        <f t="shared" si="4"/>
        <v>0</v>
      </c>
      <c r="H295" s="109"/>
      <c r="I295" s="110"/>
      <c r="J295" s="111"/>
    </row>
    <row r="296" spans="1:10" ht="18" customHeight="1">
      <c r="A296" s="103"/>
      <c r="B296" s="104"/>
      <c r="C296" s="104"/>
      <c r="D296" s="105"/>
      <c r="E296" s="106"/>
      <c r="F296" s="107"/>
      <c r="G296" s="108">
        <f t="shared" si="4"/>
        <v>0</v>
      </c>
      <c r="H296" s="112"/>
      <c r="I296" s="113"/>
      <c r="J296" s="114"/>
    </row>
    <row r="297" spans="1:10" ht="18" customHeight="1">
      <c r="A297" s="103"/>
      <c r="B297" s="104"/>
      <c r="C297" s="104"/>
      <c r="D297" s="105"/>
      <c r="E297" s="106"/>
      <c r="F297" s="107"/>
      <c r="G297" s="108">
        <f t="shared" si="4"/>
        <v>0</v>
      </c>
      <c r="H297" s="109"/>
      <c r="I297" s="110"/>
      <c r="J297" s="111"/>
    </row>
    <row r="298" spans="1:10" ht="18" customHeight="1">
      <c r="A298" s="103"/>
      <c r="B298" s="104"/>
      <c r="C298" s="104"/>
      <c r="D298" s="105"/>
      <c r="E298" s="106"/>
      <c r="F298" s="107"/>
      <c r="G298" s="108">
        <f t="shared" si="4"/>
        <v>0</v>
      </c>
      <c r="H298" s="112"/>
      <c r="I298" s="113"/>
      <c r="J298" s="114"/>
    </row>
    <row r="299" spans="1:10" ht="18" customHeight="1">
      <c r="A299" s="103"/>
      <c r="B299" s="104"/>
      <c r="C299" s="104"/>
      <c r="D299" s="105"/>
      <c r="E299" s="106"/>
      <c r="F299" s="107"/>
      <c r="G299" s="108">
        <f t="shared" si="4"/>
        <v>0</v>
      </c>
      <c r="H299" s="109"/>
      <c r="I299" s="110"/>
      <c r="J299" s="111"/>
    </row>
    <row r="300" spans="1:10" ht="18" customHeight="1">
      <c r="A300" s="103"/>
      <c r="B300" s="104"/>
      <c r="C300" s="104"/>
      <c r="D300" s="105"/>
      <c r="E300" s="106"/>
      <c r="F300" s="107"/>
      <c r="G300" s="108">
        <f t="shared" si="4"/>
        <v>0</v>
      </c>
      <c r="H300" s="112"/>
      <c r="I300" s="113"/>
      <c r="J300" s="114"/>
    </row>
    <row r="301" spans="1:10" ht="18" customHeight="1">
      <c r="A301" s="103"/>
      <c r="B301" s="104"/>
      <c r="C301" s="104"/>
      <c r="D301" s="105"/>
      <c r="E301" s="106"/>
      <c r="F301" s="107"/>
      <c r="G301" s="108">
        <f t="shared" si="4"/>
        <v>0</v>
      </c>
      <c r="H301" s="109"/>
      <c r="I301" s="110"/>
      <c r="J301" s="111"/>
    </row>
    <row r="302" spans="1:10" ht="18" customHeight="1">
      <c r="A302" s="103"/>
      <c r="B302" s="104"/>
      <c r="C302" s="104"/>
      <c r="D302" s="105"/>
      <c r="E302" s="106"/>
      <c r="F302" s="107"/>
      <c r="G302" s="108">
        <f t="shared" si="4"/>
        <v>0</v>
      </c>
      <c r="H302" s="112"/>
      <c r="I302" s="113"/>
      <c r="J302" s="114"/>
    </row>
    <row r="303" spans="1:10" ht="18" customHeight="1">
      <c r="A303" s="103"/>
      <c r="B303" s="104"/>
      <c r="C303" s="104"/>
      <c r="D303" s="105"/>
      <c r="E303" s="106"/>
      <c r="F303" s="107"/>
      <c r="G303" s="108">
        <f t="shared" si="4"/>
        <v>0</v>
      </c>
      <c r="H303" s="109"/>
      <c r="I303" s="110"/>
      <c r="J303" s="111"/>
    </row>
    <row r="304" spans="1:10" ht="15" customHeight="1">
      <c r="A304" s="183" t="s">
        <v>638</v>
      </c>
      <c r="B304" s="178"/>
      <c r="C304" s="178"/>
      <c r="D304" s="178"/>
      <c r="E304" s="115">
        <f>IFERROR(SUM(E4:E303),"")</f>
        <v>27671.89</v>
      </c>
      <c r="G304" s="56">
        <f>IFERROR(SUMIF(D4:D303,"자체구매",G4:G303),"")</f>
        <v>16720589.0802</v>
      </c>
    </row>
    <row r="305" spans="1:5" ht="15" customHeight="1">
      <c r="A305" s="194" t="s">
        <v>639</v>
      </c>
      <c r="B305" s="178"/>
      <c r="C305" s="178"/>
      <c r="D305" s="178"/>
      <c r="E305" s="116">
        <f>IFERROR(SUMIF(D4:D303,"위탁공급",E4:E303),"")</f>
        <v>23760</v>
      </c>
    </row>
  </sheetData>
  <mergeCells count="4">
    <mergeCell ref="A304:D304"/>
    <mergeCell ref="A1:K1"/>
    <mergeCell ref="A305:D305"/>
    <mergeCell ref="A2:J2"/>
  </mergeCells>
  <phoneticPr fontId="55" type="noConversion"/>
  <dataValidations count="1">
    <dataValidation type="list" sqref="D4:D303" xr:uid="{00000000-0002-0000-0700-000001000000}">
      <formula1>"자체구매,위탁공급"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원재료명 오류" error="목록에서 원재료를 선택하세요" xr:uid="{00000000-0002-0000-0700-000000000000}">
          <x14:formula1>
            <xm:f>'📋 드롭다운 목록'!$B$2:$B$81</xm:f>
          </x14:formula1>
          <x14:formula2>
            <xm:f>0</xm:f>
          </x14:formula2>
          <xm:sqref>B4:B303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8"/>
  <sheetViews>
    <sheetView zoomScaleNormal="100" workbookViewId="0"/>
  </sheetViews>
  <sheetFormatPr defaultColWidth="8.5" defaultRowHeight="16.5"/>
  <cols>
    <col min="1" max="1" width="5" customWidth="1"/>
    <col min="2" max="2" width="24" customWidth="1"/>
    <col min="3" max="8" width="14" customWidth="1"/>
    <col min="9" max="9" width="16" customWidth="1"/>
  </cols>
  <sheetData>
    <row r="1" spans="1:9" ht="34.5" customHeight="1">
      <c r="A1" s="182" t="s">
        <v>640</v>
      </c>
      <c r="B1" s="178"/>
      <c r="C1" s="178"/>
      <c r="D1" s="178"/>
      <c r="E1" s="178"/>
      <c r="F1" s="178"/>
      <c r="G1" s="178"/>
      <c r="H1" s="178"/>
      <c r="I1" s="178"/>
    </row>
    <row r="2" spans="1:9" ht="18" customHeight="1">
      <c r="A2" s="190" t="s">
        <v>641</v>
      </c>
      <c r="B2" s="178"/>
      <c r="C2" s="178"/>
      <c r="D2" s="178"/>
      <c r="E2" s="178"/>
      <c r="F2" s="178"/>
      <c r="G2" s="178"/>
      <c r="H2" s="178"/>
      <c r="I2" s="178"/>
    </row>
    <row r="3" spans="1:9" ht="21.75" customHeight="1">
      <c r="A3" s="117" t="s">
        <v>642</v>
      </c>
      <c r="B3" s="195" t="s">
        <v>643</v>
      </c>
      <c r="C3" s="189"/>
      <c r="D3" s="42" t="s">
        <v>644</v>
      </c>
    </row>
    <row r="4" spans="1:9" ht="34.5" customHeight="1">
      <c r="A4" s="5" t="s">
        <v>46</v>
      </c>
      <c r="B4" s="6" t="s">
        <v>140</v>
      </c>
      <c r="C4" s="6" t="s">
        <v>645</v>
      </c>
      <c r="D4" s="6" t="s">
        <v>247</v>
      </c>
      <c r="E4" s="6" t="s">
        <v>248</v>
      </c>
      <c r="F4" s="6" t="s">
        <v>249</v>
      </c>
      <c r="G4" s="6" t="s">
        <v>646</v>
      </c>
      <c r="H4" s="6" t="s">
        <v>647</v>
      </c>
      <c r="I4" s="6" t="s">
        <v>51</v>
      </c>
    </row>
    <row r="5" spans="1:9" ht="18" customHeight="1">
      <c r="A5" s="7">
        <v>1</v>
      </c>
      <c r="B5" s="12" t="s">
        <v>53</v>
      </c>
      <c r="C5" s="45">
        <f>IFERROR(SUMIFS('📥 원재료 입고'!E$4:E$400,'📥 원재료 입고'!B$4:B$400,B5),0)</f>
        <v>0</v>
      </c>
      <c r="D5" s="44">
        <f>IFERROR(SUMIFS('📥 원재료 입고'!E$4:E$400,'📥 원재료 입고'!B$4:B$400,B5,'📥 원재료 입고'!D$4:D$400,"자체구매"),"")</f>
        <v>0</v>
      </c>
      <c r="E5" s="43">
        <f>IFERROR(SUMIFS('📥 원재료 입고'!E$4:E$400,'📥 원재료 입고'!B$4:B$400,B5,'📥 원재료 입고'!D$4:D$400,"위탁공급"),"")</f>
        <v>0</v>
      </c>
      <c r="F5" s="46">
        <f>SUMIFS('📦 일일 생산 입력'!G$5:G$505,'📦 일일 생산 입력'!$B$5:$B$505,"&gt;="&amp;DATE(2026,1,1))</f>
        <v>0.64</v>
      </c>
      <c r="G5" s="45">
        <f>IFERROR(MAX('📊 월별 원료수불부'!C5+C5-F5,0),"")</f>
        <v>14</v>
      </c>
      <c r="H5" s="7" t="str">
        <f t="shared" ref="H5:H12" si="0">IFERROR(IF(G5="","—",IF(G5&lt;0,"🚨 부족",IF(G5&lt;5,"⚠️ 부족임박","✅ 정상"))),"—")</f>
        <v>✅ 정상</v>
      </c>
      <c r="I5" s="10"/>
    </row>
    <row r="6" spans="1:9" ht="18" customHeight="1">
      <c r="A6" s="11">
        <v>2</v>
      </c>
      <c r="B6" s="47" t="s">
        <v>55</v>
      </c>
      <c r="C6" s="45">
        <f>IFERROR(SUMIFS('📥 원재료 입고'!E$4:E$400,'📥 원재료 입고'!B$4:B$400,B6),0)</f>
        <v>0</v>
      </c>
      <c r="D6" s="44">
        <f>IFERROR(SUMIFS('📥 원재료 입고'!E$4:E$400,'📥 원재료 입고'!B$4:B$400,B6,'📥 원재료 입고'!D$4:D$400,"자체구매"),"")</f>
        <v>0</v>
      </c>
      <c r="E6" s="43">
        <f>IFERROR(SUMIFS('📥 원재료 입고'!E$4:E$400,'📥 원재료 입고'!B$4:B$400,B6,'📥 원재료 입고'!D$4:D$400,"위탁공급"),"")</f>
        <v>0</v>
      </c>
      <c r="F6" s="46">
        <f>SUMIFS('📦 일일 생산 입력'!H$5:H$505,'📦 일일 생산 입력'!$B$5:$B$505,"&gt;="&amp;DATE(2026,1,1))</f>
        <v>3.5375000000000001</v>
      </c>
      <c r="G6" s="45">
        <f>IFERROR(MAX('📊 월별 원료수불부'!C6+C6-F6,0),"")</f>
        <v>20.002499999999998</v>
      </c>
      <c r="H6" s="11" t="str">
        <f t="shared" si="0"/>
        <v>✅ 정상</v>
      </c>
      <c r="I6" s="13"/>
    </row>
    <row r="7" spans="1:9" ht="18" customHeight="1">
      <c r="A7" s="7">
        <v>3</v>
      </c>
      <c r="B7" s="12" t="s">
        <v>56</v>
      </c>
      <c r="C7" s="45">
        <f>IFERROR(SUMIFS('📥 원재료 입고'!E$4:E$400,'📥 원재료 입고'!B$4:B$400,B7),0)</f>
        <v>0</v>
      </c>
      <c r="D7" s="44">
        <f>IFERROR(SUMIFS('📥 원재료 입고'!E$4:E$400,'📥 원재료 입고'!B$4:B$400,B7,'📥 원재료 입고'!D$4:D$400,"자체구매"),"")</f>
        <v>0</v>
      </c>
      <c r="E7" s="43">
        <f>IFERROR(SUMIFS('📥 원재료 입고'!E$4:E$400,'📥 원재료 입고'!B$4:B$400,B7,'📥 원재료 입고'!D$4:D$400,"위탁공급"),"")</f>
        <v>0</v>
      </c>
      <c r="F7" s="46">
        <f>SUMIFS('📦 일일 생산 입력'!I$5:I$505,'📦 일일 생산 입력'!$B$5:$B$505,"&gt;="&amp;DATE(2026,1,1))</f>
        <v>0.2475</v>
      </c>
      <c r="G7" s="45">
        <f>IFERROR(MAX('📊 월별 원료수불부'!C7+C7-F7,0),"")</f>
        <v>2.5000000000000022E-3</v>
      </c>
      <c r="H7" s="7" t="str">
        <f t="shared" si="0"/>
        <v>⚠️ 부족임박</v>
      </c>
      <c r="I7" s="10"/>
    </row>
    <row r="8" spans="1:9" ht="18" customHeight="1">
      <c r="A8" s="11">
        <v>4</v>
      </c>
      <c r="B8" s="47" t="s">
        <v>57</v>
      </c>
      <c r="C8" s="45">
        <f>IFERROR(SUMIFS('📥 원재료 입고'!E$4:E$400,'📥 원재료 입고'!B$4:B$400,B8),0)</f>
        <v>0</v>
      </c>
      <c r="D8" s="44">
        <f>IFERROR(SUMIFS('📥 원재료 입고'!E$4:E$400,'📥 원재료 입고'!B$4:B$400,B8,'📥 원재료 입고'!D$4:D$400,"자체구매"),"")</f>
        <v>0</v>
      </c>
      <c r="E8" s="43">
        <f>IFERROR(SUMIFS('📥 원재료 입고'!E$4:E$400,'📥 원재료 입고'!B$4:B$400,B8,'📥 원재료 입고'!D$4:D$400,"위탁공급"),"")</f>
        <v>0</v>
      </c>
      <c r="F8" s="46">
        <f>SUMIFS('📦 일일 생산 입력'!J$5:J$505,'📦 일일 생산 입력'!$B$5:$B$505,"&gt;="&amp;DATE(2026,1,1))</f>
        <v>0.68</v>
      </c>
      <c r="G8" s="45">
        <f>IFERROR(MAX('📊 월별 원료수불부'!C8+C8-F8,0),"")</f>
        <v>10</v>
      </c>
      <c r="H8" s="11" t="str">
        <f t="shared" si="0"/>
        <v>✅ 정상</v>
      </c>
      <c r="I8" s="13"/>
    </row>
    <row r="9" spans="1:9" ht="18" customHeight="1">
      <c r="A9" s="7">
        <v>5</v>
      </c>
      <c r="B9" s="12" t="s">
        <v>58</v>
      </c>
      <c r="C9" s="45">
        <f>IFERROR(SUMIFS('📥 원재료 입고'!E$4:E$400,'📥 원재료 입고'!B$4:B$400,B9),0)</f>
        <v>0</v>
      </c>
      <c r="D9" s="44">
        <f>IFERROR(SUMIFS('📥 원재료 입고'!E$4:E$400,'📥 원재료 입고'!B$4:B$400,B9,'📥 원재료 입고'!D$4:D$400,"자체구매"),"")</f>
        <v>0</v>
      </c>
      <c r="E9" s="43">
        <f>IFERROR(SUMIFS('📥 원재료 입고'!E$4:E$400,'📥 원재료 입고'!B$4:B$400,B9,'📥 원재료 입고'!D$4:D$400,"위탁공급"),"")</f>
        <v>0</v>
      </c>
      <c r="F9" s="46">
        <f>SUMIFS('📦 일일 생산 입력'!K$5:K$505,'📦 일일 생산 입력'!$B$5:$B$505,"&gt;="&amp;DATE(2026,1,1))</f>
        <v>3.6900000000000004</v>
      </c>
      <c r="G9" s="45">
        <f>IFERROR(MAX('📊 월별 원료수불부'!C9+C9-F9,0),"")</f>
        <v>25</v>
      </c>
      <c r="H9" s="7" t="str">
        <f t="shared" si="0"/>
        <v>✅ 정상</v>
      </c>
      <c r="I9" s="10"/>
    </row>
    <row r="10" spans="1:9" ht="18" customHeight="1">
      <c r="A10" s="11">
        <v>6</v>
      </c>
      <c r="B10" s="47" t="s">
        <v>59</v>
      </c>
      <c r="C10" s="45">
        <f>IFERROR(SUMIFS('📥 원재료 입고'!E$4:E$400,'📥 원재료 입고'!B$4:B$400,B10),0)</f>
        <v>0</v>
      </c>
      <c r="D10" s="44">
        <f>IFERROR(SUMIFS('📥 원재료 입고'!E$4:E$400,'📥 원재료 입고'!B$4:B$400,B10,'📥 원재료 입고'!D$4:D$400,"자체구매"),"")</f>
        <v>0</v>
      </c>
      <c r="E10" s="43">
        <f>IFERROR(SUMIFS('📥 원재료 입고'!E$4:E$400,'📥 원재료 입고'!B$4:B$400,B10,'📥 원재료 입고'!D$4:D$400,"위탁공급"),"")</f>
        <v>0</v>
      </c>
      <c r="F10" s="46">
        <f>SUMIFS('📦 일일 생산 입력'!L$5:L$505,'📦 일일 생산 입력'!$B$5:$B$505,"&gt;="&amp;DATE(2026,1,1))</f>
        <v>1.02</v>
      </c>
      <c r="G10" s="45">
        <f>IFERROR(MAX('📊 월별 원료수불부'!C10+C10-F10,0),"")</f>
        <v>8</v>
      </c>
      <c r="H10" s="11" t="str">
        <f t="shared" si="0"/>
        <v>✅ 정상</v>
      </c>
      <c r="I10" s="13"/>
    </row>
    <row r="11" spans="1:9" ht="18" customHeight="1">
      <c r="A11" s="7">
        <v>7</v>
      </c>
      <c r="B11" s="12" t="s">
        <v>60</v>
      </c>
      <c r="C11" s="45">
        <f>IFERROR(SUMIFS('📥 원재료 입고'!E$4:E$400,'📥 원재료 입고'!B$4:B$400,B11),0)</f>
        <v>40</v>
      </c>
      <c r="D11" s="44">
        <f>IFERROR(SUMIFS('📥 원재료 입고'!E$4:E$400,'📥 원재료 입고'!B$4:B$400,B11,'📥 원재료 입고'!D$4:D$400,"자체구매"),"")</f>
        <v>0</v>
      </c>
      <c r="E11" s="43">
        <f>IFERROR(SUMIFS('📥 원재료 입고'!E$4:E$400,'📥 원재료 입고'!B$4:B$400,B11,'📥 원재료 입고'!D$4:D$400,"위탁공급"),"")</f>
        <v>40</v>
      </c>
      <c r="F11" s="46">
        <f>SUMIFS('📦 일일 생산 입력'!M$5:M$505,'📦 일일 생산 입력'!$B$5:$B$505,"&gt;="&amp;DATE(2026,1,1))</f>
        <v>3.1375000000000002</v>
      </c>
      <c r="G11" s="45">
        <f>IFERROR(MAX('📊 월별 원료수불부'!C11+C11-F11,0),"")</f>
        <v>36.862499999999997</v>
      </c>
      <c r="H11" s="7" t="str">
        <f t="shared" si="0"/>
        <v>✅ 정상</v>
      </c>
      <c r="I11" s="10"/>
    </row>
    <row r="12" spans="1:9" ht="18" customHeight="1">
      <c r="A12" s="11">
        <v>8</v>
      </c>
      <c r="B12" s="47" t="s">
        <v>61</v>
      </c>
      <c r="C12" s="45">
        <f>IFERROR(SUMIFS('📥 원재료 입고'!E$4:E$400,'📥 원재료 입고'!B$4:B$400,B12),0)</f>
        <v>0</v>
      </c>
      <c r="D12" s="44">
        <f>IFERROR(SUMIFS('📥 원재료 입고'!E$4:E$400,'📥 원재료 입고'!B$4:B$400,B12,'📥 원재료 입고'!D$4:D$400,"자체구매"),"")</f>
        <v>0</v>
      </c>
      <c r="E12" s="43">
        <f>IFERROR(SUMIFS('📥 원재료 입고'!E$4:E$400,'📥 원재료 입고'!B$4:B$400,B12,'📥 원재료 입고'!D$4:D$400,"위탁공급"),"")</f>
        <v>0</v>
      </c>
      <c r="F12" s="46">
        <f>SUMIFS('📦 일일 생산 입력'!N$5:N$505,'📦 일일 생산 입력'!$B$5:$B$505,"&gt;="&amp;DATE(2026,1,1))</f>
        <v>0</v>
      </c>
      <c r="G12" s="45">
        <f>IFERROR(MAX('📊 월별 원료수불부'!C12+C12-F12,0),"")</f>
        <v>0</v>
      </c>
      <c r="H12" s="11" t="str">
        <f t="shared" si="0"/>
        <v>⚠️ 부족임박</v>
      </c>
      <c r="I12" s="13"/>
    </row>
    <row r="13" spans="1:9" ht="18" customHeight="1">
      <c r="A13" s="11"/>
      <c r="B13" s="47" t="s">
        <v>62</v>
      </c>
      <c r="C13" s="45">
        <f>IFERROR(SUMIFS('📥 원재료 입고'!E$4:E$400,'📥 원재료 입고'!B$4:B$400,B13),0)</f>
        <v>6</v>
      </c>
      <c r="D13" s="44">
        <f>IFERROR(SUMIFS('📥 원재료 입고'!E$4:E$400,'📥 원재료 입고'!B$4:B$400,B13,'📥 원재료 입고'!D$4:D$400,"자체구매"),"")</f>
        <v>6</v>
      </c>
      <c r="E13" s="43">
        <f>IFERROR(SUMIFS('📥 원재료 입고'!E$4:E$400,'📥 원재료 입고'!B$4:B$400,B13,'📥 원재료 입고'!D$4:D$400,"위탁공급"),"")</f>
        <v>0</v>
      </c>
      <c r="F13" s="46">
        <f>SUMIFS('📦 일일 생산 입력'!O$5:O$505,'📦 일일 생산 입력'!$B$5:$B$505,"&gt;="&amp;DATE(2026,1,1))</f>
        <v>8.25</v>
      </c>
      <c r="G13" s="45">
        <f>IFERROR(MAX('📊 월별 원료수불부'!C13+C13-F13,0),"")</f>
        <v>1</v>
      </c>
      <c r="H13" s="11" t="str">
        <f t="shared" ref="H13:H44" si="1">IFERROR(IF(G12="","—",IF(G12&lt;0,"🚨 부족",IF(G12&lt;5,"⚠️ 부족임박","✅ 정상"))),"—")</f>
        <v>⚠️ 부족임박</v>
      </c>
      <c r="I13" s="13"/>
    </row>
    <row r="14" spans="1:9" ht="18" customHeight="1">
      <c r="A14" s="7">
        <v>10</v>
      </c>
      <c r="B14" s="12" t="s">
        <v>63</v>
      </c>
      <c r="C14" s="45">
        <f>IFERROR(SUMIFS('📥 원재료 입고'!E$4:E$400,'📥 원재료 입고'!B$4:B$400,B14),0)</f>
        <v>5</v>
      </c>
      <c r="D14" s="44">
        <f>IFERROR(SUMIFS('📥 원재료 입고'!E$4:E$400,'📥 원재료 입고'!B$4:B$400,B14,'📥 원재료 입고'!D$4:D$400,"자체구매"),"")</f>
        <v>5</v>
      </c>
      <c r="E14" s="43">
        <f>IFERROR(SUMIFS('📥 원재료 입고'!E$4:E$400,'📥 원재료 입고'!B$4:B$400,B14,'📥 원재료 입고'!D$4:D$400,"위탁공급"),"")</f>
        <v>0</v>
      </c>
      <c r="F14" s="46">
        <f>SUMIFS('📦 일일 생산 입력'!P$5:P$505,'📦 일일 생산 입력'!$B$5:$B$505,"&gt;="&amp;DATE(2026,1,1))</f>
        <v>15.312000000000001</v>
      </c>
      <c r="G14" s="45">
        <f>IFERROR(MAX('📊 월별 원료수불부'!C14+C14-F14,0),"")</f>
        <v>0</v>
      </c>
      <c r="H14" s="7" t="str">
        <f t="shared" si="1"/>
        <v>⚠️ 부족임박</v>
      </c>
      <c r="I14" s="10"/>
    </row>
    <row r="15" spans="1:9" ht="18" customHeight="1">
      <c r="A15" s="11">
        <v>11</v>
      </c>
      <c r="B15" s="47" t="s">
        <v>64</v>
      </c>
      <c r="C15" s="45">
        <f>IFERROR(SUMIFS('📥 원재료 입고'!E$4:E$400,'📥 원재료 입고'!B$4:B$400,B15),0)</f>
        <v>0</v>
      </c>
      <c r="D15" s="44">
        <f>IFERROR(SUMIFS('📥 원재료 입고'!E$4:E$400,'📥 원재료 입고'!B$4:B$400,B15,'📥 원재료 입고'!D$4:D$400,"자체구매"),"")</f>
        <v>0</v>
      </c>
      <c r="E15" s="43">
        <f>IFERROR(SUMIFS('📥 원재료 입고'!E$4:E$400,'📥 원재료 입고'!B$4:B$400,B15,'📥 원재료 입고'!D$4:D$400,"위탁공급"),"")</f>
        <v>0</v>
      </c>
      <c r="F15" s="46">
        <f>SUMIFS('📦 일일 생산 입력'!Q$5:Q$505,'📦 일일 생산 입력'!$B$5:$B$505,"&gt;="&amp;DATE(2026,1,1))</f>
        <v>0</v>
      </c>
      <c r="G15" s="45">
        <f>IFERROR(MAX('📊 월별 원료수불부'!C15+C15-F15,0),"")</f>
        <v>5</v>
      </c>
      <c r="H15" s="11" t="str">
        <f t="shared" si="1"/>
        <v>⚠️ 부족임박</v>
      </c>
      <c r="I15" s="13"/>
    </row>
    <row r="16" spans="1:9" ht="18" customHeight="1">
      <c r="A16" s="7">
        <v>12</v>
      </c>
      <c r="B16" s="12" t="s">
        <v>65</v>
      </c>
      <c r="C16" s="45">
        <f>IFERROR(SUMIFS('📥 원재료 입고'!E$4:E$400,'📥 원재료 입고'!B$4:B$400,B16),0)</f>
        <v>0</v>
      </c>
      <c r="D16" s="44">
        <f>IFERROR(SUMIFS('📥 원재료 입고'!E$4:E$400,'📥 원재료 입고'!B$4:B$400,B16,'📥 원재료 입고'!D$4:D$400,"자체구매"),"")</f>
        <v>0</v>
      </c>
      <c r="E16" s="43">
        <f>IFERROR(SUMIFS('📥 원재료 입고'!E$4:E$400,'📥 원재료 입고'!B$4:B$400,B16,'📥 원재료 입고'!D$4:D$400,"위탁공급"),"")</f>
        <v>0</v>
      </c>
      <c r="F16" s="46">
        <f>SUMIFS('📦 일일 생산 입력'!R$5:R$505,'📦 일일 생산 입력'!$B$5:$B$505,"&gt;="&amp;DATE(2026,1,1))</f>
        <v>1.98</v>
      </c>
      <c r="G16" s="45">
        <f>IFERROR(MAX('📊 월별 원료수불부'!C16+C16-F16,0),"")</f>
        <v>0</v>
      </c>
      <c r="H16" s="7" t="str">
        <f t="shared" si="1"/>
        <v>✅ 정상</v>
      </c>
      <c r="I16" s="10"/>
    </row>
    <row r="17" spans="1:9" ht="18" customHeight="1">
      <c r="A17" s="11">
        <v>13</v>
      </c>
      <c r="B17" s="47" t="s">
        <v>66</v>
      </c>
      <c r="C17" s="45">
        <f>IFERROR(SUMIFS('📥 원재료 입고'!E$4:E$400,'📥 원재료 입고'!B$4:B$400,B17),0)</f>
        <v>0</v>
      </c>
      <c r="D17" s="44">
        <f>IFERROR(SUMIFS('📥 원재료 입고'!E$4:E$400,'📥 원재료 입고'!B$4:B$400,B17,'📥 원재료 입고'!D$4:D$400,"자체구매"),"")</f>
        <v>0</v>
      </c>
      <c r="E17" s="43">
        <f>IFERROR(SUMIFS('📥 원재료 입고'!E$4:E$400,'📥 원재료 입고'!B$4:B$400,B17,'📥 원재료 입고'!D$4:D$400,"위탁공급"),"")</f>
        <v>0</v>
      </c>
      <c r="F17" s="46">
        <f>SUMIFS('📦 일일 생산 입력'!S$5:S$505,'📦 일일 생산 입력'!$B$5:$B$505,"&gt;="&amp;DATE(2026,1,1))</f>
        <v>0</v>
      </c>
      <c r="G17" s="45">
        <f>IFERROR(MAX('📊 월별 원료수불부'!C17+C17-F17,0),"")</f>
        <v>0</v>
      </c>
      <c r="H17" s="11" t="str">
        <f t="shared" si="1"/>
        <v>⚠️ 부족임박</v>
      </c>
      <c r="I17" s="13"/>
    </row>
    <row r="18" spans="1:9" ht="18" customHeight="1">
      <c r="A18" s="7">
        <v>14</v>
      </c>
      <c r="B18" s="12" t="s">
        <v>67</v>
      </c>
      <c r="C18" s="45">
        <f>IFERROR(SUMIFS('📥 원재료 입고'!E$4:E$400,'📥 원재료 입고'!B$4:B$400,B18),0)</f>
        <v>0</v>
      </c>
      <c r="D18" s="44">
        <f>IFERROR(SUMIFS('📥 원재료 입고'!E$4:E$400,'📥 원재료 입고'!B$4:B$400,B18,'📥 원재료 입고'!D$4:D$400,"자체구매"),"")</f>
        <v>0</v>
      </c>
      <c r="E18" s="43">
        <f>IFERROR(SUMIFS('📥 원재료 입고'!E$4:E$400,'📥 원재료 입고'!B$4:B$400,B18,'📥 원재료 입고'!D$4:D$400,"위탁공급"),"")</f>
        <v>0</v>
      </c>
      <c r="F18" s="46">
        <f>SUMIFS('📦 일일 생산 입력'!T$5:T$505,'📦 일일 생산 입력'!$B$5:$B$505,"&gt;="&amp;DATE(2026,1,1))</f>
        <v>0</v>
      </c>
      <c r="G18" s="45">
        <f>IFERROR(MAX('📊 월별 원료수불부'!C18+C18-F18,0),"")</f>
        <v>0</v>
      </c>
      <c r="H18" s="7" t="str">
        <f t="shared" si="1"/>
        <v>⚠️ 부족임박</v>
      </c>
      <c r="I18" s="10"/>
    </row>
    <row r="19" spans="1:9" ht="18" customHeight="1">
      <c r="A19" s="11">
        <v>15</v>
      </c>
      <c r="B19" s="47" t="s">
        <v>68</v>
      </c>
      <c r="C19" s="45">
        <f>IFERROR(SUMIFS('📥 원재료 입고'!E$4:E$400,'📥 원재료 입고'!B$4:B$400,B19),0)</f>
        <v>184</v>
      </c>
      <c r="D19" s="44">
        <f>IFERROR(SUMIFS('📥 원재료 입고'!E$4:E$400,'📥 원재료 입고'!B$4:B$400,B19,'📥 원재료 입고'!D$4:D$400,"자체구매"),"")</f>
        <v>184</v>
      </c>
      <c r="E19" s="43">
        <f>IFERROR(SUMIFS('📥 원재료 입고'!E$4:E$400,'📥 원재료 입고'!B$4:B$400,B19,'📥 원재료 입고'!D$4:D$400,"위탁공급"),"")</f>
        <v>0</v>
      </c>
      <c r="F19" s="46">
        <f>SUMIFS('📦 일일 생산 입력'!U$5:U$505,'📦 일일 생산 입력'!$B$5:$B$505,"&gt;="&amp;DATE(2026,1,1))</f>
        <v>70.602000000000004</v>
      </c>
      <c r="G19" s="45">
        <f>IFERROR(MAX('📊 월별 원료수불부'!C19+C19-F19,0),"")</f>
        <v>113.398</v>
      </c>
      <c r="H19" s="11" t="str">
        <f t="shared" si="1"/>
        <v>⚠️ 부족임박</v>
      </c>
      <c r="I19" s="13"/>
    </row>
    <row r="20" spans="1:9" ht="18" customHeight="1">
      <c r="A20" s="7">
        <v>16</v>
      </c>
      <c r="B20" s="12" t="s">
        <v>69</v>
      </c>
      <c r="C20" s="45">
        <f>IFERROR(SUMIFS('📥 원재료 입고'!E$4:E$400,'📥 원재료 입고'!B$4:B$400,B20),0)</f>
        <v>6</v>
      </c>
      <c r="D20" s="44">
        <f>IFERROR(SUMIFS('📥 원재료 입고'!E$4:E$400,'📥 원재료 입고'!B$4:B$400,B20,'📥 원재료 입고'!D$4:D$400,"자체구매"),"")</f>
        <v>6</v>
      </c>
      <c r="E20" s="43">
        <f>IFERROR(SUMIFS('📥 원재료 입고'!E$4:E$400,'📥 원재료 입고'!B$4:B$400,B20,'📥 원재료 입고'!D$4:D$400,"위탁공급"),"")</f>
        <v>0</v>
      </c>
      <c r="F20" s="46">
        <f>SUMIFS('📦 일일 생산 입력'!V$5:V$505,'📦 일일 생산 입력'!$B$5:$B$505,"&gt;="&amp;DATE(2026,1,1))</f>
        <v>16.608000000000001</v>
      </c>
      <c r="G20" s="45">
        <f>IFERROR(MAX('📊 월별 원료수불부'!C20+C20-F20,0),"")</f>
        <v>1.9999999999988916E-3</v>
      </c>
      <c r="H20" s="7" t="str">
        <f t="shared" si="1"/>
        <v>✅ 정상</v>
      </c>
      <c r="I20" s="10"/>
    </row>
    <row r="21" spans="1:9" ht="18" customHeight="1">
      <c r="A21" s="11">
        <v>17</v>
      </c>
      <c r="B21" s="47" t="s">
        <v>70</v>
      </c>
      <c r="C21" s="45">
        <f>IFERROR(SUMIFS('📥 원재료 입고'!E$4:E$400,'📥 원재료 입고'!B$4:B$400,B21),0)</f>
        <v>0</v>
      </c>
      <c r="D21" s="44">
        <f>IFERROR(SUMIFS('📥 원재료 입고'!E$4:E$400,'📥 원재료 입고'!B$4:B$400,B21,'📥 원재료 입고'!D$4:D$400,"자체구매"),"")</f>
        <v>0</v>
      </c>
      <c r="E21" s="43">
        <f>IFERROR(SUMIFS('📥 원재료 입고'!E$4:E$400,'📥 원재료 입고'!B$4:B$400,B21,'📥 원재료 입고'!D$4:D$400,"위탁공급"),"")</f>
        <v>0</v>
      </c>
      <c r="F21" s="46">
        <f>SUMIFS('📦 일일 생산 입력'!W$5:W$505,'📦 일일 생산 입력'!$B$5:$B$505,"&gt;="&amp;DATE(2026,1,1))</f>
        <v>26.07</v>
      </c>
      <c r="G21" s="45">
        <f>IFERROR(MAX('📊 월별 원료수불부'!C21+C21-F21,0),"")</f>
        <v>44.999999999999993</v>
      </c>
      <c r="H21" s="11" t="str">
        <f t="shared" si="1"/>
        <v>⚠️ 부족임박</v>
      </c>
      <c r="I21" s="13"/>
    </row>
    <row r="22" spans="1:9" ht="18" customHeight="1">
      <c r="A22" s="7">
        <v>18</v>
      </c>
      <c r="B22" s="12" t="s">
        <v>71</v>
      </c>
      <c r="C22" s="45">
        <f>IFERROR(SUMIFS('📥 원재료 입고'!E$4:E$400,'📥 원재료 입고'!B$4:B$400,B22),0)</f>
        <v>70</v>
      </c>
      <c r="D22" s="44">
        <f>IFERROR(SUMIFS('📥 원재료 입고'!E$4:E$400,'📥 원재료 입고'!B$4:B$400,B22,'📥 원재료 입고'!D$4:D$400,"자체구매"),"")</f>
        <v>70</v>
      </c>
      <c r="E22" s="43">
        <f>IFERROR(SUMIFS('📥 원재료 입고'!E$4:E$400,'📥 원재료 입고'!B$4:B$400,B22,'📥 원재료 입고'!D$4:D$400,"위탁공급"),"")</f>
        <v>0</v>
      </c>
      <c r="F22" s="46">
        <f>SUMIFS('📦 일일 생산 입력'!X$5:X$505,'📦 일일 생산 입력'!$B$5:$B$505,"&gt;="&amp;DATE(2026,1,1))</f>
        <v>103.62</v>
      </c>
      <c r="G22" s="45">
        <f>IFERROR(MAX('📊 월별 원료수불부'!C22+C22-F22,0),"")</f>
        <v>0</v>
      </c>
      <c r="H22" s="7" t="str">
        <f t="shared" si="1"/>
        <v>✅ 정상</v>
      </c>
      <c r="I22" s="10"/>
    </row>
    <row r="23" spans="1:9" ht="18" customHeight="1">
      <c r="A23" s="11">
        <v>19</v>
      </c>
      <c r="B23" s="47" t="s">
        <v>72</v>
      </c>
      <c r="C23" s="45">
        <f>IFERROR(SUMIFS('📥 원재료 입고'!E$4:E$400,'📥 원재료 입고'!B$4:B$400,B23),0)</f>
        <v>0</v>
      </c>
      <c r="D23" s="44">
        <f>IFERROR(SUMIFS('📥 원재료 입고'!E$4:E$400,'📥 원재료 입고'!B$4:B$400,B23,'📥 원재료 입고'!D$4:D$400,"자체구매"),"")</f>
        <v>0</v>
      </c>
      <c r="E23" s="43">
        <f>IFERROR(SUMIFS('📥 원재료 입고'!E$4:E$400,'📥 원재료 입고'!B$4:B$400,B23,'📥 원재료 입고'!D$4:D$400,"위탁공급"),"")</f>
        <v>0</v>
      </c>
      <c r="F23" s="46">
        <f>SUMIFS('📦 일일 생산 입력'!Y$5:Y$505,'📦 일일 생산 입력'!$B$5:$B$505,"&gt;="&amp;DATE(2026,1,1))</f>
        <v>2.25</v>
      </c>
      <c r="G23" s="45">
        <f>IFERROR(MAX('📊 월별 원료수불부'!C23+C23-F23,0),"")</f>
        <v>0</v>
      </c>
      <c r="H23" s="11" t="str">
        <f t="shared" si="1"/>
        <v>⚠️ 부족임박</v>
      </c>
      <c r="I23" s="13"/>
    </row>
    <row r="24" spans="1:9" ht="18" customHeight="1">
      <c r="A24" s="7">
        <v>20</v>
      </c>
      <c r="B24" s="12" t="s">
        <v>73</v>
      </c>
      <c r="C24" s="45">
        <f>IFERROR(SUMIFS('📥 원재료 입고'!E$4:E$400,'📥 원재료 입고'!B$4:B$400,B24),0)</f>
        <v>6</v>
      </c>
      <c r="D24" s="44">
        <f>IFERROR(SUMIFS('📥 원재료 입고'!E$4:E$400,'📥 원재료 입고'!B$4:B$400,B24,'📥 원재료 입고'!D$4:D$400,"자체구매"),"")</f>
        <v>6</v>
      </c>
      <c r="E24" s="43">
        <f>IFERROR(SUMIFS('📥 원재료 입고'!E$4:E$400,'📥 원재료 입고'!B$4:B$400,B24,'📥 원재료 입고'!D$4:D$400,"위탁공급"),"")</f>
        <v>0</v>
      </c>
      <c r="F24" s="46">
        <f>SUMIFS('📦 일일 생산 입력'!Z$5:Z$505,'📦 일일 생산 입력'!$B$5:$B$505,"&gt;="&amp;DATE(2026,1,1))</f>
        <v>15.708</v>
      </c>
      <c r="G24" s="45">
        <f>IFERROR(MAX('📊 월별 원료수불부'!C24+C24-F24,0),"")</f>
        <v>4.0020000000000007</v>
      </c>
      <c r="H24" s="7" t="str">
        <f t="shared" si="1"/>
        <v>⚠️ 부족임박</v>
      </c>
      <c r="I24" s="10"/>
    </row>
    <row r="25" spans="1:9" ht="18" customHeight="1">
      <c r="A25" s="11">
        <v>21</v>
      </c>
      <c r="B25" s="47" t="s">
        <v>74</v>
      </c>
      <c r="C25" s="45">
        <f>IFERROR(SUMIFS('📥 원재료 입고'!E$4:E$400,'📥 원재료 입고'!B$4:B$400,B25),0)</f>
        <v>1</v>
      </c>
      <c r="D25" s="44">
        <f>IFERROR(SUMIFS('📥 원재료 입고'!E$4:E$400,'📥 원재료 입고'!B$4:B$400,B25,'📥 원재료 입고'!D$4:D$400,"자체구매"),"")</f>
        <v>1</v>
      </c>
      <c r="E25" s="43">
        <f>IFERROR(SUMIFS('📥 원재료 입고'!E$4:E$400,'📥 원재료 입고'!B$4:B$400,B25,'📥 원재료 입고'!D$4:D$400,"위탁공급"),"")</f>
        <v>0</v>
      </c>
      <c r="F25" s="46">
        <f>SUMIFS('📦 일일 생산 입력'!AA$5:AA$505,'📦 일일 생산 입력'!$B$5:$B$505,"&gt;="&amp;DATE(2026,1,1))</f>
        <v>15.708</v>
      </c>
      <c r="G25" s="45">
        <f>IFERROR(MAX('📊 월별 원료수불부'!C25+C25-F25,0),"")</f>
        <v>4.0020000000000007</v>
      </c>
      <c r="H25" s="11" t="str">
        <f t="shared" si="1"/>
        <v>⚠️ 부족임박</v>
      </c>
      <c r="I25" s="13"/>
    </row>
    <row r="26" spans="1:9" ht="18" customHeight="1">
      <c r="A26" s="7">
        <v>22</v>
      </c>
      <c r="B26" s="12" t="s">
        <v>75</v>
      </c>
      <c r="C26" s="45">
        <f>IFERROR(SUMIFS('📥 원재료 입고'!E$4:E$400,'📥 원재료 입고'!B$4:B$400,B26),0)</f>
        <v>0</v>
      </c>
      <c r="D26" s="44">
        <f>IFERROR(SUMIFS('📥 원재료 입고'!E$4:E$400,'📥 원재료 입고'!B$4:B$400,B26,'📥 원재료 입고'!D$4:D$400,"자체구매"),"")</f>
        <v>0</v>
      </c>
      <c r="E26" s="43">
        <f>IFERROR(SUMIFS('📥 원재료 입고'!E$4:E$400,'📥 원재료 입고'!B$4:B$400,B26,'📥 원재료 입고'!D$4:D$400,"위탁공급"),"")</f>
        <v>0</v>
      </c>
      <c r="F26" s="46">
        <f>SUMIFS('📦 일일 생산 입력'!AB$5:AB$505,'📦 일일 생산 입력'!$B$5:$B$505,"&gt;="&amp;DATE(2026,1,1))</f>
        <v>5.0575000000000001</v>
      </c>
      <c r="G26" s="45">
        <f>IFERROR(MAX('📊 월별 원료수불부'!C26+C26-F26,0),"")</f>
        <v>10.002500000000001</v>
      </c>
      <c r="H26" s="7" t="str">
        <f t="shared" si="1"/>
        <v>⚠️ 부족임박</v>
      </c>
      <c r="I26" s="10"/>
    </row>
    <row r="27" spans="1:9" ht="18" customHeight="1">
      <c r="A27" s="11">
        <v>23</v>
      </c>
      <c r="B27" s="47" t="s">
        <v>76</v>
      </c>
      <c r="C27" s="45">
        <f>IFERROR(SUMIFS('📥 원재료 입고'!E$4:E$400,'📥 원재료 입고'!B$4:B$400,B27),0)</f>
        <v>0</v>
      </c>
      <c r="D27" s="44">
        <f>IFERROR(SUMIFS('📥 원재료 입고'!E$4:E$400,'📥 원재료 입고'!B$4:B$400,B27,'📥 원재료 입고'!D$4:D$400,"자체구매"),"")</f>
        <v>0</v>
      </c>
      <c r="E27" s="43">
        <f>IFERROR(SUMIFS('📥 원재료 입고'!E$4:E$400,'📥 원재료 입고'!B$4:B$400,B27,'📥 원재료 입고'!D$4:D$400,"위탁공급"),"")</f>
        <v>0</v>
      </c>
      <c r="F27" s="46">
        <f>SUMIFS('📦 일일 생산 입력'!AC$5:AC$505,'📦 일일 생산 입력'!$B$5:$B$505,"&gt;="&amp;DATE(2026,1,1))</f>
        <v>0</v>
      </c>
      <c r="G27" s="45">
        <f>IFERROR(MAX('📊 월별 원료수불부'!C27+C27-F27,0),"")</f>
        <v>2</v>
      </c>
      <c r="H27" s="11" t="str">
        <f t="shared" si="1"/>
        <v>✅ 정상</v>
      </c>
      <c r="I27" s="13"/>
    </row>
    <row r="28" spans="1:9" ht="18" customHeight="1">
      <c r="A28" s="7">
        <v>24</v>
      </c>
      <c r="B28" s="12" t="s">
        <v>77</v>
      </c>
      <c r="C28" s="45">
        <f>IFERROR(SUMIFS('📥 원재료 입고'!E$4:E$400,'📥 원재료 입고'!B$4:B$400,B28),0)</f>
        <v>0</v>
      </c>
      <c r="D28" s="44">
        <f>IFERROR(SUMIFS('📥 원재료 입고'!E$4:E$400,'📥 원재료 입고'!B$4:B$400,B28,'📥 원재료 입고'!D$4:D$400,"자체구매"),"")</f>
        <v>0</v>
      </c>
      <c r="E28" s="43">
        <f>IFERROR(SUMIFS('📥 원재료 입고'!E$4:E$400,'📥 원재료 입고'!B$4:B$400,B28,'📥 원재료 입고'!D$4:D$400,"위탁공급"),"")</f>
        <v>0</v>
      </c>
      <c r="F28" s="46">
        <f>SUMIFS('📦 일일 생산 입력'!AD$5:AD$505,'📦 일일 생산 입력'!$B$5:$B$505,"&gt;="&amp;DATE(2026,1,1))</f>
        <v>0</v>
      </c>
      <c r="G28" s="45">
        <f>IFERROR(MAX('📊 월별 원료수불부'!C28+C28-F28,0),"")</f>
        <v>10</v>
      </c>
      <c r="H28" s="7" t="str">
        <f t="shared" si="1"/>
        <v>⚠️ 부족임박</v>
      </c>
      <c r="I28" s="10"/>
    </row>
    <row r="29" spans="1:9" ht="18" customHeight="1">
      <c r="A29" s="11">
        <v>25</v>
      </c>
      <c r="B29" s="47" t="s">
        <v>78</v>
      </c>
      <c r="C29" s="45">
        <f>IFERROR(SUMIFS('📥 원재료 입고'!E$4:E$400,'📥 원재료 입고'!B$4:B$400,B29),0)</f>
        <v>0</v>
      </c>
      <c r="D29" s="44">
        <f>IFERROR(SUMIFS('📥 원재료 입고'!E$4:E$400,'📥 원재료 입고'!B$4:B$400,B29,'📥 원재료 입고'!D$4:D$400,"자체구매"),"")</f>
        <v>0</v>
      </c>
      <c r="E29" s="43">
        <f>IFERROR(SUMIFS('📥 원재료 입고'!E$4:E$400,'📥 원재료 입고'!B$4:B$400,B29,'📥 원재료 입고'!D$4:D$400,"위탁공급"),"")</f>
        <v>0</v>
      </c>
      <c r="F29" s="46">
        <f>SUMIFS('📦 일일 생산 입력'!AE$5:AE$505,'📦 일일 생산 입력'!$B$5:$B$505,"&gt;="&amp;DATE(2026,1,1))</f>
        <v>0</v>
      </c>
      <c r="G29" s="45">
        <f>IFERROR(MAX('📊 월별 원료수불부'!C29+C29-F29,0),"")</f>
        <v>0</v>
      </c>
      <c r="H29" s="11" t="str">
        <f t="shared" si="1"/>
        <v>✅ 정상</v>
      </c>
      <c r="I29" s="13"/>
    </row>
    <row r="30" spans="1:9" ht="18" customHeight="1">
      <c r="A30" s="7">
        <v>26</v>
      </c>
      <c r="B30" s="12" t="s">
        <v>79</v>
      </c>
      <c r="C30" s="45">
        <f>IFERROR(SUMIFS('📥 원재료 입고'!E$4:E$400,'📥 원재료 입고'!B$4:B$400,B30),0)</f>
        <v>0</v>
      </c>
      <c r="D30" s="44">
        <f>IFERROR(SUMIFS('📥 원재료 입고'!E$4:E$400,'📥 원재료 입고'!B$4:B$400,B30,'📥 원재료 입고'!D$4:D$400,"자체구매"),"")</f>
        <v>0</v>
      </c>
      <c r="E30" s="43">
        <f>IFERROR(SUMIFS('📥 원재료 입고'!E$4:E$400,'📥 원재료 입고'!B$4:B$400,B30,'📥 원재료 입고'!D$4:D$400,"위탁공급"),"")</f>
        <v>0</v>
      </c>
      <c r="F30" s="46">
        <f>SUMIFS('📦 일일 생산 입력'!AF$5:AF$505,'📦 일일 생산 입력'!$B$5:$B$505,"&gt;="&amp;DATE(2026,1,1))</f>
        <v>0</v>
      </c>
      <c r="G30" s="45">
        <f>IFERROR(MAX('📊 월별 원료수불부'!C30+C30-F30,0),"")</f>
        <v>0</v>
      </c>
      <c r="H30" s="7" t="str">
        <f t="shared" si="1"/>
        <v>⚠️ 부족임박</v>
      </c>
      <c r="I30" s="10"/>
    </row>
    <row r="31" spans="1:9" ht="18" customHeight="1">
      <c r="A31" s="11">
        <v>27</v>
      </c>
      <c r="B31" s="47" t="s">
        <v>80</v>
      </c>
      <c r="C31" s="45">
        <f>IFERROR(SUMIFS('📥 원재료 입고'!E$4:E$400,'📥 원재료 입고'!B$4:B$400,B31),0)</f>
        <v>0</v>
      </c>
      <c r="D31" s="44">
        <f>IFERROR(SUMIFS('📥 원재료 입고'!E$4:E$400,'📥 원재료 입고'!B$4:B$400,B31,'📥 원재료 입고'!D$4:D$400,"자체구매"),"")</f>
        <v>0</v>
      </c>
      <c r="E31" s="43">
        <f>IFERROR(SUMIFS('📥 원재료 입고'!E$4:E$400,'📥 원재료 입고'!B$4:B$400,B31,'📥 원재료 입고'!D$4:D$400,"위탁공급"),"")</f>
        <v>0</v>
      </c>
      <c r="F31" s="46">
        <f>SUMIFS('📦 일일 생산 입력'!AG$5:AG$505,'📦 일일 생산 입력'!$B$5:$B$505,"&gt;="&amp;DATE(2026,1,1))</f>
        <v>1.1599999999999999</v>
      </c>
      <c r="G31" s="45">
        <f>IFERROR(MAX('📊 월별 원료수불부'!C31+C31-F31,0),"")</f>
        <v>0</v>
      </c>
      <c r="H31" s="11" t="str">
        <f t="shared" si="1"/>
        <v>⚠️ 부족임박</v>
      </c>
      <c r="I31" s="13"/>
    </row>
    <row r="32" spans="1:9" ht="18" customHeight="1">
      <c r="A32" s="7">
        <v>28</v>
      </c>
      <c r="B32" s="12" t="s">
        <v>81</v>
      </c>
      <c r="C32" s="45">
        <f>IFERROR(SUMIFS('📥 원재료 입고'!E$4:E$400,'📥 원재료 입고'!B$4:B$400,B32),0)</f>
        <v>0</v>
      </c>
      <c r="D32" s="44">
        <f>IFERROR(SUMIFS('📥 원재료 입고'!E$4:E$400,'📥 원재료 입고'!B$4:B$400,B32,'📥 원재료 입고'!D$4:D$400,"자체구매"),"")</f>
        <v>0</v>
      </c>
      <c r="E32" s="43">
        <f>IFERROR(SUMIFS('📥 원재료 입고'!E$4:E$400,'📥 원재료 입고'!B$4:B$400,B32,'📥 원재료 입고'!D$4:D$400,"위탁공급"),"")</f>
        <v>0</v>
      </c>
      <c r="F32" s="46">
        <f>SUMIFS('📦 일일 생산 입력'!AH$5:AH$505,'📦 일일 생산 입력'!$B$5:$B$505,"&gt;="&amp;DATE(2026,1,1))</f>
        <v>0.48</v>
      </c>
      <c r="G32" s="45">
        <f>IFERROR(MAX('📊 월별 원료수불부'!C32+C32-F32,0),"")</f>
        <v>20</v>
      </c>
      <c r="H32" s="7" t="str">
        <f t="shared" si="1"/>
        <v>⚠️ 부족임박</v>
      </c>
      <c r="I32" s="10"/>
    </row>
    <row r="33" spans="1:9" ht="18" customHeight="1">
      <c r="A33" s="11">
        <v>29</v>
      </c>
      <c r="B33" s="47" t="s">
        <v>82</v>
      </c>
      <c r="C33" s="45">
        <f>IFERROR(SUMIFS('📥 원재료 입고'!E$4:E$400,'📥 원재료 입고'!B$4:B$400,B33),0)</f>
        <v>40</v>
      </c>
      <c r="D33" s="44">
        <f>IFERROR(SUMIFS('📥 원재료 입고'!E$4:E$400,'📥 원재료 입고'!B$4:B$400,B33,'📥 원재료 입고'!D$4:D$400,"자체구매"),"")</f>
        <v>40</v>
      </c>
      <c r="E33" s="43">
        <f>IFERROR(SUMIFS('📥 원재료 입고'!E$4:E$400,'📥 원재료 입고'!B$4:B$400,B33,'📥 원재료 입고'!D$4:D$400,"위탁공급"),"")</f>
        <v>0</v>
      </c>
      <c r="F33" s="46">
        <f>SUMIFS('📦 일일 생산 입력'!AI$5:AI$505,'📦 일일 생산 입력'!$B$5:$B$505,"&gt;="&amp;DATE(2026,1,1))</f>
        <v>117.37</v>
      </c>
      <c r="G33" s="45">
        <f>IFERROR(MAX('📊 월별 원료수불부'!C33+C33-F33,0),"")</f>
        <v>41.75</v>
      </c>
      <c r="H33" s="11" t="str">
        <f t="shared" si="1"/>
        <v>✅ 정상</v>
      </c>
      <c r="I33" s="13"/>
    </row>
    <row r="34" spans="1:9" ht="18" customHeight="1">
      <c r="A34" s="7">
        <v>30</v>
      </c>
      <c r="B34" s="12" t="s">
        <v>83</v>
      </c>
      <c r="C34" s="45">
        <f>IFERROR(SUMIFS('📥 원재료 입고'!E$4:E$400,'📥 원재료 입고'!B$4:B$400,B34),0)</f>
        <v>0</v>
      </c>
      <c r="D34" s="44">
        <f>IFERROR(SUMIFS('📥 원재료 입고'!E$4:E$400,'📥 원재료 입고'!B$4:B$400,B34,'📥 원재료 입고'!D$4:D$400,"자체구매"),"")</f>
        <v>0</v>
      </c>
      <c r="E34" s="43">
        <f>IFERROR(SUMIFS('📥 원재료 입고'!E$4:E$400,'📥 원재료 입고'!B$4:B$400,B34,'📥 원재료 입고'!D$4:D$400,"위탁공급"),"")</f>
        <v>0</v>
      </c>
      <c r="F34" s="46">
        <f>SUMIFS('📦 일일 생산 입력'!AJ$5:AJ$505,'📦 일일 생산 입력'!$B$5:$B$505,"&gt;="&amp;DATE(2026,1,1))</f>
        <v>0</v>
      </c>
      <c r="G34" s="45">
        <f>IFERROR(MAX('📊 월별 원료수불부'!C34+C34-F34,0),"")</f>
        <v>0</v>
      </c>
      <c r="H34" s="7" t="str">
        <f t="shared" si="1"/>
        <v>✅ 정상</v>
      </c>
      <c r="I34" s="10"/>
    </row>
    <row r="35" spans="1:9" ht="18" customHeight="1">
      <c r="A35" s="11">
        <v>31</v>
      </c>
      <c r="B35" s="47" t="s">
        <v>84</v>
      </c>
      <c r="C35" s="45">
        <f>IFERROR(SUMIFS('📥 원재료 입고'!E$4:E$400,'📥 원재료 입고'!B$4:B$400,B35),0)</f>
        <v>282.5</v>
      </c>
      <c r="D35" s="44">
        <f>IFERROR(SUMIFS('📥 원재료 입고'!E$4:E$400,'📥 원재료 입고'!B$4:B$400,B35,'📥 원재료 입고'!D$4:D$400,"자체구매"),"")</f>
        <v>282.5</v>
      </c>
      <c r="E35" s="43">
        <f>IFERROR(SUMIFS('📥 원재료 입고'!E$4:E$400,'📥 원재료 입고'!B$4:B$400,B35,'📥 원재료 입고'!D$4:D$400,"위탁공급"),"")</f>
        <v>0</v>
      </c>
      <c r="F35" s="46">
        <f>SUMIFS('📦 일일 생산 입력'!AK$5:AK$505,'📦 일일 생산 입력'!$B$5:$B$505,"&gt;="&amp;DATE(2026,1,1))</f>
        <v>98.45999999999998</v>
      </c>
      <c r="G35" s="45">
        <f>IFERROR(MAX('📊 월별 원료수불부'!C35+C35-F35,0),"")</f>
        <v>184.04000000000002</v>
      </c>
      <c r="H35" s="11" t="str">
        <f t="shared" si="1"/>
        <v>⚠️ 부족임박</v>
      </c>
      <c r="I35" s="13"/>
    </row>
    <row r="36" spans="1:9" ht="18" customHeight="1">
      <c r="A36" s="7">
        <v>32</v>
      </c>
      <c r="B36" s="12" t="s">
        <v>85</v>
      </c>
      <c r="C36" s="45">
        <f>IFERROR(SUMIFS('📥 원재료 입고'!E$4:E$400,'📥 원재료 입고'!B$4:B$400,B36),0)</f>
        <v>0</v>
      </c>
      <c r="D36" s="44">
        <f>IFERROR(SUMIFS('📥 원재료 입고'!E$4:E$400,'📥 원재료 입고'!B$4:B$400,B36,'📥 원재료 입고'!D$4:D$400,"자체구매"),"")</f>
        <v>0</v>
      </c>
      <c r="E36" s="43">
        <f>IFERROR(SUMIFS('📥 원재료 입고'!E$4:E$400,'📥 원재료 입고'!B$4:B$400,B36,'📥 원재료 입고'!D$4:D$400,"위탁공급"),"")</f>
        <v>0</v>
      </c>
      <c r="F36" s="46">
        <f>SUMIFS('📦 일일 생산 입력'!AL$5:AL$505,'📦 일일 생산 입력'!$B$5:$B$505,"&gt;="&amp;DATE(2026,1,1))</f>
        <v>0</v>
      </c>
      <c r="G36" s="45">
        <f>IFERROR(MAX('📊 월별 원료수불부'!C36+C36-F36,0),"")</f>
        <v>0</v>
      </c>
      <c r="H36" s="7" t="str">
        <f t="shared" si="1"/>
        <v>✅ 정상</v>
      </c>
      <c r="I36" s="10"/>
    </row>
    <row r="37" spans="1:9" ht="18" customHeight="1">
      <c r="A37" s="11">
        <v>33</v>
      </c>
      <c r="B37" s="47" t="s">
        <v>86</v>
      </c>
      <c r="C37" s="45">
        <f>IFERROR(SUMIFS('📥 원재료 입고'!E$4:E$400,'📥 원재료 입고'!B$4:B$400,B37),0)</f>
        <v>4</v>
      </c>
      <c r="D37" s="44">
        <f>IFERROR(SUMIFS('📥 원재료 입고'!E$4:E$400,'📥 원재료 입고'!B$4:B$400,B37,'📥 원재료 입고'!D$4:D$400,"자체구매"),"")</f>
        <v>4</v>
      </c>
      <c r="E37" s="43">
        <f>IFERROR(SUMIFS('📥 원재료 입고'!E$4:E$400,'📥 원재료 입고'!B$4:B$400,B37,'📥 원재료 입고'!D$4:D$400,"위탁공급"),"")</f>
        <v>0</v>
      </c>
      <c r="F37" s="46">
        <f>SUMIFS('📦 일일 생산 입력'!AM$5:AM$505,'📦 일일 생산 입력'!$B$5:$B$505,"&gt;="&amp;DATE(2026,1,1))</f>
        <v>11.8085</v>
      </c>
      <c r="G37" s="45">
        <f>IFERROR(MAX('📊 월별 원료수불부'!C37+C37-F37,0),"")</f>
        <v>4.0015000000000001</v>
      </c>
      <c r="H37" s="11" t="str">
        <f t="shared" si="1"/>
        <v>⚠️ 부족임박</v>
      </c>
      <c r="I37" s="13"/>
    </row>
    <row r="38" spans="1:9" ht="18" customHeight="1">
      <c r="A38" s="7">
        <v>34</v>
      </c>
      <c r="B38" s="12" t="s">
        <v>87</v>
      </c>
      <c r="C38" s="45">
        <f>IFERROR(SUMIFS('📥 원재료 입고'!E$4:E$400,'📥 원재료 입고'!B$4:B$400,B38),0)</f>
        <v>2.1</v>
      </c>
      <c r="D38" s="44">
        <f>IFERROR(SUMIFS('📥 원재료 입고'!E$4:E$400,'📥 원재료 입고'!B$4:B$400,B38,'📥 원재료 입고'!D$4:D$400,"자체구매"),"")</f>
        <v>2.1</v>
      </c>
      <c r="E38" s="43">
        <f>IFERROR(SUMIFS('📥 원재료 입고'!E$4:E$400,'📥 원재료 입고'!B$4:B$400,B38,'📥 원재료 입고'!D$4:D$400,"위탁공급"),"")</f>
        <v>0</v>
      </c>
      <c r="F38" s="46">
        <f>SUMIFS('📦 일일 생산 입력'!AN$5:AN$505,'📦 일일 생산 입력'!$B$5:$B$505,"&gt;="&amp;DATE(2026,1,1))</f>
        <v>0.38500000000000001</v>
      </c>
      <c r="G38" s="45">
        <f>IFERROR(MAX('📊 월별 원료수불부'!C38+C38-F38,0),"")</f>
        <v>1.7150000000000001</v>
      </c>
      <c r="H38" s="7" t="str">
        <f t="shared" si="1"/>
        <v>⚠️ 부족임박</v>
      </c>
      <c r="I38" s="10"/>
    </row>
    <row r="39" spans="1:9" ht="18" customHeight="1">
      <c r="A39" s="11">
        <v>35</v>
      </c>
      <c r="B39" s="47" t="s">
        <v>88</v>
      </c>
      <c r="C39" s="45">
        <f>IFERROR(SUMIFS('📥 원재료 입고'!E$4:E$400,'📥 원재료 입고'!B$4:B$400,B39),0)</f>
        <v>0</v>
      </c>
      <c r="D39" s="44">
        <f>IFERROR(SUMIFS('📥 원재료 입고'!E$4:E$400,'📥 원재료 입고'!B$4:B$400,B39,'📥 원재료 입고'!D$4:D$400,"자체구매"),"")</f>
        <v>0</v>
      </c>
      <c r="E39" s="43">
        <f>IFERROR(SUMIFS('📥 원재료 입고'!E$4:E$400,'📥 원재료 입고'!B$4:B$400,B39,'📥 원재료 입고'!D$4:D$400,"위탁공급"),"")</f>
        <v>0</v>
      </c>
      <c r="F39" s="46">
        <f>SUMIFS('📦 일일 생산 입력'!AO$5:AO$505,'📦 일일 생산 입력'!$B$5:$B$505,"&gt;="&amp;DATE(2026,1,1))</f>
        <v>23.562000000000001</v>
      </c>
      <c r="G39" s="45">
        <f>IFERROR(MAX('📊 월별 원료수불부'!C39+C39-F39,0),"")</f>
        <v>0</v>
      </c>
      <c r="H39" s="11" t="str">
        <f t="shared" si="1"/>
        <v>⚠️ 부족임박</v>
      </c>
      <c r="I39" s="13"/>
    </row>
    <row r="40" spans="1:9" ht="18" customHeight="1">
      <c r="A40" s="7">
        <v>36</v>
      </c>
      <c r="B40" s="12" t="s">
        <v>89</v>
      </c>
      <c r="C40" s="45">
        <f>IFERROR(SUMIFS('📥 원재료 입고'!E$4:E$400,'📥 원재료 입고'!B$4:B$400,B40),0)</f>
        <v>22.68</v>
      </c>
      <c r="D40" s="44">
        <f>IFERROR(SUMIFS('📥 원재료 입고'!E$4:E$400,'📥 원재료 입고'!B$4:B$400,B40,'📥 원재료 입고'!D$4:D$400,"자체구매"),"")</f>
        <v>22.68</v>
      </c>
      <c r="E40" s="43">
        <f>IFERROR(SUMIFS('📥 원재료 입고'!E$4:E$400,'📥 원재료 입고'!B$4:B$400,B40,'📥 원재료 입고'!D$4:D$400,"위탁공급"),"")</f>
        <v>0</v>
      </c>
      <c r="F40" s="46">
        <f>SUMIFS('📦 일일 생산 입력'!AP$5:AP$505,'📦 일일 생산 입력'!$B$5:$B$505,"&gt;="&amp;DATE(2026,1,1))</f>
        <v>44.720000000000006</v>
      </c>
      <c r="G40" s="45">
        <f>IFERROR(MAX('📊 월별 원료수불부'!C40+C40-F40,0),"")</f>
        <v>13.219999999999992</v>
      </c>
      <c r="H40" s="7" t="str">
        <f t="shared" si="1"/>
        <v>⚠️ 부족임박</v>
      </c>
      <c r="I40" s="10"/>
    </row>
    <row r="41" spans="1:9" ht="18" customHeight="1">
      <c r="A41" s="11">
        <v>37</v>
      </c>
      <c r="B41" s="47" t="s">
        <v>90</v>
      </c>
      <c r="C41" s="45">
        <f>IFERROR(SUMIFS('📥 원재료 입고'!E$4:E$400,'📥 원재료 입고'!B$4:B$400,B41),0)</f>
        <v>0</v>
      </c>
      <c r="D41" s="44">
        <f>IFERROR(SUMIFS('📥 원재료 입고'!E$4:E$400,'📥 원재료 입고'!B$4:B$400,B41,'📥 원재료 입고'!D$4:D$400,"자체구매"),"")</f>
        <v>0</v>
      </c>
      <c r="E41" s="43">
        <f>IFERROR(SUMIFS('📥 원재료 입고'!E$4:E$400,'📥 원재료 입고'!B$4:B$400,B41,'📥 원재료 입고'!D$4:D$400,"위탁공급"),"")</f>
        <v>0</v>
      </c>
      <c r="F41" s="46">
        <f>SUMIFS('📦 일일 생산 입력'!AQ$5:AQ$505,'📦 일일 생산 입력'!$B$5:$B$505,"&gt;="&amp;DATE(2026,1,1))</f>
        <v>813.75499999999988</v>
      </c>
      <c r="G41" s="45">
        <f>IFERROR(MAX('📊 월별 원료수불부'!C41+C41-F41,0),"")</f>
        <v>1394.0050000000003</v>
      </c>
      <c r="H41" s="11" t="str">
        <f t="shared" si="1"/>
        <v>✅ 정상</v>
      </c>
      <c r="I41" s="13"/>
    </row>
    <row r="42" spans="1:9" ht="18" customHeight="1">
      <c r="A42" s="7">
        <v>38</v>
      </c>
      <c r="B42" s="12" t="s">
        <v>91</v>
      </c>
      <c r="C42" s="45">
        <f>IFERROR(SUMIFS('📥 원재료 입고'!E$4:E$400,'📥 원재료 입고'!B$4:B$400,B42),0)</f>
        <v>0</v>
      </c>
      <c r="D42" s="44">
        <f>IFERROR(SUMIFS('📥 원재료 입고'!E$4:E$400,'📥 원재료 입고'!B$4:B$400,B42,'📥 원재료 입고'!D$4:D$400,"자체구매"),"")</f>
        <v>0</v>
      </c>
      <c r="E42" s="43">
        <f>IFERROR(SUMIFS('📥 원재료 입고'!E$4:E$400,'📥 원재료 입고'!B$4:B$400,B42,'📥 원재료 입고'!D$4:D$400,"위탁공급"),"")</f>
        <v>0</v>
      </c>
      <c r="F42" s="46">
        <f>SUMIFS('📦 일일 생산 입력'!AR$5:AR$505,'📦 일일 생산 입력'!$B$5:$B$505,"&gt;="&amp;DATE(2026,1,1))</f>
        <v>0</v>
      </c>
      <c r="G42" s="45">
        <f>IFERROR(MAX('📊 월별 원료수불부'!C42+C42-F42,0),"")</f>
        <v>60</v>
      </c>
      <c r="H42" s="7" t="str">
        <f t="shared" si="1"/>
        <v>✅ 정상</v>
      </c>
      <c r="I42" s="10"/>
    </row>
    <row r="43" spans="1:9" ht="18" customHeight="1">
      <c r="A43" s="11">
        <v>39</v>
      </c>
      <c r="B43" s="47" t="s">
        <v>92</v>
      </c>
      <c r="C43" s="45">
        <f>IFERROR(SUMIFS('📥 원재료 입고'!E$4:E$400,'📥 원재료 입고'!B$4:B$400,B43),0)</f>
        <v>384</v>
      </c>
      <c r="D43" s="44">
        <f>IFERROR(SUMIFS('📥 원재료 입고'!E$4:E$400,'📥 원재료 입고'!B$4:B$400,B43,'📥 원재료 입고'!D$4:D$400,"자체구매"),"")</f>
        <v>384</v>
      </c>
      <c r="E43" s="43">
        <f>IFERROR(SUMIFS('📥 원재료 입고'!E$4:E$400,'📥 원재료 입고'!B$4:B$400,B43,'📥 원재료 입고'!D$4:D$400,"위탁공급"),"")</f>
        <v>0</v>
      </c>
      <c r="F43" s="46">
        <f>SUMIFS('📦 일일 생산 입력'!AS$5:AS$505,'📦 일일 생산 입력'!$B$5:$B$505,"&gt;="&amp;DATE(2026,1,1))</f>
        <v>281.85699999999991</v>
      </c>
      <c r="G43" s="45">
        <f>IFERROR(MAX('📊 월별 원료수불부'!C43+C43-F43,0),"")</f>
        <v>177.72300000000007</v>
      </c>
      <c r="H43" s="11" t="str">
        <f t="shared" si="1"/>
        <v>✅ 정상</v>
      </c>
      <c r="I43" s="13"/>
    </row>
    <row r="44" spans="1:9" ht="18" customHeight="1">
      <c r="A44" s="7">
        <v>40</v>
      </c>
      <c r="B44" s="12" t="s">
        <v>93</v>
      </c>
      <c r="C44" s="45">
        <f>IFERROR(SUMIFS('📥 원재료 입고'!E$4:E$400,'📥 원재료 입고'!B$4:B$400,B44),0)</f>
        <v>0</v>
      </c>
      <c r="D44" s="44">
        <f>IFERROR(SUMIFS('📥 원재료 입고'!E$4:E$400,'📥 원재료 입고'!B$4:B$400,B44,'📥 원재료 입고'!D$4:D$400,"자체구매"),"")</f>
        <v>0</v>
      </c>
      <c r="E44" s="43">
        <f>IFERROR(SUMIFS('📥 원재료 입고'!E$4:E$400,'📥 원재료 입고'!B$4:B$400,B44,'📥 원재료 입고'!D$4:D$400,"위탁공급"),"")</f>
        <v>0</v>
      </c>
      <c r="F44" s="46">
        <f>SUMIFS('📦 일일 생산 입력'!AT$5:AT$505,'📦 일일 생산 입력'!$B$5:$B$505,"&gt;="&amp;DATE(2026,1,1))</f>
        <v>15.707500000000001</v>
      </c>
      <c r="G44" s="45">
        <f>IFERROR(MAX('📊 월별 원료수불부'!C44+C44-F44,0),"")</f>
        <v>0</v>
      </c>
      <c r="H44" s="7" t="str">
        <f t="shared" si="1"/>
        <v>✅ 정상</v>
      </c>
      <c r="I44" s="10"/>
    </row>
    <row r="45" spans="1:9" ht="18" customHeight="1">
      <c r="A45" s="11">
        <v>41</v>
      </c>
      <c r="B45" s="47" t="s">
        <v>94</v>
      </c>
      <c r="C45" s="45">
        <f>IFERROR(SUMIFS('📥 원재료 입고'!E$4:E$400,'📥 원재료 입고'!B$4:B$400,B45),0)</f>
        <v>0</v>
      </c>
      <c r="D45" s="44">
        <f>IFERROR(SUMIFS('📥 원재료 입고'!E$4:E$400,'📥 원재료 입고'!B$4:B$400,B45,'📥 원재료 입고'!D$4:D$400,"자체구매"),"")</f>
        <v>0</v>
      </c>
      <c r="E45" s="43">
        <f>IFERROR(SUMIFS('📥 원재료 입고'!E$4:E$400,'📥 원재료 입고'!B$4:B$400,B45,'📥 원재료 입고'!D$4:D$400,"위탁공급"),"")</f>
        <v>0</v>
      </c>
      <c r="F45" s="46">
        <f>SUMIFS('📦 일일 생산 입력'!AU$5:AU$505,'📦 일일 생산 입력'!$B$5:$B$505,"&gt;="&amp;DATE(2026,1,1))</f>
        <v>0</v>
      </c>
      <c r="G45" s="45">
        <f>IFERROR(MAX('📊 월별 원료수불부'!C45+C45-F45,0),"")</f>
        <v>0</v>
      </c>
      <c r="H45" s="11" t="str">
        <f t="shared" ref="H45:H76" si="2">IFERROR(IF(G44="","—",IF(G44&lt;0,"🚨 부족",IF(G44&lt;5,"⚠️ 부족임박","✅ 정상"))),"—")</f>
        <v>⚠️ 부족임박</v>
      </c>
      <c r="I45" s="13"/>
    </row>
    <row r="46" spans="1:9" ht="18" customHeight="1">
      <c r="A46" s="7">
        <v>42</v>
      </c>
      <c r="B46" s="12" t="s">
        <v>95</v>
      </c>
      <c r="C46" s="45">
        <f>IFERROR(SUMIFS('📥 원재료 입고'!E$4:E$400,'📥 원재료 입고'!B$4:B$400,B46),0)</f>
        <v>10</v>
      </c>
      <c r="D46" s="44">
        <f>IFERROR(SUMIFS('📥 원재료 입고'!E$4:E$400,'📥 원재료 입고'!B$4:B$400,B46,'📥 원재료 입고'!D$4:D$400,"자체구매"),"")</f>
        <v>10</v>
      </c>
      <c r="E46" s="43">
        <f>IFERROR(SUMIFS('📥 원재료 입고'!E$4:E$400,'📥 원재료 입고'!B$4:B$400,B46,'📥 원재료 입고'!D$4:D$400,"위탁공급"),"")</f>
        <v>0</v>
      </c>
      <c r="F46" s="46">
        <f>SUMIFS('📦 일일 생산 입력'!AV$5:AV$505,'📦 일일 생산 입력'!$B$5:$B$505,"&gt;="&amp;DATE(2026,1,1))</f>
        <v>0</v>
      </c>
      <c r="G46" s="45">
        <f>IFERROR(MAX('📊 월별 원료수불부'!C46+C46-F46,0),"")</f>
        <v>13</v>
      </c>
      <c r="H46" s="7" t="str">
        <f t="shared" si="2"/>
        <v>⚠️ 부족임박</v>
      </c>
      <c r="I46" s="10"/>
    </row>
    <row r="47" spans="1:9" ht="18" customHeight="1">
      <c r="A47" s="11">
        <v>43</v>
      </c>
      <c r="B47" s="47" t="s">
        <v>96</v>
      </c>
      <c r="C47" s="45">
        <f>IFERROR(SUMIFS('📥 원재료 입고'!E$4:E$400,'📥 원재료 입고'!B$4:B$400,B47),0)</f>
        <v>0</v>
      </c>
      <c r="D47" s="44">
        <f>IFERROR(SUMIFS('📥 원재료 입고'!E$4:E$400,'📥 원재료 입고'!B$4:B$400,B47,'📥 원재료 입고'!D$4:D$400,"자체구매"),"")</f>
        <v>0</v>
      </c>
      <c r="E47" s="43">
        <f>IFERROR(SUMIFS('📥 원재료 입고'!E$4:E$400,'📥 원재료 입고'!B$4:B$400,B47,'📥 원재료 입고'!D$4:D$400,"위탁공급"),"")</f>
        <v>0</v>
      </c>
      <c r="F47" s="46">
        <f>SUMIFS('📦 일일 생산 입력'!AW$5:AW$505,'📦 일일 생산 입력'!$B$5:$B$505,"&gt;="&amp;DATE(2026,1,1))</f>
        <v>6.7125000000000004</v>
      </c>
      <c r="G47" s="45">
        <f>IFERROR(MAX('📊 월별 원료수불부'!C47+C47-F47,0),"")</f>
        <v>0</v>
      </c>
      <c r="H47" s="11" t="str">
        <f t="shared" si="2"/>
        <v>✅ 정상</v>
      </c>
      <c r="I47" s="13"/>
    </row>
    <row r="48" spans="1:9" ht="18" customHeight="1">
      <c r="A48" s="7">
        <v>44</v>
      </c>
      <c r="B48" s="12" t="s">
        <v>97</v>
      </c>
      <c r="C48" s="45">
        <f>IFERROR(SUMIFS('📥 원재료 입고'!E$4:E$400,'📥 원재료 입고'!B$4:B$400,B48),0)</f>
        <v>168</v>
      </c>
      <c r="D48" s="44">
        <f>IFERROR(SUMIFS('📥 원재료 입고'!E$4:E$400,'📥 원재료 입고'!B$4:B$400,B48,'📥 원재료 입고'!D$4:D$400,"자체구매"),"")</f>
        <v>168</v>
      </c>
      <c r="E48" s="43">
        <f>IFERROR(SUMIFS('📥 원재료 입고'!E$4:E$400,'📥 원재료 입고'!B$4:B$400,B48,'📥 원재료 입고'!D$4:D$400,"위탁공급"),"")</f>
        <v>0</v>
      </c>
      <c r="F48" s="46">
        <f>SUMIFS('📦 일일 생산 입력'!AX$5:AX$505,'📦 일일 생산 입력'!$B$5:$B$505,"&gt;="&amp;DATE(2026,1,1))</f>
        <v>123.79399999999997</v>
      </c>
      <c r="G48" s="45">
        <f>IFERROR(MAX('📊 월별 원료수불부'!C48+C48-F48,0),"")</f>
        <v>44.206000000000031</v>
      </c>
      <c r="H48" s="7" t="str">
        <f t="shared" si="2"/>
        <v>⚠️ 부족임박</v>
      </c>
      <c r="I48" s="10"/>
    </row>
    <row r="49" spans="1:9" ht="18" customHeight="1">
      <c r="A49" s="11">
        <v>45</v>
      </c>
      <c r="B49" s="47" t="s">
        <v>98</v>
      </c>
      <c r="C49" s="45">
        <f>IFERROR(SUMIFS('📥 원재료 입고'!E$4:E$400,'📥 원재료 입고'!B$4:B$400,B49),0)</f>
        <v>0</v>
      </c>
      <c r="D49" s="44">
        <f>IFERROR(SUMIFS('📥 원재료 입고'!E$4:E$400,'📥 원재료 입고'!B$4:B$400,B49,'📥 원재료 입고'!D$4:D$400,"자체구매"),"")</f>
        <v>0</v>
      </c>
      <c r="E49" s="43">
        <f>IFERROR(SUMIFS('📥 원재료 입고'!E$4:E$400,'📥 원재료 입고'!B$4:B$400,B49,'📥 원재료 입고'!D$4:D$400,"위탁공급"),"")</f>
        <v>0</v>
      </c>
      <c r="F49" s="46">
        <f>SUMIFS('📦 일일 생산 입력'!AY$5:AY$505,'📦 일일 생산 입력'!$B$5:$B$505,"&gt;="&amp;DATE(2026,1,1))</f>
        <v>15.87</v>
      </c>
      <c r="G49" s="45">
        <f>IFERROR(MAX('📊 월별 원료수불부'!C49+C49-F49,0),"")</f>
        <v>0</v>
      </c>
      <c r="H49" s="11" t="str">
        <f t="shared" si="2"/>
        <v>✅ 정상</v>
      </c>
      <c r="I49" s="13"/>
    </row>
    <row r="50" spans="1:9" ht="18" customHeight="1">
      <c r="A50" s="7">
        <v>46</v>
      </c>
      <c r="B50" s="12" t="s">
        <v>99</v>
      </c>
      <c r="C50" s="45">
        <f>IFERROR(SUMIFS('📥 원재료 입고'!E$4:E$400,'📥 원재료 입고'!B$4:B$400,B50),0)</f>
        <v>5340</v>
      </c>
      <c r="D50" s="44">
        <f>IFERROR(SUMIFS('📥 원재료 입고'!E$4:E$400,'📥 원재료 입고'!B$4:B$400,B50,'📥 원재료 입고'!D$4:D$400,"자체구매"),"")</f>
        <v>300</v>
      </c>
      <c r="E50" s="43">
        <f>IFERROR(SUMIFS('📥 원재료 입고'!E$4:E$400,'📥 원재료 입고'!B$4:B$400,B50,'📥 원재료 입고'!D$4:D$400,"위탁공급"),"")</f>
        <v>5040</v>
      </c>
      <c r="F50" s="46">
        <f>SUMIFS('📦 일일 생산 입력'!AZ$5:AZ$505,'📦 일일 생산 입력'!$B$5:$B$505,"&gt;="&amp;DATE(2026,1,1))</f>
        <v>3666.2449999999994</v>
      </c>
      <c r="G50" s="45">
        <f>IFERROR(MAX('📊 월별 원료수불부'!C50+C50-F50,0),"")</f>
        <v>2031.7950000000005</v>
      </c>
      <c r="H50" s="7" t="str">
        <f t="shared" si="2"/>
        <v>⚠️ 부족임박</v>
      </c>
      <c r="I50" s="10"/>
    </row>
    <row r="51" spans="1:9" ht="18" customHeight="1">
      <c r="A51" s="11">
        <v>47</v>
      </c>
      <c r="B51" s="47" t="s">
        <v>100</v>
      </c>
      <c r="C51" s="45">
        <f>IFERROR(SUMIFS('📥 원재료 입고'!E$4:E$400,'📥 원재료 입고'!B$4:B$400,B51),0)</f>
        <v>0</v>
      </c>
      <c r="D51" s="44">
        <f>IFERROR(SUMIFS('📥 원재료 입고'!E$4:E$400,'📥 원재료 입고'!B$4:B$400,B51,'📥 원재료 입고'!D$4:D$400,"자체구매"),"")</f>
        <v>0</v>
      </c>
      <c r="E51" s="43">
        <f>IFERROR(SUMIFS('📥 원재료 입고'!E$4:E$400,'📥 원재료 입고'!B$4:B$400,B51,'📥 원재료 입고'!D$4:D$400,"위탁공급"),"")</f>
        <v>0</v>
      </c>
      <c r="F51" s="46">
        <f>SUMIFS('📦 일일 생산 입력'!BA$5:BA$505,'📦 일일 생산 입력'!$B$5:$B$505,"&gt;="&amp;DATE(2026,1,1))</f>
        <v>11.781000000000001</v>
      </c>
      <c r="G51" s="45">
        <f>IFERROR(MAX('📊 월별 원료수불부'!C51+C51-F51,0),"")</f>
        <v>1.3989999999999991</v>
      </c>
      <c r="H51" s="11" t="str">
        <f t="shared" si="2"/>
        <v>✅ 정상</v>
      </c>
      <c r="I51" s="13"/>
    </row>
    <row r="52" spans="1:9" ht="18" customHeight="1">
      <c r="A52" s="7">
        <v>48</v>
      </c>
      <c r="B52" s="12" t="s">
        <v>101</v>
      </c>
      <c r="C52" s="45">
        <f>IFERROR(SUMIFS('📥 원재료 입고'!E$4:E$400,'📥 원재료 입고'!B$4:B$400,B52),0)</f>
        <v>0</v>
      </c>
      <c r="D52" s="44">
        <f>IFERROR(SUMIFS('📥 원재료 입고'!E$4:E$400,'📥 원재료 입고'!B$4:B$400,B52,'📥 원재료 입고'!D$4:D$400,"자체구매"),"")</f>
        <v>0</v>
      </c>
      <c r="E52" s="43">
        <f>IFERROR(SUMIFS('📥 원재료 입고'!E$4:E$400,'📥 원재료 입고'!B$4:B$400,B52,'📥 원재료 입고'!D$4:D$400,"위탁공급"),"")</f>
        <v>0</v>
      </c>
      <c r="F52" s="46">
        <f>SUMIFS('📦 일일 생산 입력'!BB$5:BB$505,'📦 일일 생산 입력'!$B$5:$B$505,"&gt;="&amp;DATE(2026,1,1))</f>
        <v>0</v>
      </c>
      <c r="G52" s="45">
        <f>IFERROR(MAX('📊 월별 원료수불부'!C52+C52-F52,0),"")</f>
        <v>0</v>
      </c>
      <c r="H52" s="7" t="str">
        <f t="shared" si="2"/>
        <v>⚠️ 부족임박</v>
      </c>
      <c r="I52" s="10"/>
    </row>
    <row r="53" spans="1:9" ht="18" customHeight="1">
      <c r="A53" s="11">
        <v>49</v>
      </c>
      <c r="B53" s="47" t="s">
        <v>102</v>
      </c>
      <c r="C53" s="45">
        <f>IFERROR(SUMIFS('📥 원재료 입고'!E$4:E$400,'📥 원재료 입고'!B$4:B$400,B53),0)</f>
        <v>0</v>
      </c>
      <c r="D53" s="44">
        <f>IFERROR(SUMIFS('📥 원재료 입고'!E$4:E$400,'📥 원재료 입고'!B$4:B$400,B53,'📥 원재료 입고'!D$4:D$400,"자체구매"),"")</f>
        <v>0</v>
      </c>
      <c r="E53" s="43">
        <f>IFERROR(SUMIFS('📥 원재료 입고'!E$4:E$400,'📥 원재료 입고'!B$4:B$400,B53,'📥 원재료 입고'!D$4:D$400,"위탁공급"),"")</f>
        <v>0</v>
      </c>
      <c r="F53" s="46">
        <f>SUMIFS('📦 일일 생산 입력'!BC$5:BC$505,'📦 일일 생산 입력'!$B$5:$B$505,"&gt;="&amp;DATE(2026,1,1))</f>
        <v>0</v>
      </c>
      <c r="G53" s="45">
        <f>IFERROR(MAX('📊 월별 원료수불부'!C53+C53-F53,0),"")</f>
        <v>0</v>
      </c>
      <c r="H53" s="11" t="str">
        <f t="shared" si="2"/>
        <v>⚠️ 부족임박</v>
      </c>
      <c r="I53" s="13"/>
    </row>
    <row r="54" spans="1:9" ht="18" customHeight="1">
      <c r="A54" s="7">
        <v>50</v>
      </c>
      <c r="B54" s="12" t="s">
        <v>103</v>
      </c>
      <c r="C54" s="45">
        <f>IFERROR(SUMIFS('📥 원재료 입고'!E$4:E$400,'📥 원재료 입고'!B$4:B$400,B54),0)</f>
        <v>0</v>
      </c>
      <c r="D54" s="44">
        <f>IFERROR(SUMIFS('📥 원재료 입고'!E$4:E$400,'📥 원재료 입고'!B$4:B$400,B54,'📥 원재료 입고'!D$4:D$400,"자체구매"),"")</f>
        <v>0</v>
      </c>
      <c r="E54" s="43">
        <f>IFERROR(SUMIFS('📥 원재료 입고'!E$4:E$400,'📥 원재료 입고'!B$4:B$400,B54,'📥 원재료 입고'!D$4:D$400,"위탁공급"),"")</f>
        <v>0</v>
      </c>
      <c r="F54" s="46">
        <f>SUMIFS('📦 일일 생산 입력'!BD$5:BD$505,'📦 일일 생산 입력'!$B$5:$B$505,"&gt;="&amp;DATE(2026,1,1))</f>
        <v>0</v>
      </c>
      <c r="G54" s="45">
        <f>IFERROR(MAX('📊 월별 원료수불부'!C54+C54-F54,0),"")</f>
        <v>0</v>
      </c>
      <c r="H54" s="7" t="str">
        <f t="shared" si="2"/>
        <v>⚠️ 부족임박</v>
      </c>
      <c r="I54" s="10"/>
    </row>
    <row r="55" spans="1:9" ht="18" customHeight="1">
      <c r="A55" s="11">
        <v>51</v>
      </c>
      <c r="B55" s="47" t="s">
        <v>104</v>
      </c>
      <c r="C55" s="45">
        <f>IFERROR(SUMIFS('📥 원재료 입고'!E$4:E$400,'📥 원재료 입고'!B$4:B$400,B55),0)</f>
        <v>24</v>
      </c>
      <c r="D55" s="44">
        <f>IFERROR(SUMIFS('📥 원재료 입고'!E$4:E$400,'📥 원재료 입고'!B$4:B$400,B55,'📥 원재료 입고'!D$4:D$400,"자체구매"),"")</f>
        <v>24</v>
      </c>
      <c r="E55" s="43">
        <f>IFERROR(SUMIFS('📥 원재료 입고'!E$4:E$400,'📥 원재료 입고'!B$4:B$400,B55,'📥 원재료 입고'!D$4:D$400,"위탁공급"),"")</f>
        <v>0</v>
      </c>
      <c r="F55" s="46">
        <f>SUMIFS('📦 일일 생산 입력'!BE$5:BE$505,'📦 일일 생산 입력'!$B$5:$B$505,"&gt;="&amp;DATE(2026,1,1))</f>
        <v>34.427000000000007</v>
      </c>
      <c r="G55" s="45">
        <f>IFERROR(MAX('📊 월별 원료수불부'!C55+C55-F55,0),"")</f>
        <v>0</v>
      </c>
      <c r="H55" s="11" t="str">
        <f t="shared" si="2"/>
        <v>⚠️ 부족임박</v>
      </c>
      <c r="I55" s="13"/>
    </row>
    <row r="56" spans="1:9" ht="18" customHeight="1">
      <c r="A56" s="7">
        <v>52</v>
      </c>
      <c r="B56" s="12" t="s">
        <v>105</v>
      </c>
      <c r="C56" s="45">
        <f>IFERROR(SUMIFS('📥 원재료 입고'!E$4:E$400,'📥 원재료 입고'!B$4:B$400,B56),0)</f>
        <v>0</v>
      </c>
      <c r="D56" s="44">
        <f>IFERROR(SUMIFS('📥 원재료 입고'!E$4:E$400,'📥 원재료 입고'!B$4:B$400,B56,'📥 원재료 입고'!D$4:D$400,"자체구매"),"")</f>
        <v>0</v>
      </c>
      <c r="E56" s="43">
        <f>IFERROR(SUMIFS('📥 원재료 입고'!E$4:E$400,'📥 원재료 입고'!B$4:B$400,B56,'📥 원재료 입고'!D$4:D$400,"위탁공급"),"")</f>
        <v>0</v>
      </c>
      <c r="F56" s="46">
        <f>SUMIFS('📦 일일 생산 입력'!BF$5:BF$505,'📦 일일 생산 입력'!$B$5:$B$505,"&gt;="&amp;DATE(2026,1,1))</f>
        <v>1.1499999999999999</v>
      </c>
      <c r="G56" s="45">
        <f>IFERROR(MAX('📊 월별 원료수불부'!C56+C56-F56,0),"")</f>
        <v>10</v>
      </c>
      <c r="H56" s="7" t="str">
        <f t="shared" si="2"/>
        <v>⚠️ 부족임박</v>
      </c>
      <c r="I56" s="10"/>
    </row>
    <row r="57" spans="1:9" ht="18" customHeight="1">
      <c r="A57" s="11">
        <v>53</v>
      </c>
      <c r="B57" s="47" t="s">
        <v>106</v>
      </c>
      <c r="C57" s="45">
        <f>IFERROR(SUMIFS('📥 원재료 입고'!E$4:E$400,'📥 원재료 입고'!B$4:B$400,B57),0)</f>
        <v>0</v>
      </c>
      <c r="D57" s="44">
        <f>IFERROR(SUMIFS('📥 원재료 입고'!E$4:E$400,'📥 원재료 입고'!B$4:B$400,B57,'📥 원재료 입고'!D$4:D$400,"자체구매"),"")</f>
        <v>0</v>
      </c>
      <c r="E57" s="43">
        <f>IFERROR(SUMIFS('📥 원재료 입고'!E$4:E$400,'📥 원재료 입고'!B$4:B$400,B57,'📥 원재료 입고'!D$4:D$400,"위탁공급"),"")</f>
        <v>0</v>
      </c>
      <c r="F57" s="46">
        <f>SUMIFS('📦 일일 생산 입력'!BG$5:BG$505,'📦 일일 생산 입력'!$B$5:$B$505,"&gt;="&amp;DATE(2026,1,1))</f>
        <v>0</v>
      </c>
      <c r="G57" s="45">
        <f>IFERROR(MAX('📊 월별 원료수불부'!C57+C57-F57,0),"")</f>
        <v>0</v>
      </c>
      <c r="H57" s="11" t="str">
        <f t="shared" si="2"/>
        <v>✅ 정상</v>
      </c>
      <c r="I57" s="13"/>
    </row>
    <row r="58" spans="1:9" ht="18" customHeight="1">
      <c r="A58" s="7">
        <v>54</v>
      </c>
      <c r="B58" s="12" t="s">
        <v>107</v>
      </c>
      <c r="C58" s="45">
        <f>IFERROR(SUMIFS('📥 원재료 입고'!E$4:E$400,'📥 원재료 입고'!B$4:B$400,B58),0)</f>
        <v>1</v>
      </c>
      <c r="D58" s="44">
        <f>IFERROR(SUMIFS('📥 원재료 입고'!E$4:E$400,'📥 원재료 입고'!B$4:B$400,B58,'📥 원재료 입고'!D$4:D$400,"자체구매"),"")</f>
        <v>1</v>
      </c>
      <c r="E58" s="43">
        <f>IFERROR(SUMIFS('📥 원재료 입고'!E$4:E$400,'📥 원재료 입고'!B$4:B$400,B58,'📥 원재료 입고'!D$4:D$400,"위탁공급"),"")</f>
        <v>0</v>
      </c>
      <c r="F58" s="46">
        <f>SUMIFS('📦 일일 생산 입력'!BH$5:BH$505,'📦 일일 생산 입력'!$B$5:$B$505,"&gt;="&amp;DATE(2026,1,1))</f>
        <v>9.1630000000000003</v>
      </c>
      <c r="G58" s="45">
        <f>IFERROR(MAX('📊 월별 원료수불부'!C58+C58-F58,0),"")</f>
        <v>0.49699999999999989</v>
      </c>
      <c r="H58" s="7" t="str">
        <f t="shared" si="2"/>
        <v>⚠️ 부족임박</v>
      </c>
      <c r="I58" s="10"/>
    </row>
    <row r="59" spans="1:9" ht="18" customHeight="1">
      <c r="A59" s="11">
        <v>55</v>
      </c>
      <c r="B59" s="47" t="s">
        <v>108</v>
      </c>
      <c r="C59" s="45">
        <f>IFERROR(SUMIFS('📥 원재료 입고'!E$4:E$400,'📥 원재료 입고'!B$4:B$400,B59),0)</f>
        <v>660</v>
      </c>
      <c r="D59" s="44">
        <f>IFERROR(SUMIFS('📥 원재료 입고'!E$4:E$400,'📥 원재료 입고'!B$4:B$400,B59,'📥 원재료 입고'!D$4:D$400,"자체구매"),"")</f>
        <v>160</v>
      </c>
      <c r="E59" s="43">
        <f>IFERROR(SUMIFS('📥 원재료 입고'!E$4:E$400,'📥 원재료 입고'!B$4:B$400,B59,'📥 원재료 입고'!D$4:D$400,"위탁공급"),"")</f>
        <v>500</v>
      </c>
      <c r="F59" s="46">
        <f>SUMIFS('📦 일일 생산 입력'!BI$5:BI$505,'📦 일일 생산 입력'!$B$5:$B$505,"&gt;="&amp;DATE(2026,1,1))</f>
        <v>50.67</v>
      </c>
      <c r="G59" s="45">
        <f>IFERROR(MAX('📊 월별 원료수불부'!C59+C59-F59,0),"")</f>
        <v>609.33000000000004</v>
      </c>
      <c r="H59" s="11" t="str">
        <f t="shared" si="2"/>
        <v>⚠️ 부족임박</v>
      </c>
      <c r="I59" s="13"/>
    </row>
    <row r="60" spans="1:9" ht="18" customHeight="1">
      <c r="A60" s="7">
        <v>56</v>
      </c>
      <c r="B60" s="12" t="s">
        <v>109</v>
      </c>
      <c r="C60" s="45">
        <f>IFERROR(SUMIFS('📥 원재료 입고'!E$4:E$400,'📥 원재료 입고'!B$4:B$400,B60),0)</f>
        <v>0</v>
      </c>
      <c r="D60" s="44">
        <f>IFERROR(SUMIFS('📥 원재료 입고'!E$4:E$400,'📥 원재료 입고'!B$4:B$400,B60,'📥 원재료 입고'!D$4:D$400,"자체구매"),"")</f>
        <v>0</v>
      </c>
      <c r="E60" s="43">
        <f>IFERROR(SUMIFS('📥 원재료 입고'!E$4:E$400,'📥 원재료 입고'!B$4:B$400,B60,'📥 원재료 입고'!D$4:D$400,"위탁공급"),"")</f>
        <v>0</v>
      </c>
      <c r="F60" s="46">
        <f>SUMIFS('📦 일일 생산 입력'!BJ$5:BJ$505,'📦 일일 생산 입력'!$B$5:$B$505,"&gt;="&amp;DATE(2026,1,1))</f>
        <v>1.2375</v>
      </c>
      <c r="G60" s="45">
        <f>IFERROR(MAX('📊 월별 원료수불부'!C60+C60-F60,0),"")</f>
        <v>3.0025000000000004</v>
      </c>
      <c r="H60" s="7" t="str">
        <f t="shared" si="2"/>
        <v>✅ 정상</v>
      </c>
      <c r="I60" s="10"/>
    </row>
    <row r="61" spans="1:9" ht="18" customHeight="1">
      <c r="A61" s="11">
        <v>57</v>
      </c>
      <c r="B61" s="47" t="s">
        <v>110</v>
      </c>
      <c r="C61" s="45">
        <f>IFERROR(SUMIFS('📥 원재료 입고'!E$4:E$400,'📥 원재료 입고'!B$4:B$400,B61),0)</f>
        <v>0</v>
      </c>
      <c r="D61" s="44">
        <f>IFERROR(SUMIFS('📥 원재료 입고'!E$4:E$400,'📥 원재료 입고'!B$4:B$400,B61,'📥 원재료 입고'!D$4:D$400,"자체구매"),"")</f>
        <v>0</v>
      </c>
      <c r="E61" s="43">
        <f>IFERROR(SUMIFS('📥 원재료 입고'!E$4:E$400,'📥 원재료 입고'!B$4:B$400,B61,'📥 원재료 입고'!D$4:D$400,"위탁공급"),"")</f>
        <v>0</v>
      </c>
      <c r="F61" s="46">
        <f>SUMIFS('📦 일일 생산 입력'!BK$5:BK$505,'📦 일일 생산 입력'!$B$5:$B$505,"&gt;="&amp;DATE(2026,1,1))</f>
        <v>0</v>
      </c>
      <c r="G61" s="45">
        <f>IFERROR(MAX('📊 월별 원료수불부'!C61+C61-F61,0),"")</f>
        <v>0</v>
      </c>
      <c r="H61" s="11" t="str">
        <f t="shared" si="2"/>
        <v>⚠️ 부족임박</v>
      </c>
      <c r="I61" s="13"/>
    </row>
    <row r="62" spans="1:9" ht="18" customHeight="1">
      <c r="A62" s="7">
        <v>58</v>
      </c>
      <c r="B62" s="12" t="s">
        <v>111</v>
      </c>
      <c r="C62" s="45">
        <f>IFERROR(SUMIFS('📥 원재료 입고'!E$4:E$400,'📥 원재료 입고'!B$4:B$400,B62),0)</f>
        <v>8</v>
      </c>
      <c r="D62" s="44">
        <f>IFERROR(SUMIFS('📥 원재료 입고'!E$4:E$400,'📥 원재료 입고'!B$4:B$400,B62,'📥 원재료 입고'!D$4:D$400,"자체구매"),"")</f>
        <v>8</v>
      </c>
      <c r="E62" s="43">
        <f>IFERROR(SUMIFS('📥 원재료 입고'!E$4:E$400,'📥 원재료 입고'!B$4:B$400,B62,'📥 원재료 입고'!D$4:D$400,"위탁공급"),"")</f>
        <v>0</v>
      </c>
      <c r="F62" s="46">
        <f>SUMIFS('📦 일일 생산 입력'!BL$5:BL$505,'📦 일일 생산 입력'!$B$5:$B$505,"&gt;="&amp;DATE(2026,1,1))</f>
        <v>0.45</v>
      </c>
      <c r="G62" s="45">
        <f>IFERROR(MAX('📊 월별 원료수불부'!C62+C62-F62,0),"")</f>
        <v>7.55</v>
      </c>
      <c r="H62" s="7" t="str">
        <f t="shared" si="2"/>
        <v>⚠️ 부족임박</v>
      </c>
      <c r="I62" s="10"/>
    </row>
    <row r="63" spans="1:9" ht="18" customHeight="1">
      <c r="A63" s="11">
        <v>59</v>
      </c>
      <c r="B63" s="47" t="s">
        <v>112</v>
      </c>
      <c r="C63" s="45">
        <f>IFERROR(SUMIFS('📥 원재료 입고'!E$4:E$400,'📥 원재료 입고'!B$4:B$400,B63),0)</f>
        <v>0</v>
      </c>
      <c r="D63" s="44">
        <f>IFERROR(SUMIFS('📥 원재료 입고'!E$4:E$400,'📥 원재료 입고'!B$4:B$400,B63,'📥 원재료 입고'!D$4:D$400,"자체구매"),"")</f>
        <v>0</v>
      </c>
      <c r="E63" s="43">
        <f>IFERROR(SUMIFS('📥 원재료 입고'!E$4:E$400,'📥 원재료 입고'!B$4:B$400,B63,'📥 원재료 입고'!D$4:D$400,"위탁공급"),"")</f>
        <v>0</v>
      </c>
      <c r="F63" s="46">
        <f>SUMIFS('📦 일일 생산 입력'!BM$5:BM$505,'📦 일일 생산 입력'!$B$5:$B$505,"&gt;="&amp;DATE(2026,1,1))</f>
        <v>5.1749999999999998</v>
      </c>
      <c r="G63" s="45">
        <f>IFERROR(MAX('📊 월별 원료수불부'!C63+C63-F63,0),"")</f>
        <v>0</v>
      </c>
      <c r="H63" s="11" t="str">
        <f t="shared" si="2"/>
        <v>✅ 정상</v>
      </c>
      <c r="I63" s="13"/>
    </row>
    <row r="64" spans="1:9" ht="18" customHeight="1">
      <c r="A64" s="7">
        <v>60</v>
      </c>
      <c r="B64" s="12" t="s">
        <v>113</v>
      </c>
      <c r="C64" s="45">
        <f>IFERROR(SUMIFS('📥 원재료 입고'!E$4:E$400,'📥 원재료 입고'!B$4:B$400,B64),0)</f>
        <v>0</v>
      </c>
      <c r="D64" s="44">
        <f>IFERROR(SUMIFS('📥 원재료 입고'!E$4:E$400,'📥 원재료 입고'!B$4:B$400,B64,'📥 원재료 입고'!D$4:D$400,"자체구매"),"")</f>
        <v>0</v>
      </c>
      <c r="E64" s="43">
        <f>IFERROR(SUMIFS('📥 원재료 입고'!E$4:E$400,'📥 원재료 입고'!B$4:B$400,B64,'📥 원재료 입고'!D$4:D$400,"위탁공급"),"")</f>
        <v>0</v>
      </c>
      <c r="F64" s="46">
        <f>SUMIFS('📦 일일 생산 입력'!BN$5:BN$505,'📦 일일 생산 입력'!$B$5:$B$505,"&gt;="&amp;DATE(2026,1,1))</f>
        <v>1310.5519999999997</v>
      </c>
      <c r="G64" s="45">
        <f>IFERROR(MAX('📊 월별 원료수불부'!C64+C64-F64,0),"")</f>
        <v>0</v>
      </c>
      <c r="H64" s="7" t="str">
        <f t="shared" si="2"/>
        <v>⚠️ 부족임박</v>
      </c>
      <c r="I64" s="10"/>
    </row>
    <row r="65" spans="1:9" ht="18" customHeight="1">
      <c r="A65" s="11">
        <v>61</v>
      </c>
      <c r="B65" s="47" t="s">
        <v>114</v>
      </c>
      <c r="C65" s="45">
        <f>IFERROR(SUMIFS('📥 원재료 입고'!E$4:E$400,'📥 원재료 입고'!B$4:B$400,B65),0)</f>
        <v>2</v>
      </c>
      <c r="D65" s="44">
        <f>IFERROR(SUMIFS('📥 원재료 입고'!E$4:E$400,'📥 원재료 입고'!B$4:B$400,B65,'📥 원재료 입고'!D$4:D$400,"자체구매"),"")</f>
        <v>2</v>
      </c>
      <c r="E65" s="43">
        <f>IFERROR(SUMIFS('📥 원재료 입고'!E$4:E$400,'📥 원재료 입고'!B$4:B$400,B65,'📥 원재료 입고'!D$4:D$400,"위탁공급"),"")</f>
        <v>0</v>
      </c>
      <c r="F65" s="46">
        <f>SUMIFS('📦 일일 생산 입력'!BO$5:BO$505,'📦 일일 생산 입력'!$B$5:$B$505,"&gt;="&amp;DATE(2026,1,1))</f>
        <v>4.4880000000000004</v>
      </c>
      <c r="G65" s="45">
        <f>IFERROR(MAX('📊 월별 원료수불부'!C65+C65-F65,0),"")</f>
        <v>1.9999999999997797E-3</v>
      </c>
      <c r="H65" s="11" t="str">
        <f t="shared" si="2"/>
        <v>⚠️ 부족임박</v>
      </c>
      <c r="I65" s="13"/>
    </row>
    <row r="66" spans="1:9" ht="18" customHeight="1">
      <c r="A66" s="7">
        <v>62</v>
      </c>
      <c r="B66" s="12" t="s">
        <v>115</v>
      </c>
      <c r="C66" s="45">
        <f>IFERROR(SUMIFS('📥 원재료 입고'!E$4:E$400,'📥 원재료 입고'!B$4:B$400,B66),0)</f>
        <v>740</v>
      </c>
      <c r="D66" s="44">
        <f>IFERROR(SUMIFS('📥 원재료 입고'!E$4:E$400,'📥 원재료 입고'!B$4:B$400,B66,'📥 원재료 입고'!D$4:D$400,"자체구매"),"")</f>
        <v>740</v>
      </c>
      <c r="E66" s="43">
        <f>IFERROR(SUMIFS('📥 원재료 입고'!E$4:E$400,'📥 원재료 입고'!B$4:B$400,B66,'📥 원재료 입고'!D$4:D$400,"위탁공급"),"")</f>
        <v>0</v>
      </c>
      <c r="F66" s="46">
        <f>SUMIFS('📦 일일 생산 입력'!BP$5:BP$505,'📦 일일 생산 입력'!$B$5:$B$505,"&gt;="&amp;DATE(2026,1,1))</f>
        <v>442.00199999999995</v>
      </c>
      <c r="G66" s="45">
        <f>IFERROR(MAX('📊 월별 원료수불부'!C66+C66-F66,0),"")</f>
        <v>297.99800000000005</v>
      </c>
      <c r="H66" s="7" t="str">
        <f t="shared" si="2"/>
        <v>⚠️ 부족임박</v>
      </c>
      <c r="I66" s="10"/>
    </row>
    <row r="67" spans="1:9" ht="18" customHeight="1">
      <c r="A67" s="11">
        <v>63</v>
      </c>
      <c r="B67" s="47" t="s">
        <v>116</v>
      </c>
      <c r="C67" s="45">
        <f>IFERROR(SUMIFS('📥 원재료 입고'!E$4:E$400,'📥 원재료 입고'!B$4:B$400,B67),0)</f>
        <v>9000</v>
      </c>
      <c r="D67" s="44">
        <f>IFERROR(SUMIFS('📥 원재료 입고'!E$4:E$400,'📥 원재료 입고'!B$4:B$400,B67,'📥 원재료 입고'!D$4:D$400,"자체구매"),"")</f>
        <v>0</v>
      </c>
      <c r="E67" s="43">
        <f>IFERROR(SUMIFS('📥 원재료 입고'!E$4:E$400,'📥 원재료 입고'!B$4:B$400,B67,'📥 원재료 입고'!D$4:D$400,"위탁공급"),"")</f>
        <v>9000</v>
      </c>
      <c r="F67" s="46">
        <f>SUMIFS('📦 일일 생산 입력'!BQ$5:BQ$505,'📦 일일 생산 입력'!$B$5:$B$505,"&gt;="&amp;DATE(2026,1,1))</f>
        <v>5371.02</v>
      </c>
      <c r="G67" s="45">
        <f>IFERROR(MAX('📊 월별 원료수불부'!C67+C67-F67,0),"")</f>
        <v>3628.9799999999996</v>
      </c>
      <c r="H67" s="11" t="str">
        <f t="shared" si="2"/>
        <v>✅ 정상</v>
      </c>
      <c r="I67" s="13"/>
    </row>
    <row r="68" spans="1:9" ht="18" customHeight="1">
      <c r="A68" s="7">
        <v>64</v>
      </c>
      <c r="B68" s="12" t="s">
        <v>117</v>
      </c>
      <c r="C68" s="45">
        <f>IFERROR(SUMIFS('📥 원재료 입고'!E$4:E$400,'📥 원재료 입고'!B$4:B$400,B68),0)</f>
        <v>0</v>
      </c>
      <c r="D68" s="44">
        <f>IFERROR(SUMIFS('📥 원재료 입고'!E$4:E$400,'📥 원재료 입고'!B$4:B$400,B68,'📥 원재료 입고'!D$4:D$400,"자체구매"),"")</f>
        <v>0</v>
      </c>
      <c r="E68" s="43">
        <f>IFERROR(SUMIFS('📥 원재료 입고'!E$4:E$400,'📥 원재료 입고'!B$4:B$400,B68,'📥 원재료 입고'!D$4:D$400,"위탁공급"),"")</f>
        <v>0</v>
      </c>
      <c r="F68" s="46">
        <f>SUMIFS('📦 일일 생산 입력'!BR$5:BR$505,'📦 일일 생산 입력'!$B$5:$B$505,"&gt;="&amp;DATE(2026,1,1))</f>
        <v>0.85</v>
      </c>
      <c r="G68" s="45">
        <f>IFERROR(MAX('📊 월별 원료수불부'!C68+C68-F68,0),"")</f>
        <v>0</v>
      </c>
      <c r="H68" s="7" t="str">
        <f t="shared" si="2"/>
        <v>✅ 정상</v>
      </c>
      <c r="I68" s="10"/>
    </row>
    <row r="69" spans="1:9" ht="18" customHeight="1">
      <c r="A69" s="11">
        <v>65</v>
      </c>
      <c r="B69" s="47" t="s">
        <v>118</v>
      </c>
      <c r="C69" s="45">
        <f>IFERROR(SUMIFS('📥 원재료 입고'!E$4:E$400,'📥 원재료 입고'!B$4:B$400,B69),0)</f>
        <v>220</v>
      </c>
      <c r="D69" s="44">
        <f>IFERROR(SUMIFS('📥 원재료 입고'!E$4:E$400,'📥 원재료 입고'!B$4:B$400,B69,'📥 원재료 입고'!D$4:D$400,"자체구매"),"")</f>
        <v>220</v>
      </c>
      <c r="E69" s="43">
        <f>IFERROR(SUMIFS('📥 원재료 입고'!E$4:E$400,'📥 원재료 입고'!B$4:B$400,B69,'📥 원재료 입고'!D$4:D$400,"위탁공급"),"")</f>
        <v>0</v>
      </c>
      <c r="F69" s="46">
        <f>SUMIFS('📦 일일 생산 입력'!BS$5:BS$505,'📦 일일 생산 입력'!$B$5:$B$505,"&gt;="&amp;DATE(2026,1,1))</f>
        <v>406.16899999999987</v>
      </c>
      <c r="G69" s="45">
        <f>IFERROR(MAX('📊 월별 원료수불부'!C69+C69-F69,0),"")</f>
        <v>132.30100000000016</v>
      </c>
      <c r="H69" s="11" t="str">
        <f t="shared" si="2"/>
        <v>⚠️ 부족임박</v>
      </c>
      <c r="I69" s="13"/>
    </row>
    <row r="70" spans="1:9" ht="18" customHeight="1">
      <c r="A70" s="7">
        <v>66</v>
      </c>
      <c r="B70" s="12" t="s">
        <v>119</v>
      </c>
      <c r="C70" s="45">
        <f>IFERROR(SUMIFS('📥 원재료 입고'!E$4:E$400,'📥 원재료 입고'!B$4:B$400,B70),0)</f>
        <v>0</v>
      </c>
      <c r="D70" s="44">
        <f>IFERROR(SUMIFS('📥 원재료 입고'!E$4:E$400,'📥 원재료 입고'!B$4:B$400,B70,'📥 원재료 입고'!D$4:D$400,"자체구매"),"")</f>
        <v>0</v>
      </c>
      <c r="E70" s="43">
        <f>IFERROR(SUMIFS('📥 원재료 입고'!E$4:E$400,'📥 원재료 입고'!B$4:B$400,B70,'📥 원재료 입고'!D$4:D$400,"위탁공급"),"")</f>
        <v>0</v>
      </c>
      <c r="F70" s="46">
        <f>SUMIFS('📦 일일 생산 입력'!BT$5:BT$505,'📦 일일 생산 입력'!$B$5:$B$505,"&gt;="&amp;DATE(2026,1,1))</f>
        <v>0</v>
      </c>
      <c r="G70" s="45">
        <f>IFERROR(MAX('📊 월별 원료수불부'!C70+C70-F70,0),"")</f>
        <v>13</v>
      </c>
      <c r="H70" s="7" t="str">
        <f t="shared" si="2"/>
        <v>✅ 정상</v>
      </c>
      <c r="I70" s="10"/>
    </row>
    <row r="71" spans="1:9" ht="18" customHeight="1">
      <c r="A71" s="11">
        <v>67</v>
      </c>
      <c r="B71" s="47" t="s">
        <v>120</v>
      </c>
      <c r="C71" s="45">
        <f>IFERROR(SUMIFS('📥 원재료 입고'!E$4:E$400,'📥 원재료 입고'!B$4:B$400,B71),0)</f>
        <v>7220</v>
      </c>
      <c r="D71" s="44">
        <f>IFERROR(SUMIFS('📥 원재료 입고'!E$4:E$400,'📥 원재료 입고'!B$4:B$400,B71,'📥 원재료 입고'!D$4:D$400,"자체구매"),"")</f>
        <v>820</v>
      </c>
      <c r="E71" s="43">
        <f>IFERROR(SUMIFS('📥 원재료 입고'!E$4:E$400,'📥 원재료 입고'!B$4:B$400,B71,'📥 원재료 입고'!D$4:D$400,"위탁공급"),"")</f>
        <v>6400</v>
      </c>
      <c r="F71" s="46">
        <f>SUMIFS('📦 일일 생산 입력'!BU$5:BU$505,'📦 일일 생산 입력'!$B$5:$B$505,"&gt;="&amp;DATE(2026,1,1))</f>
        <v>11874.272000000006</v>
      </c>
      <c r="G71" s="45">
        <f>IFERROR(MAX('📊 월별 원료수불부'!C71+C71-F71,0),"")</f>
        <v>1299.8979999999938</v>
      </c>
      <c r="H71" s="11" t="str">
        <f t="shared" si="2"/>
        <v>✅ 정상</v>
      </c>
      <c r="I71" s="13"/>
    </row>
    <row r="72" spans="1:9" ht="18" customHeight="1">
      <c r="A72" s="7">
        <v>68</v>
      </c>
      <c r="B72" s="12" t="s">
        <v>121</v>
      </c>
      <c r="C72" s="45">
        <f>IFERROR(SUMIFS('📥 원재료 입고'!E$4:E$400,'📥 원재료 입고'!B$4:B$400,B72),0)</f>
        <v>160</v>
      </c>
      <c r="D72" s="44">
        <f>IFERROR(SUMIFS('📥 원재료 입고'!E$4:E$400,'📥 원재료 입고'!B$4:B$400,B72,'📥 원재료 입고'!D$4:D$400,"자체구매"),"")</f>
        <v>160</v>
      </c>
      <c r="E72" s="43">
        <f>IFERROR(SUMIFS('📥 원재료 입고'!E$4:E$400,'📥 원재료 입고'!B$4:B$400,B72,'📥 원재료 입고'!D$4:D$400,"위탁공급"),"")</f>
        <v>0</v>
      </c>
      <c r="F72" s="46">
        <f>SUMIFS('📦 일일 생산 입력'!BV$5:BV$505,'📦 일일 생산 입력'!$B$5:$B$505,"&gt;="&amp;DATE(2026,1,1))</f>
        <v>421.20299999999992</v>
      </c>
      <c r="G72" s="45">
        <f>IFERROR(MAX('📊 월별 원료수불부'!C72+C72-F72,0),"")</f>
        <v>0</v>
      </c>
      <c r="H72" s="7" t="str">
        <f t="shared" si="2"/>
        <v>✅ 정상</v>
      </c>
      <c r="I72" s="10"/>
    </row>
    <row r="73" spans="1:9" ht="18" customHeight="1">
      <c r="A73" s="11">
        <v>69</v>
      </c>
      <c r="B73" s="47" t="s">
        <v>122</v>
      </c>
      <c r="C73" s="45">
        <f>IFERROR(SUMIFS('📥 원재료 입고'!E$4:E$400,'📥 원재료 입고'!B$4:B$400,B73),0)</f>
        <v>80</v>
      </c>
      <c r="D73" s="44">
        <f>IFERROR(SUMIFS('📥 원재료 입고'!E$4:E$400,'📥 원재료 입고'!B$4:B$400,B73,'📥 원재료 입고'!D$4:D$400,"자체구매"),"")</f>
        <v>80</v>
      </c>
      <c r="E73" s="43">
        <f>IFERROR(SUMIFS('📥 원재료 입고'!E$4:E$400,'📥 원재료 입고'!B$4:B$400,B73,'📥 원재료 입고'!D$4:D$400,"위탁공급"),"")</f>
        <v>0</v>
      </c>
      <c r="F73" s="46">
        <f>SUMIFS('📦 일일 생산 입력'!BW$5:BW$505,'📦 일일 생산 입력'!$B$5:$B$505,"&gt;="&amp;DATE(2026,1,1))</f>
        <v>124.35499999999999</v>
      </c>
      <c r="G73" s="45">
        <f>IFERROR(MAX('📊 월별 원료수불부'!C73+C73-F73,0),"")</f>
        <v>9.9950000000000045</v>
      </c>
      <c r="H73" s="11" t="str">
        <f t="shared" si="2"/>
        <v>⚠️ 부족임박</v>
      </c>
      <c r="I73" s="13"/>
    </row>
    <row r="74" spans="1:9" ht="18" customHeight="1">
      <c r="A74" s="7">
        <v>70</v>
      </c>
      <c r="B74" s="12" t="s">
        <v>123</v>
      </c>
      <c r="C74" s="45">
        <f>IFERROR(SUMIFS('📥 원재료 입고'!E$4:E$400,'📥 원재료 입고'!B$4:B$400,B74),0)</f>
        <v>0</v>
      </c>
      <c r="D74" s="44">
        <f>IFERROR(SUMIFS('📥 원재료 입고'!E$4:E$400,'📥 원재료 입고'!B$4:B$400,B74,'📥 원재료 입고'!D$4:D$400,"자체구매"),"")</f>
        <v>0</v>
      </c>
      <c r="E74" s="43">
        <f>IFERROR(SUMIFS('📥 원재료 입고'!E$4:E$400,'📥 원재료 입고'!B$4:B$400,B74,'📥 원재료 입고'!D$4:D$400,"위탁공급"),"")</f>
        <v>0</v>
      </c>
      <c r="F74" s="46">
        <f>SUMIFS('📦 일일 생산 입력'!BX$5:BX$505,'📦 일일 생산 입력'!$B$5:$B$505,"&gt;="&amp;DATE(2026,1,1))</f>
        <v>16.033000000000001</v>
      </c>
      <c r="G74" s="45">
        <f>IFERROR(MAX('📊 월별 원료수불부'!C74+C74-F74,0),"")</f>
        <v>7.9969999999999999</v>
      </c>
      <c r="H74" s="7" t="str">
        <f t="shared" si="2"/>
        <v>✅ 정상</v>
      </c>
      <c r="I74" s="10"/>
    </row>
    <row r="75" spans="1:9" ht="18" customHeight="1">
      <c r="A75" s="11">
        <v>71</v>
      </c>
      <c r="B75" s="47" t="s">
        <v>124</v>
      </c>
      <c r="C75" s="45">
        <f>IFERROR(SUMIFS('📥 원재료 입고'!E$4:E$400,'📥 원재료 입고'!B$4:B$400,B75),0)</f>
        <v>0</v>
      </c>
      <c r="D75" s="44">
        <f>IFERROR(SUMIFS('📥 원재료 입고'!E$4:E$400,'📥 원재료 입고'!B$4:B$400,B75,'📥 원재료 입고'!D$4:D$400,"자체구매"),"")</f>
        <v>0</v>
      </c>
      <c r="E75" s="43">
        <f>IFERROR(SUMIFS('📥 원재료 입고'!E$4:E$400,'📥 원재료 입고'!B$4:B$400,B75,'📥 원재료 입고'!D$4:D$400,"위탁공급"),"")</f>
        <v>0</v>
      </c>
      <c r="F75" s="46">
        <f>SUMIFS('📦 일일 생산 입력'!BY$5:BY$505,'📦 일일 생산 입력'!$B$5:$B$505,"&gt;="&amp;DATE(2026,1,1))</f>
        <v>0.24</v>
      </c>
      <c r="G75" s="45">
        <f>IFERROR(MAX('📊 월별 원료수불부'!C75+C75-F75,0),"")</f>
        <v>18</v>
      </c>
      <c r="H75" s="11" t="str">
        <f t="shared" si="2"/>
        <v>✅ 정상</v>
      </c>
      <c r="I75" s="13"/>
    </row>
    <row r="76" spans="1:9" ht="18" customHeight="1">
      <c r="A76" s="7">
        <v>72</v>
      </c>
      <c r="B76" s="12" t="s">
        <v>125</v>
      </c>
      <c r="C76" s="45">
        <f>IFERROR(SUMIFS('📥 원재료 입고'!E$4:E$400,'📥 원재료 입고'!B$4:B$400,B76),0)</f>
        <v>10</v>
      </c>
      <c r="D76" s="44">
        <f>IFERROR(SUMIFS('📥 원재료 입고'!E$4:E$400,'📥 원재료 입고'!B$4:B$400,B76,'📥 원재료 입고'!D$4:D$400,"자체구매"),"")</f>
        <v>10</v>
      </c>
      <c r="E76" s="43">
        <f>IFERROR(SUMIFS('📥 원재료 입고'!E$4:E$400,'📥 원재료 입고'!B$4:B$400,B76,'📥 원재료 입고'!D$4:D$400,"위탁공급"),"")</f>
        <v>0</v>
      </c>
      <c r="F76" s="46">
        <f>SUMIFS('📦 일일 생산 입력'!BZ$5:BZ$505,'📦 일일 생산 입력'!$B$5:$B$505,"&gt;="&amp;DATE(2026,1,1))</f>
        <v>0.92999999999999994</v>
      </c>
      <c r="G76" s="45">
        <f>IFERROR(MAX('📊 월별 원료수불부'!C76+C76-F76,0),"")</f>
        <v>10</v>
      </c>
      <c r="H76" s="7" t="str">
        <f t="shared" si="2"/>
        <v>✅ 정상</v>
      </c>
      <c r="I76" s="10"/>
    </row>
    <row r="77" spans="1:9" ht="18" customHeight="1">
      <c r="A77" s="11">
        <v>73</v>
      </c>
      <c r="B77" s="47" t="s">
        <v>126</v>
      </c>
      <c r="C77" s="45">
        <f>IFERROR(SUMIFS('📥 원재료 입고'!E$4:E$400,'📥 원재료 입고'!B$4:B$400,B77),0)</f>
        <v>0</v>
      </c>
      <c r="D77" s="44">
        <f>IFERROR(SUMIFS('📥 원재료 입고'!E$4:E$400,'📥 원재료 입고'!B$4:B$400,B77,'📥 원재료 입고'!D$4:D$400,"자체구매"),"")</f>
        <v>0</v>
      </c>
      <c r="E77" s="43">
        <f>IFERROR(SUMIFS('📥 원재료 입고'!E$4:E$400,'📥 원재료 입고'!B$4:B$400,B77,'📥 원재료 입고'!D$4:D$400,"위탁공급"),"")</f>
        <v>0</v>
      </c>
      <c r="F77" s="46">
        <f>SUMIFS('📦 일일 생산 입력'!CA$5:CA$505,'📦 일일 생산 입력'!$B$5:$B$505,"&gt;="&amp;DATE(2026,1,1))</f>
        <v>0</v>
      </c>
      <c r="G77" s="45">
        <f>IFERROR(MAX('📊 월별 원료수불부'!C77+C77-F77,0),"")</f>
        <v>0</v>
      </c>
      <c r="H77" s="11" t="str">
        <f t="shared" ref="H77:H85" si="3">IFERROR(IF(G76="","—",IF(G76&lt;0,"🚨 부족",IF(G76&lt;5,"⚠️ 부족임박","✅ 정상"))),"—")</f>
        <v>✅ 정상</v>
      </c>
      <c r="I77" s="13"/>
    </row>
    <row r="78" spans="1:9" ht="18" customHeight="1">
      <c r="A78" s="7">
        <v>74</v>
      </c>
      <c r="B78" s="12" t="s">
        <v>127</v>
      </c>
      <c r="C78" s="45">
        <f>IFERROR(SUMIFS('📥 원재료 입고'!E$4:E$400,'📥 원재료 입고'!B$4:B$400,B78),0)</f>
        <v>0</v>
      </c>
      <c r="D78" s="44">
        <f>IFERROR(SUMIFS('📥 원재료 입고'!E$4:E$400,'📥 원재료 입고'!B$4:B$400,B78,'📥 원재료 입고'!D$4:D$400,"자체구매"),"")</f>
        <v>0</v>
      </c>
      <c r="E78" s="43">
        <f>IFERROR(SUMIFS('📥 원재료 입고'!E$4:E$400,'📥 원재료 입고'!B$4:B$400,B78,'📥 원재료 입고'!D$4:D$400,"위탁공급"),"")</f>
        <v>0</v>
      </c>
      <c r="F78" s="46">
        <f>SUMIFS('📦 일일 생산 입력'!CB$5:CB$505,'📦 일일 생산 입력'!$B$5:$B$505,"&gt;="&amp;DATE(2026,1,1))</f>
        <v>0</v>
      </c>
      <c r="G78" s="45">
        <f>IFERROR(MAX('📊 월별 원료수불부'!C78+C78-F78,0),"")</f>
        <v>0</v>
      </c>
      <c r="H78" s="7" t="str">
        <f t="shared" si="3"/>
        <v>⚠️ 부족임박</v>
      </c>
      <c r="I78" s="10"/>
    </row>
    <row r="79" spans="1:9" ht="18" customHeight="1">
      <c r="A79" s="11">
        <v>75</v>
      </c>
      <c r="B79" s="47" t="s">
        <v>128</v>
      </c>
      <c r="C79" s="45">
        <f>IFERROR(SUMIFS('📥 원재료 입고'!E$4:E$400,'📥 원재료 입고'!B$4:B$400,B79),0)</f>
        <v>13.61</v>
      </c>
      <c r="D79" s="44">
        <f>IFERROR(SUMIFS('📥 원재료 입고'!E$4:E$400,'📥 원재료 입고'!B$4:B$400,B79,'📥 원재료 입고'!D$4:D$400,"자체구매"),"")</f>
        <v>13.61</v>
      </c>
      <c r="E79" s="43">
        <f>IFERROR(SUMIFS('📥 원재료 입고'!E$4:E$400,'📥 원재료 입고'!B$4:B$400,B79,'📥 원재료 입고'!D$4:D$400,"위탁공급"),"")</f>
        <v>0</v>
      </c>
      <c r="F79" s="46">
        <f>SUMIFS('📦 일일 생산 입력'!CC$5:CC$505,'📦 일일 생산 입력'!$B$5:$B$505,"&gt;="&amp;DATE(2026,1,1))</f>
        <v>29.689999999999998</v>
      </c>
      <c r="G79" s="45">
        <f>IFERROR(MAX('📊 월별 원료수불부'!C79+C79-F79,0),"")</f>
        <v>20.160000000000004</v>
      </c>
      <c r="H79" s="11" t="str">
        <f t="shared" si="3"/>
        <v>⚠️ 부족임박</v>
      </c>
      <c r="I79" s="13"/>
    </row>
    <row r="80" spans="1:9" ht="18" customHeight="1">
      <c r="A80" s="7">
        <v>76</v>
      </c>
      <c r="B80" s="12" t="s">
        <v>129</v>
      </c>
      <c r="C80" s="45">
        <f>IFERROR(SUMIFS('📥 원재료 입고'!E$4:E$400,'📥 원재료 입고'!B$4:B$400,B80),0)</f>
        <v>10</v>
      </c>
      <c r="D80" s="44">
        <f>IFERROR(SUMIFS('📥 원재료 입고'!E$4:E$400,'📥 원재료 입고'!B$4:B$400,B80,'📥 원재료 입고'!D$4:D$400,"자체구매"),"")</f>
        <v>10</v>
      </c>
      <c r="E80" s="43">
        <f>IFERROR(SUMIFS('📥 원재료 입고'!E$4:E$400,'📥 원재료 입고'!B$4:B$400,B80,'📥 원재료 입고'!D$4:D$400,"위탁공급"),"")</f>
        <v>0</v>
      </c>
      <c r="F80" s="46">
        <f>SUMIFS('📦 일일 생산 입력'!CD$5:CD$505,'📦 일일 생산 입력'!$B$5:$B$505,"&gt;="&amp;DATE(2026,1,1))</f>
        <v>0.48</v>
      </c>
      <c r="G80" s="45">
        <f>IFERROR(MAX('📊 월별 원료수불부'!C80+C80-F80,0),"")</f>
        <v>11</v>
      </c>
      <c r="H80" s="7" t="str">
        <f t="shared" si="3"/>
        <v>✅ 정상</v>
      </c>
      <c r="I80" s="10"/>
    </row>
    <row r="81" spans="1:9" ht="18" customHeight="1">
      <c r="A81" s="11">
        <v>77</v>
      </c>
      <c r="B81" s="47" t="s">
        <v>130</v>
      </c>
      <c r="C81" s="45">
        <f>IFERROR(SUMIFS('📥 원재료 입고'!E$4:E$400,'📥 원재료 입고'!B$4:B$400,B81),0)</f>
        <v>144</v>
      </c>
      <c r="D81" s="44">
        <f>IFERROR(SUMIFS('📥 원재료 입고'!E$4:E$400,'📥 원재료 입고'!B$4:B$400,B81,'📥 원재료 입고'!D$4:D$400,"자체구매"),"")</f>
        <v>144</v>
      </c>
      <c r="E81" s="43">
        <f>IFERROR(SUMIFS('📥 원재료 입고'!E$4:E$400,'📥 원재료 입고'!B$4:B$400,B81,'📥 원재료 입고'!D$4:D$400,"위탁공급"),"")</f>
        <v>0</v>
      </c>
      <c r="F81" s="46">
        <f>SUMIFS('📦 일일 생산 입력'!CE$5:CE$505,'📦 일일 생산 입력'!$B$5:$B$505,"&gt;="&amp;DATE(2026,1,1))</f>
        <v>382.58799999999991</v>
      </c>
      <c r="G81" s="45">
        <f>IFERROR(MAX('📊 월별 원료수불부'!C81+C81-F81,0),"")</f>
        <v>0</v>
      </c>
      <c r="H81" s="11" t="str">
        <f t="shared" si="3"/>
        <v>✅ 정상</v>
      </c>
      <c r="I81" s="13"/>
    </row>
    <row r="82" spans="1:9" ht="18" customHeight="1">
      <c r="A82" s="7">
        <v>78</v>
      </c>
      <c r="B82" s="12" t="s">
        <v>131</v>
      </c>
      <c r="C82" s="45">
        <f>IFERROR(SUMIFS('📥 원재료 입고'!E$4:E$400,'📥 원재료 입고'!B$4:B$400,B82),0)</f>
        <v>0</v>
      </c>
      <c r="D82" s="44">
        <f>IFERROR(SUMIFS('📥 원재료 입고'!E$4:E$400,'📥 원재료 입고'!B$4:B$400,B82,'📥 원재료 입고'!D$4:D$400,"자체구매"),"")</f>
        <v>0</v>
      </c>
      <c r="E82" s="43">
        <f>IFERROR(SUMIFS('📥 원재료 입고'!E$4:E$400,'📥 원재료 입고'!B$4:B$400,B82,'📥 원재료 입고'!D$4:D$400,"위탁공급"),"")</f>
        <v>0</v>
      </c>
      <c r="F82" s="46">
        <f>SUMIFS('📦 일일 생산 입력'!CF$5:CF$505,'📦 일일 생산 입력'!$B$5:$B$505,"&gt;="&amp;DATE(2026,1,1))</f>
        <v>0</v>
      </c>
      <c r="G82" s="45">
        <f>IFERROR(MAX('📊 월별 원료수불부'!C82+C82-F82,0),"")</f>
        <v>0</v>
      </c>
      <c r="H82" s="7" t="str">
        <f t="shared" si="3"/>
        <v>⚠️ 부족임박</v>
      </c>
      <c r="I82" s="10"/>
    </row>
    <row r="83" spans="1:9" ht="18" customHeight="1">
      <c r="A83" s="11">
        <v>79</v>
      </c>
      <c r="B83" s="47" t="s">
        <v>132</v>
      </c>
      <c r="C83" s="45">
        <f>IFERROR(SUMIFS('📥 원재료 입고'!E$4:E$400,'📥 원재료 입고'!B$4:B$400,B83),0)</f>
        <v>28</v>
      </c>
      <c r="D83" s="44">
        <f>IFERROR(SUMIFS('📥 원재료 입고'!E$4:E$400,'📥 원재료 입고'!B$4:B$400,B83,'📥 원재료 입고'!D$4:D$400,"자체구매"),"")</f>
        <v>28</v>
      </c>
      <c r="E83" s="43">
        <f>IFERROR(SUMIFS('📥 원재료 입고'!E$4:E$400,'📥 원재료 입고'!B$4:B$400,B83,'📥 원재료 입고'!D$4:D$400,"위탁공급"),"")</f>
        <v>0</v>
      </c>
      <c r="F83" s="46">
        <f>SUMIFS('📦 일일 생산 입력'!CG$5:CG$505,'📦 일일 생산 입력'!$B$5:$B$505,"&gt;="&amp;DATE(2026,1,1))</f>
        <v>41.14</v>
      </c>
      <c r="G83" s="45">
        <f>IFERROR(MAX('📊 월별 원료수불부'!C83+C83-F83,0),"")</f>
        <v>0</v>
      </c>
      <c r="H83" s="11" t="str">
        <f t="shared" si="3"/>
        <v>⚠️ 부족임박</v>
      </c>
      <c r="I83" s="13"/>
    </row>
    <row r="84" spans="1:9" ht="18" customHeight="1">
      <c r="A84" s="7">
        <v>80</v>
      </c>
      <c r="B84" s="12" t="s">
        <v>133</v>
      </c>
      <c r="C84" s="45">
        <f>IFERROR(SUMIFS('📥 원재료 입고'!E$4:E$400,'📥 원재료 입고'!B$4:B$400,B84),0)</f>
        <v>0</v>
      </c>
      <c r="D84" s="44">
        <f>IFERROR(SUMIFS('📥 원재료 입고'!E$4:E$400,'📥 원재료 입고'!B$4:B$400,B84,'📥 원재료 입고'!D$4:D$400,"자체구매"),"")</f>
        <v>0</v>
      </c>
      <c r="E84" s="43">
        <f>IFERROR(SUMIFS('📥 원재료 입고'!E$4:E$400,'📥 원재료 입고'!B$4:B$400,B84,'📥 원재료 입고'!D$4:D$400,"위탁공급"),"")</f>
        <v>0</v>
      </c>
      <c r="F84" s="46">
        <f>SUMIFS('📦 일일 생산 입력'!CH$5:CH$505,'📦 일일 생산 입력'!$B$5:$B$505,"&gt;="&amp;DATE(2026,1,1))</f>
        <v>0</v>
      </c>
      <c r="G84" s="45">
        <f>IFERROR(MAX('📊 월별 원료수불부'!C84+C84-F84,0),"")</f>
        <v>0</v>
      </c>
      <c r="H84" s="7" t="str">
        <f t="shared" si="3"/>
        <v>⚠️ 부족임박</v>
      </c>
      <c r="I84" s="10"/>
    </row>
    <row r="85" spans="1:9" ht="15" customHeight="1">
      <c r="A85" s="11">
        <v>81</v>
      </c>
      <c r="B85" s="47" t="s">
        <v>223</v>
      </c>
      <c r="C85" s="45">
        <f>IFERROR(SUMIFS('📥 원재료 입고'!E$4:E$400,'📥 원재료 입고'!B$4:B$400,B85),0)</f>
        <v>0</v>
      </c>
      <c r="D85" s="44">
        <f>IFERROR(SUMIFS('📥 원재료 입고'!E$4:E$400,'📥 원재료 입고'!B$4:B$400,B85,'📥 원재료 입고'!D$4:D$400,"자체구매"),"")</f>
        <v>0</v>
      </c>
      <c r="E85" s="43">
        <f>IFERROR(SUMIFS('📥 원재료 입고'!E$4:E$400,'📥 원재료 입고'!B$4:B$400,B85,'📥 원재료 입고'!D$4:D$400,"위탁공급"),"")</f>
        <v>0</v>
      </c>
      <c r="F85" s="46">
        <v>0</v>
      </c>
      <c r="G85" s="45">
        <f>IFERROR(MAX(0+C85-F85,0),"")</f>
        <v>0</v>
      </c>
      <c r="H85" s="11" t="str">
        <f t="shared" si="3"/>
        <v>⚠️ 부족임박</v>
      </c>
      <c r="I85" s="13"/>
    </row>
    <row r="86" spans="1:9" ht="15" customHeight="1">
      <c r="A86" s="14"/>
      <c r="B86" s="94"/>
      <c r="C86" s="118"/>
      <c r="D86" s="118"/>
      <c r="E86" s="118"/>
      <c r="F86" s="118"/>
      <c r="G86" s="118"/>
      <c r="H86" s="14"/>
      <c r="I86" s="94"/>
    </row>
    <row r="87" spans="1:9" ht="15" customHeight="1">
      <c r="A87" s="14"/>
      <c r="B87" s="94"/>
      <c r="C87" s="118"/>
      <c r="D87" s="118"/>
      <c r="E87" s="118"/>
      <c r="F87" s="118"/>
      <c r="G87" s="118"/>
      <c r="H87" s="14"/>
      <c r="I87" s="94"/>
    </row>
    <row r="88" spans="1:9" ht="15" customHeight="1">
      <c r="A88" s="14"/>
      <c r="B88" s="94"/>
      <c r="C88" s="118"/>
      <c r="D88" s="118"/>
      <c r="E88" s="118"/>
      <c r="F88" s="118"/>
      <c r="G88" s="118"/>
      <c r="H88" s="14"/>
      <c r="I88" s="94"/>
    </row>
  </sheetData>
  <mergeCells count="3">
    <mergeCell ref="A1:I1"/>
    <mergeCell ref="B3:C3"/>
    <mergeCell ref="A2:I2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7"/>
  <sheetViews>
    <sheetView zoomScaleNormal="100" workbookViewId="0"/>
  </sheetViews>
  <sheetFormatPr defaultColWidth="8.5" defaultRowHeight="16.5"/>
  <cols>
    <col min="1" max="1" width="28" customWidth="1"/>
    <col min="2" max="2" width="30" customWidth="1"/>
  </cols>
  <sheetData>
    <row r="1" spans="1:2" ht="15" customHeight="1">
      <c r="A1" s="119" t="s">
        <v>648</v>
      </c>
      <c r="B1" s="119" t="s">
        <v>140</v>
      </c>
    </row>
    <row r="2" spans="1:2" ht="15" customHeight="1">
      <c r="A2" s="120" t="s">
        <v>141</v>
      </c>
      <c r="B2" s="121" t="s">
        <v>53</v>
      </c>
    </row>
    <row r="3" spans="1:2" ht="15" customHeight="1">
      <c r="A3" s="122" t="s">
        <v>142</v>
      </c>
      <c r="B3" s="122" t="s">
        <v>55</v>
      </c>
    </row>
    <row r="4" spans="1:2" ht="15" customHeight="1">
      <c r="A4" s="121" t="s">
        <v>143</v>
      </c>
      <c r="B4" s="121" t="s">
        <v>56</v>
      </c>
    </row>
    <row r="5" spans="1:2" ht="15" customHeight="1">
      <c r="A5" s="122" t="s">
        <v>144</v>
      </c>
      <c r="B5" s="122" t="s">
        <v>57</v>
      </c>
    </row>
    <row r="6" spans="1:2" ht="15" customHeight="1">
      <c r="A6" s="121" t="s">
        <v>145</v>
      </c>
      <c r="B6" s="121" t="s">
        <v>58</v>
      </c>
    </row>
    <row r="7" spans="1:2" ht="15" customHeight="1">
      <c r="A7" s="122" t="s">
        <v>146</v>
      </c>
      <c r="B7" s="122" t="s">
        <v>59</v>
      </c>
    </row>
    <row r="8" spans="1:2" ht="15" customHeight="1">
      <c r="A8" s="121" t="s">
        <v>147</v>
      </c>
      <c r="B8" s="121" t="s">
        <v>60</v>
      </c>
    </row>
    <row r="9" spans="1:2" ht="15" customHeight="1">
      <c r="A9" s="122" t="s">
        <v>148</v>
      </c>
      <c r="B9" s="122" t="s">
        <v>61</v>
      </c>
    </row>
    <row r="10" spans="1:2" ht="15" customHeight="1">
      <c r="B10" s="122" t="s">
        <v>62</v>
      </c>
    </row>
    <row r="11" spans="1:2" ht="15" customHeight="1">
      <c r="A11" s="121" t="s">
        <v>149</v>
      </c>
      <c r="B11" s="121" t="s">
        <v>63</v>
      </c>
    </row>
    <row r="12" spans="1:2" ht="15" customHeight="1">
      <c r="A12" s="122" t="s">
        <v>150</v>
      </c>
      <c r="B12" s="122" t="s">
        <v>64</v>
      </c>
    </row>
    <row r="13" spans="1:2" ht="15" customHeight="1">
      <c r="A13" s="121" t="s">
        <v>151</v>
      </c>
      <c r="B13" s="121" t="s">
        <v>65</v>
      </c>
    </row>
    <row r="14" spans="1:2" ht="15" customHeight="1">
      <c r="A14" s="122" t="s">
        <v>152</v>
      </c>
      <c r="B14" s="122" t="s">
        <v>66</v>
      </c>
    </row>
    <row r="15" spans="1:2" ht="15" customHeight="1">
      <c r="A15" s="121" t="s">
        <v>153</v>
      </c>
      <c r="B15" s="121" t="s">
        <v>67</v>
      </c>
    </row>
    <row r="16" spans="1:2" ht="15" customHeight="1">
      <c r="A16" s="122" t="s">
        <v>154</v>
      </c>
      <c r="B16" s="122" t="s">
        <v>68</v>
      </c>
    </row>
    <row r="17" spans="1:2" ht="15" customHeight="1">
      <c r="A17" s="121" t="s">
        <v>155</v>
      </c>
      <c r="B17" s="121" t="s">
        <v>69</v>
      </c>
    </row>
    <row r="18" spans="1:2" ht="15" customHeight="1">
      <c r="A18" s="122" t="s">
        <v>156</v>
      </c>
      <c r="B18" s="122" t="s">
        <v>70</v>
      </c>
    </row>
    <row r="19" spans="1:2" ht="15" customHeight="1">
      <c r="A19" s="121" t="s">
        <v>157</v>
      </c>
      <c r="B19" s="121" t="s">
        <v>71</v>
      </c>
    </row>
    <row r="20" spans="1:2" ht="15" customHeight="1">
      <c r="A20" s="122" t="s">
        <v>158</v>
      </c>
      <c r="B20" s="122" t="s">
        <v>72</v>
      </c>
    </row>
    <row r="21" spans="1:2" ht="15" customHeight="1">
      <c r="A21" s="121" t="s">
        <v>159</v>
      </c>
      <c r="B21" s="121" t="s">
        <v>73</v>
      </c>
    </row>
    <row r="22" spans="1:2" ht="15" customHeight="1">
      <c r="A22" s="122" t="s">
        <v>160</v>
      </c>
      <c r="B22" s="122" t="s">
        <v>74</v>
      </c>
    </row>
    <row r="23" spans="1:2" ht="15" customHeight="1">
      <c r="A23" s="121" t="s">
        <v>161</v>
      </c>
      <c r="B23" s="121" t="s">
        <v>75</v>
      </c>
    </row>
    <row r="24" spans="1:2" ht="15" customHeight="1">
      <c r="A24" s="122" t="s">
        <v>162</v>
      </c>
      <c r="B24" s="122" t="s">
        <v>76</v>
      </c>
    </row>
    <row r="25" spans="1:2" ht="15" customHeight="1">
      <c r="A25" s="121" t="s">
        <v>163</v>
      </c>
      <c r="B25" s="121" t="s">
        <v>77</v>
      </c>
    </row>
    <row r="26" spans="1:2" ht="15" customHeight="1">
      <c r="A26" s="122" t="s">
        <v>164</v>
      </c>
      <c r="B26" s="122" t="s">
        <v>78</v>
      </c>
    </row>
    <row r="27" spans="1:2" ht="15" customHeight="1">
      <c r="A27" s="121" t="s">
        <v>165</v>
      </c>
      <c r="B27" s="121" t="s">
        <v>79</v>
      </c>
    </row>
    <row r="28" spans="1:2" ht="15" customHeight="1">
      <c r="A28" s="122" t="s">
        <v>166</v>
      </c>
      <c r="B28" s="122" t="s">
        <v>80</v>
      </c>
    </row>
    <row r="29" spans="1:2" ht="15" customHeight="1">
      <c r="A29" s="121" t="s">
        <v>167</v>
      </c>
      <c r="B29" s="121" t="s">
        <v>81</v>
      </c>
    </row>
    <row r="30" spans="1:2" ht="15" customHeight="1">
      <c r="A30" s="122" t="s">
        <v>168</v>
      </c>
      <c r="B30" s="122" t="s">
        <v>82</v>
      </c>
    </row>
    <row r="31" spans="1:2" ht="15" customHeight="1">
      <c r="A31" s="121" t="s">
        <v>169</v>
      </c>
      <c r="B31" s="121" t="s">
        <v>83</v>
      </c>
    </row>
    <row r="32" spans="1:2" ht="15" customHeight="1">
      <c r="A32" s="122" t="s">
        <v>170</v>
      </c>
      <c r="B32" s="122" t="s">
        <v>84</v>
      </c>
    </row>
    <row r="33" spans="1:2" ht="15" customHeight="1">
      <c r="A33" s="121" t="s">
        <v>171</v>
      </c>
      <c r="B33" s="121" t="s">
        <v>85</v>
      </c>
    </row>
    <row r="34" spans="1:2" ht="15" customHeight="1">
      <c r="A34" s="122" t="s">
        <v>172</v>
      </c>
      <c r="B34" s="122" t="s">
        <v>86</v>
      </c>
    </row>
    <row r="35" spans="1:2" ht="15" customHeight="1">
      <c r="A35" s="121" t="s">
        <v>173</v>
      </c>
      <c r="B35" s="121" t="s">
        <v>87</v>
      </c>
    </row>
    <row r="36" spans="1:2" ht="15" customHeight="1">
      <c r="A36" s="122" t="s">
        <v>174</v>
      </c>
      <c r="B36" s="122" t="s">
        <v>88</v>
      </c>
    </row>
    <row r="37" spans="1:2" ht="15" customHeight="1">
      <c r="A37" s="121" t="s">
        <v>175</v>
      </c>
      <c r="B37" s="121" t="s">
        <v>89</v>
      </c>
    </row>
    <row r="38" spans="1:2" ht="15" customHeight="1">
      <c r="A38" s="122" t="s">
        <v>176</v>
      </c>
      <c r="B38" s="122" t="s">
        <v>90</v>
      </c>
    </row>
    <row r="39" spans="1:2" ht="15" customHeight="1">
      <c r="A39" s="121" t="s">
        <v>177</v>
      </c>
      <c r="B39" s="121" t="s">
        <v>91</v>
      </c>
    </row>
    <row r="40" spans="1:2" ht="15" customHeight="1">
      <c r="A40" s="122" t="s">
        <v>178</v>
      </c>
      <c r="B40" s="122" t="s">
        <v>92</v>
      </c>
    </row>
    <row r="41" spans="1:2" ht="15" customHeight="1">
      <c r="A41" s="121" t="s">
        <v>179</v>
      </c>
      <c r="B41" s="121" t="s">
        <v>93</v>
      </c>
    </row>
    <row r="42" spans="1:2" ht="15" customHeight="1">
      <c r="A42" s="122" t="s">
        <v>180</v>
      </c>
      <c r="B42" s="122" t="s">
        <v>94</v>
      </c>
    </row>
    <row r="43" spans="1:2" ht="15" customHeight="1">
      <c r="A43" s="121" t="s">
        <v>181</v>
      </c>
      <c r="B43" s="121" t="s">
        <v>95</v>
      </c>
    </row>
    <row r="44" spans="1:2" ht="15" customHeight="1">
      <c r="A44" s="122" t="s">
        <v>182</v>
      </c>
      <c r="B44" s="122" t="s">
        <v>96</v>
      </c>
    </row>
    <row r="45" spans="1:2" ht="15" customHeight="1">
      <c r="A45" s="121" t="s">
        <v>183</v>
      </c>
      <c r="B45" s="121" t="s">
        <v>97</v>
      </c>
    </row>
    <row r="46" spans="1:2" ht="15" customHeight="1">
      <c r="A46" s="122" t="s">
        <v>184</v>
      </c>
      <c r="B46" s="122" t="s">
        <v>98</v>
      </c>
    </row>
    <row r="47" spans="1:2" ht="15" customHeight="1">
      <c r="A47" s="121" t="s">
        <v>185</v>
      </c>
      <c r="B47" s="121" t="s">
        <v>99</v>
      </c>
    </row>
    <row r="48" spans="1:2" ht="15" customHeight="1">
      <c r="A48" s="122" t="s">
        <v>186</v>
      </c>
      <c r="B48" s="122" t="s">
        <v>100</v>
      </c>
    </row>
    <row r="49" spans="1:2" ht="15" customHeight="1">
      <c r="A49" s="121" t="s">
        <v>187</v>
      </c>
      <c r="B49" s="121" t="s">
        <v>101</v>
      </c>
    </row>
    <row r="50" spans="1:2" ht="15" customHeight="1">
      <c r="A50" s="122" t="s">
        <v>188</v>
      </c>
      <c r="B50" s="122" t="s">
        <v>102</v>
      </c>
    </row>
    <row r="51" spans="1:2" ht="15" customHeight="1">
      <c r="A51" s="121" t="s">
        <v>189</v>
      </c>
      <c r="B51" s="121" t="s">
        <v>103</v>
      </c>
    </row>
    <row r="52" spans="1:2" ht="15" customHeight="1">
      <c r="A52" s="122" t="s">
        <v>190</v>
      </c>
      <c r="B52" s="122" t="s">
        <v>104</v>
      </c>
    </row>
    <row r="53" spans="1:2" ht="15" customHeight="1">
      <c r="A53" s="121" t="s">
        <v>191</v>
      </c>
      <c r="B53" s="121" t="s">
        <v>105</v>
      </c>
    </row>
    <row r="54" spans="1:2" ht="15" customHeight="1">
      <c r="A54" s="122" t="s">
        <v>192</v>
      </c>
      <c r="B54" s="122" t="s">
        <v>106</v>
      </c>
    </row>
    <row r="55" spans="1:2" ht="15" customHeight="1">
      <c r="A55" s="121" t="s">
        <v>193</v>
      </c>
      <c r="B55" s="121" t="s">
        <v>107</v>
      </c>
    </row>
    <row r="56" spans="1:2" ht="15" customHeight="1">
      <c r="A56" s="122" t="s">
        <v>194</v>
      </c>
      <c r="B56" s="122" t="s">
        <v>108</v>
      </c>
    </row>
    <row r="57" spans="1:2" ht="15" customHeight="1">
      <c r="A57" s="121" t="s">
        <v>195</v>
      </c>
      <c r="B57" s="121" t="s">
        <v>109</v>
      </c>
    </row>
    <row r="58" spans="1:2" ht="15" customHeight="1">
      <c r="A58" s="122" t="s">
        <v>196</v>
      </c>
      <c r="B58" s="122" t="s">
        <v>110</v>
      </c>
    </row>
    <row r="59" spans="1:2" ht="15" customHeight="1">
      <c r="A59" s="121" t="s">
        <v>197</v>
      </c>
      <c r="B59" s="121" t="s">
        <v>111</v>
      </c>
    </row>
    <row r="60" spans="1:2" ht="15" customHeight="1">
      <c r="A60" s="122" t="s">
        <v>198</v>
      </c>
      <c r="B60" s="122" t="s">
        <v>112</v>
      </c>
    </row>
    <row r="61" spans="1:2" ht="15" customHeight="1">
      <c r="A61" s="121" t="s">
        <v>199</v>
      </c>
      <c r="B61" s="121" t="s">
        <v>113</v>
      </c>
    </row>
    <row r="62" spans="1:2" ht="15" customHeight="1">
      <c r="A62" s="122" t="s">
        <v>200</v>
      </c>
      <c r="B62" s="122" t="s">
        <v>114</v>
      </c>
    </row>
    <row r="63" spans="1:2" ht="15" customHeight="1">
      <c r="A63" s="121" t="s">
        <v>201</v>
      </c>
      <c r="B63" s="121" t="s">
        <v>115</v>
      </c>
    </row>
    <row r="64" spans="1:2" ht="15" customHeight="1">
      <c r="A64" s="122" t="s">
        <v>202</v>
      </c>
      <c r="B64" s="122" t="s">
        <v>116</v>
      </c>
    </row>
    <row r="65" spans="1:2" ht="15" customHeight="1">
      <c r="A65" s="121" t="s">
        <v>203</v>
      </c>
      <c r="B65" s="121" t="s">
        <v>117</v>
      </c>
    </row>
    <row r="66" spans="1:2" ht="15" customHeight="1">
      <c r="A66" s="122" t="s">
        <v>204</v>
      </c>
      <c r="B66" s="122" t="s">
        <v>118</v>
      </c>
    </row>
    <row r="67" spans="1:2" ht="15" customHeight="1">
      <c r="A67" s="121" t="s">
        <v>205</v>
      </c>
      <c r="B67" s="121" t="s">
        <v>119</v>
      </c>
    </row>
    <row r="68" spans="1:2" ht="15" customHeight="1">
      <c r="A68" s="122" t="s">
        <v>206</v>
      </c>
      <c r="B68" s="122" t="s">
        <v>120</v>
      </c>
    </row>
    <row r="69" spans="1:2" ht="15" customHeight="1">
      <c r="A69" s="121" t="s">
        <v>207</v>
      </c>
      <c r="B69" s="121" t="s">
        <v>121</v>
      </c>
    </row>
    <row r="70" spans="1:2" ht="15" customHeight="1">
      <c r="A70" s="122" t="s">
        <v>208</v>
      </c>
      <c r="B70" s="122" t="s">
        <v>122</v>
      </c>
    </row>
    <row r="71" spans="1:2" ht="15" customHeight="1">
      <c r="A71" s="121" t="s">
        <v>209</v>
      </c>
      <c r="B71" s="121" t="s">
        <v>123</v>
      </c>
    </row>
    <row r="72" spans="1:2" ht="15" customHeight="1">
      <c r="A72" s="122" t="s">
        <v>210</v>
      </c>
      <c r="B72" s="122" t="s">
        <v>124</v>
      </c>
    </row>
    <row r="73" spans="1:2" ht="15" customHeight="1">
      <c r="A73" s="121" t="s">
        <v>211</v>
      </c>
      <c r="B73" s="121" t="s">
        <v>125</v>
      </c>
    </row>
    <row r="74" spans="1:2" ht="15" customHeight="1">
      <c r="A74" s="122" t="s">
        <v>212</v>
      </c>
      <c r="B74" s="122" t="s">
        <v>126</v>
      </c>
    </row>
    <row r="75" spans="1:2" ht="15" customHeight="1">
      <c r="A75" s="121" t="s">
        <v>213</v>
      </c>
      <c r="B75" s="121" t="s">
        <v>127</v>
      </c>
    </row>
    <row r="76" spans="1:2" ht="15" customHeight="1">
      <c r="A76" s="122" t="s">
        <v>214</v>
      </c>
      <c r="B76" s="122" t="s">
        <v>128</v>
      </c>
    </row>
    <row r="77" spans="1:2" ht="15" customHeight="1">
      <c r="A77" s="121" t="s">
        <v>215</v>
      </c>
      <c r="B77" s="121" t="s">
        <v>129</v>
      </c>
    </row>
    <row r="78" spans="1:2" ht="15" customHeight="1">
      <c r="A78" s="122" t="s">
        <v>216</v>
      </c>
      <c r="B78" s="122" t="s">
        <v>130</v>
      </c>
    </row>
    <row r="79" spans="1:2" ht="15" customHeight="1">
      <c r="A79" s="121" t="s">
        <v>217</v>
      </c>
      <c r="B79" s="121" t="s">
        <v>131</v>
      </c>
    </row>
    <row r="80" spans="1:2" ht="15" customHeight="1">
      <c r="A80" s="122" t="s">
        <v>218</v>
      </c>
      <c r="B80" s="122" t="s">
        <v>132</v>
      </c>
    </row>
    <row r="81" spans="1:2" ht="15" customHeight="1">
      <c r="A81" s="121" t="s">
        <v>219</v>
      </c>
      <c r="B81" s="121" t="s">
        <v>133</v>
      </c>
    </row>
    <row r="82" spans="1:2" ht="15" customHeight="1">
      <c r="A82" s="122" t="s">
        <v>220</v>
      </c>
      <c r="B82" s="122" t="s">
        <v>223</v>
      </c>
    </row>
    <row r="83" spans="1:2" ht="15" customHeight="1">
      <c r="A83" s="121" t="s">
        <v>220</v>
      </c>
      <c r="B83" s="18" t="s">
        <v>135</v>
      </c>
    </row>
    <row r="84" spans="1:2" ht="15" customHeight="1">
      <c r="A84" s="18" t="s">
        <v>221</v>
      </c>
      <c r="B84" s="18" t="s">
        <v>136</v>
      </c>
    </row>
    <row r="85" spans="1:2" ht="15" customHeight="1">
      <c r="A85" s="18" t="s">
        <v>222</v>
      </c>
      <c r="B85" s="18" t="s">
        <v>137</v>
      </c>
    </row>
    <row r="86" spans="1:2" ht="15" customHeight="1">
      <c r="B86" s="18" t="s">
        <v>138</v>
      </c>
    </row>
    <row r="87" spans="1:2" ht="16.5" customHeight="1">
      <c r="B87" s="18" t="s">
        <v>134</v>
      </c>
    </row>
  </sheetData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33"/>
  <sheetViews>
    <sheetView zoomScaleNormal="100" workbookViewId="0"/>
  </sheetViews>
  <sheetFormatPr defaultColWidth="8.5" defaultRowHeight="16.5"/>
  <cols>
    <col min="1" max="1" width="13" customWidth="1"/>
    <col min="2" max="2" width="15" customWidth="1"/>
    <col min="3" max="3" width="12" customWidth="1"/>
    <col min="4" max="4" width="25" customWidth="1"/>
    <col min="5" max="7" width="12" customWidth="1"/>
    <col min="8" max="8" width="15" customWidth="1"/>
    <col min="9" max="9" width="30" customWidth="1"/>
  </cols>
  <sheetData>
    <row r="1" spans="1:9" ht="34.5" customHeight="1">
      <c r="A1" s="182" t="s">
        <v>649</v>
      </c>
      <c r="B1" s="178"/>
      <c r="C1" s="178"/>
      <c r="D1" s="178"/>
      <c r="E1" s="178"/>
      <c r="F1" s="178"/>
      <c r="G1" s="178"/>
      <c r="H1" s="178"/>
      <c r="I1" s="178"/>
    </row>
    <row r="2" spans="1:9" ht="13.5" customHeight="1">
      <c r="A2" s="196" t="s">
        <v>650</v>
      </c>
      <c r="B2" s="178"/>
      <c r="C2" s="178"/>
      <c r="D2" s="178"/>
      <c r="E2" s="178"/>
      <c r="F2" s="178"/>
      <c r="G2" s="178"/>
      <c r="H2" s="178"/>
      <c r="I2" s="178"/>
    </row>
    <row r="3" spans="1:9" ht="30" customHeight="1">
      <c r="A3" s="6" t="s">
        <v>651</v>
      </c>
      <c r="B3" s="6" t="s">
        <v>381</v>
      </c>
      <c r="C3" s="6" t="s">
        <v>652</v>
      </c>
      <c r="D3" s="6" t="s">
        <v>227</v>
      </c>
      <c r="E3" s="6" t="s">
        <v>653</v>
      </c>
      <c r="F3" s="6" t="s">
        <v>654</v>
      </c>
      <c r="G3" s="6" t="s">
        <v>655</v>
      </c>
      <c r="H3" s="5" t="s">
        <v>229</v>
      </c>
      <c r="I3" s="6" t="s">
        <v>621</v>
      </c>
    </row>
    <row r="4" spans="1:9" ht="15" customHeight="1">
      <c r="A4" s="123">
        <v>46008</v>
      </c>
      <c r="B4" s="15" t="s">
        <v>656</v>
      </c>
      <c r="C4" s="14" t="s">
        <v>657</v>
      </c>
      <c r="D4" s="15" t="s">
        <v>155</v>
      </c>
      <c r="E4" s="17">
        <v>60</v>
      </c>
      <c r="F4" s="17">
        <v>80</v>
      </c>
      <c r="G4" s="124">
        <v>4.8</v>
      </c>
      <c r="H4" s="14"/>
      <c r="I4" s="15" t="s">
        <v>658</v>
      </c>
    </row>
    <row r="5" spans="1:9" ht="15" customHeight="1">
      <c r="A5" s="123">
        <v>46008</v>
      </c>
      <c r="B5" s="15" t="s">
        <v>656</v>
      </c>
      <c r="C5" s="14" t="s">
        <v>657</v>
      </c>
      <c r="D5" s="15" t="s">
        <v>179</v>
      </c>
      <c r="E5" s="17">
        <v>1</v>
      </c>
      <c r="F5" s="17">
        <v>15000</v>
      </c>
      <c r="G5" s="124">
        <v>15</v>
      </c>
      <c r="H5" s="14"/>
      <c r="I5" s="15" t="s">
        <v>659</v>
      </c>
    </row>
    <row r="6" spans="1:9" ht="15" customHeight="1">
      <c r="A6" s="123">
        <v>46008</v>
      </c>
      <c r="B6" s="15" t="s">
        <v>656</v>
      </c>
      <c r="C6" s="14" t="s">
        <v>657</v>
      </c>
      <c r="D6" s="15" t="s">
        <v>183</v>
      </c>
      <c r="E6" s="17">
        <v>20</v>
      </c>
      <c r="F6" s="17">
        <v>60</v>
      </c>
      <c r="G6" s="124">
        <v>1.2</v>
      </c>
      <c r="H6" s="14"/>
      <c r="I6" s="15" t="s">
        <v>660</v>
      </c>
    </row>
    <row r="7" spans="1:9" ht="15" customHeight="1">
      <c r="A7" s="123">
        <v>46008</v>
      </c>
      <c r="B7" s="15" t="s">
        <v>656</v>
      </c>
      <c r="C7" s="14" t="s">
        <v>657</v>
      </c>
      <c r="D7" s="15" t="s">
        <v>204</v>
      </c>
      <c r="E7" s="17">
        <v>60</v>
      </c>
      <c r="F7" s="17">
        <v>60</v>
      </c>
      <c r="G7" s="124">
        <v>3.6</v>
      </c>
      <c r="H7" s="14"/>
      <c r="I7" s="15" t="s">
        <v>661</v>
      </c>
    </row>
    <row r="8" spans="1:9" ht="15" customHeight="1">
      <c r="A8" s="123">
        <v>46008</v>
      </c>
      <c r="B8" s="15" t="s">
        <v>656</v>
      </c>
      <c r="C8" s="14" t="s">
        <v>657</v>
      </c>
      <c r="D8" s="15" t="s">
        <v>206</v>
      </c>
      <c r="E8" s="17">
        <v>2</v>
      </c>
      <c r="F8" s="17">
        <v>15000</v>
      </c>
      <c r="G8" s="124">
        <v>30</v>
      </c>
      <c r="H8" s="14"/>
      <c r="I8" s="15" t="s">
        <v>662</v>
      </c>
    </row>
    <row r="9" spans="1:9" ht="15" customHeight="1">
      <c r="A9" s="123">
        <v>46008</v>
      </c>
      <c r="B9" s="15" t="s">
        <v>656</v>
      </c>
      <c r="C9" s="14" t="s">
        <v>657</v>
      </c>
      <c r="D9" s="15" t="s">
        <v>206</v>
      </c>
      <c r="E9" s="17">
        <v>1</v>
      </c>
      <c r="F9" s="17">
        <v>1800</v>
      </c>
      <c r="G9" s="124">
        <v>1.8</v>
      </c>
      <c r="H9" s="14"/>
      <c r="I9" s="15" t="s">
        <v>663</v>
      </c>
    </row>
    <row r="10" spans="1:9" ht="15" customHeight="1">
      <c r="A10" s="123">
        <v>46016</v>
      </c>
      <c r="B10" s="15" t="s">
        <v>656</v>
      </c>
      <c r="C10" s="14" t="s">
        <v>657</v>
      </c>
      <c r="D10" s="15" t="s">
        <v>155</v>
      </c>
      <c r="E10" s="17">
        <v>60</v>
      </c>
      <c r="F10" s="17">
        <v>80</v>
      </c>
      <c r="G10" s="124">
        <v>4.8</v>
      </c>
      <c r="H10" s="14"/>
      <c r="I10" s="15" t="s">
        <v>658</v>
      </c>
    </row>
    <row r="11" spans="1:9" ht="15" customHeight="1">
      <c r="A11" s="123">
        <v>46016</v>
      </c>
      <c r="B11" s="15" t="s">
        <v>656</v>
      </c>
      <c r="C11" s="14" t="s">
        <v>657</v>
      </c>
      <c r="D11" s="15" t="s">
        <v>221</v>
      </c>
      <c r="E11" s="17">
        <v>3</v>
      </c>
      <c r="F11" s="17">
        <v>40</v>
      </c>
      <c r="G11" s="124">
        <v>0.12</v>
      </c>
      <c r="H11" s="14"/>
      <c r="I11" s="15" t="s">
        <v>221</v>
      </c>
    </row>
    <row r="12" spans="1:9" ht="15" customHeight="1">
      <c r="A12" s="123">
        <v>46016</v>
      </c>
      <c r="B12" s="15" t="s">
        <v>656</v>
      </c>
      <c r="C12" s="14" t="s">
        <v>657</v>
      </c>
      <c r="D12" s="15" t="s">
        <v>204</v>
      </c>
      <c r="E12" s="17">
        <v>60</v>
      </c>
      <c r="F12" s="17">
        <v>60</v>
      </c>
      <c r="G12" s="124">
        <v>3.6</v>
      </c>
      <c r="H12" s="14"/>
      <c r="I12" s="15" t="s">
        <v>664</v>
      </c>
    </row>
    <row r="13" spans="1:9" ht="15" customHeight="1">
      <c r="A13" s="123">
        <v>46016</v>
      </c>
      <c r="B13" s="15" t="s">
        <v>656</v>
      </c>
      <c r="C13" s="14" t="s">
        <v>657</v>
      </c>
      <c r="D13" s="15" t="s">
        <v>206</v>
      </c>
      <c r="E13" s="17">
        <v>3</v>
      </c>
      <c r="F13" s="17">
        <v>1800</v>
      </c>
      <c r="G13" s="124">
        <v>5.4</v>
      </c>
      <c r="H13" s="14"/>
      <c r="I13" s="15" t="s">
        <v>665</v>
      </c>
    </row>
    <row r="14" spans="1:9" ht="15" customHeight="1">
      <c r="A14" s="123">
        <v>46024</v>
      </c>
      <c r="B14" s="94"/>
      <c r="C14" s="125" t="s">
        <v>666</v>
      </c>
      <c r="D14" s="15" t="s">
        <v>142</v>
      </c>
      <c r="E14" s="17">
        <v>3</v>
      </c>
      <c r="F14" s="17">
        <v>50</v>
      </c>
      <c r="G14" s="124">
        <v>3</v>
      </c>
      <c r="H14" s="14"/>
      <c r="I14" s="15" t="s">
        <v>667</v>
      </c>
    </row>
    <row r="15" spans="1:9" ht="15" customHeight="1">
      <c r="A15" s="123">
        <v>46024</v>
      </c>
      <c r="B15" s="94"/>
      <c r="C15" s="125" t="s">
        <v>666</v>
      </c>
      <c r="D15" s="15" t="s">
        <v>142</v>
      </c>
      <c r="E15" s="17">
        <v>10</v>
      </c>
      <c r="F15" s="17">
        <v>50</v>
      </c>
      <c r="G15" s="124">
        <v>0.5</v>
      </c>
      <c r="H15" s="14"/>
      <c r="I15" s="15" t="s">
        <v>668</v>
      </c>
    </row>
    <row r="16" spans="1:9" ht="15" customHeight="1">
      <c r="A16" s="123">
        <v>46024</v>
      </c>
      <c r="B16" s="94"/>
      <c r="C16" s="125" t="s">
        <v>666</v>
      </c>
      <c r="D16" s="15" t="s">
        <v>143</v>
      </c>
      <c r="E16" s="17">
        <v>2</v>
      </c>
      <c r="F16" s="17">
        <v>50</v>
      </c>
      <c r="G16" s="124">
        <v>2</v>
      </c>
      <c r="H16" s="14"/>
      <c r="I16" s="15" t="s">
        <v>669</v>
      </c>
    </row>
    <row r="17" spans="1:9" ht="15" customHeight="1">
      <c r="A17" s="123">
        <v>46024</v>
      </c>
      <c r="B17" s="94"/>
      <c r="C17" s="125" t="s">
        <v>666</v>
      </c>
      <c r="D17" s="15" t="s">
        <v>143</v>
      </c>
      <c r="E17" s="17">
        <v>2</v>
      </c>
      <c r="F17" s="17">
        <v>50</v>
      </c>
      <c r="G17" s="124">
        <v>4</v>
      </c>
      <c r="H17" s="14"/>
      <c r="I17" s="15" t="s">
        <v>670</v>
      </c>
    </row>
    <row r="18" spans="1:9" ht="15" customHeight="1">
      <c r="A18" s="123">
        <v>46024</v>
      </c>
      <c r="B18" s="94"/>
      <c r="C18" s="125" t="s">
        <v>666</v>
      </c>
      <c r="D18" s="15" t="s">
        <v>143</v>
      </c>
      <c r="E18" s="17">
        <v>5</v>
      </c>
      <c r="F18" s="17">
        <v>50</v>
      </c>
      <c r="G18" s="124">
        <v>0.25</v>
      </c>
      <c r="H18" s="14"/>
      <c r="I18" s="15" t="s">
        <v>671</v>
      </c>
    </row>
    <row r="19" spans="1:9" ht="15" customHeight="1">
      <c r="A19" s="123">
        <v>46024</v>
      </c>
      <c r="B19" s="94"/>
      <c r="C19" s="125" t="s">
        <v>666</v>
      </c>
      <c r="D19" s="15" t="s">
        <v>144</v>
      </c>
      <c r="E19" s="17">
        <v>4</v>
      </c>
      <c r="F19" s="17">
        <v>1000</v>
      </c>
      <c r="G19" s="124">
        <v>8</v>
      </c>
      <c r="H19" s="14"/>
      <c r="I19" s="15" t="s">
        <v>672</v>
      </c>
    </row>
    <row r="20" spans="1:9" ht="15" customHeight="1">
      <c r="A20" s="123">
        <v>46024</v>
      </c>
      <c r="B20" s="94"/>
      <c r="C20" s="125" t="s">
        <v>666</v>
      </c>
      <c r="D20" s="15" t="s">
        <v>145</v>
      </c>
      <c r="E20" s="17">
        <v>5</v>
      </c>
      <c r="F20" s="17">
        <v>50</v>
      </c>
      <c r="G20" s="124">
        <v>0.25</v>
      </c>
      <c r="H20" s="14"/>
      <c r="I20" s="15" t="s">
        <v>671</v>
      </c>
    </row>
    <row r="21" spans="1:9" ht="15" customHeight="1">
      <c r="A21" s="123">
        <v>46024</v>
      </c>
      <c r="B21" s="94"/>
      <c r="C21" s="125" t="s">
        <v>666</v>
      </c>
      <c r="D21" s="15" t="s">
        <v>146</v>
      </c>
      <c r="E21" s="17">
        <v>10</v>
      </c>
      <c r="F21" s="17">
        <v>50</v>
      </c>
      <c r="G21" s="124">
        <v>0.5</v>
      </c>
      <c r="H21" s="14"/>
      <c r="I21" s="15" t="s">
        <v>668</v>
      </c>
    </row>
    <row r="22" spans="1:9" ht="15" customHeight="1">
      <c r="A22" s="123">
        <v>46024</v>
      </c>
      <c r="B22" s="94"/>
      <c r="C22" s="125" t="s">
        <v>666</v>
      </c>
      <c r="D22" s="15" t="s">
        <v>147</v>
      </c>
      <c r="E22" s="17">
        <v>10</v>
      </c>
      <c r="F22" s="17">
        <v>50</v>
      </c>
      <c r="G22" s="124">
        <v>0.5</v>
      </c>
      <c r="H22" s="14"/>
      <c r="I22" s="15" t="s">
        <v>668</v>
      </c>
    </row>
    <row r="23" spans="1:9" ht="15" customHeight="1">
      <c r="A23" s="123">
        <v>46024</v>
      </c>
      <c r="B23" s="94"/>
      <c r="C23" s="125" t="s">
        <v>666</v>
      </c>
      <c r="D23" s="15" t="s">
        <v>148</v>
      </c>
      <c r="E23" s="17">
        <v>4</v>
      </c>
      <c r="F23" s="17">
        <v>50</v>
      </c>
      <c r="G23" s="124">
        <v>0.2</v>
      </c>
      <c r="H23" s="14"/>
      <c r="I23" s="15" t="s">
        <v>671</v>
      </c>
    </row>
    <row r="24" spans="1:9" ht="15" customHeight="1">
      <c r="A24" s="123">
        <v>46024</v>
      </c>
      <c r="B24" s="94"/>
      <c r="C24" s="125" t="s">
        <v>666</v>
      </c>
      <c r="D24" s="15" t="s">
        <v>155</v>
      </c>
      <c r="E24" s="17">
        <v>12</v>
      </c>
      <c r="F24" s="17">
        <v>80</v>
      </c>
      <c r="G24" s="124">
        <v>19.2</v>
      </c>
      <c r="H24" s="14"/>
      <c r="I24" s="94" t="s">
        <v>673</v>
      </c>
    </row>
    <row r="25" spans="1:9" ht="15" customHeight="1">
      <c r="A25" s="123">
        <v>46024</v>
      </c>
      <c r="B25" s="94"/>
      <c r="C25" s="125" t="s">
        <v>666</v>
      </c>
      <c r="D25" s="15" t="s">
        <v>159</v>
      </c>
      <c r="E25" s="17">
        <v>4</v>
      </c>
      <c r="F25" s="17">
        <v>50</v>
      </c>
      <c r="G25" s="124">
        <v>0.2</v>
      </c>
      <c r="H25" s="14"/>
      <c r="I25" s="15" t="s">
        <v>671</v>
      </c>
    </row>
    <row r="26" spans="1:9" ht="15" customHeight="1">
      <c r="A26" s="123">
        <v>46024</v>
      </c>
      <c r="B26" s="94"/>
      <c r="C26" s="125" t="s">
        <v>666</v>
      </c>
      <c r="D26" s="15" t="s">
        <v>174</v>
      </c>
      <c r="E26" s="17">
        <v>4</v>
      </c>
      <c r="F26" s="17">
        <v>1000</v>
      </c>
      <c r="G26" s="124">
        <v>4</v>
      </c>
      <c r="H26" s="14"/>
      <c r="I26" s="15" t="s">
        <v>674</v>
      </c>
    </row>
    <row r="27" spans="1:9" ht="15" customHeight="1">
      <c r="A27" s="123">
        <v>46024</v>
      </c>
      <c r="B27" s="94"/>
      <c r="C27" s="125" t="s">
        <v>666</v>
      </c>
      <c r="D27" s="15" t="s">
        <v>179</v>
      </c>
      <c r="E27" s="17">
        <v>1</v>
      </c>
      <c r="F27" s="17">
        <v>40</v>
      </c>
      <c r="G27" s="124">
        <v>0.8</v>
      </c>
      <c r="H27" s="14"/>
      <c r="I27" s="15" t="s">
        <v>675</v>
      </c>
    </row>
    <row r="28" spans="1:9" ht="15" customHeight="1">
      <c r="A28" s="123">
        <v>46024</v>
      </c>
      <c r="B28" s="94"/>
      <c r="C28" s="125" t="s">
        <v>666</v>
      </c>
      <c r="D28" s="15" t="s">
        <v>183</v>
      </c>
      <c r="E28" s="17">
        <v>17</v>
      </c>
      <c r="F28" s="17">
        <v>60</v>
      </c>
      <c r="G28" s="124">
        <v>30.6</v>
      </c>
      <c r="H28" s="14"/>
      <c r="I28" s="15" t="s">
        <v>676</v>
      </c>
    </row>
    <row r="29" spans="1:9" ht="15" customHeight="1">
      <c r="A29" s="123">
        <v>46024</v>
      </c>
      <c r="B29" s="94"/>
      <c r="C29" s="125" t="s">
        <v>666</v>
      </c>
      <c r="D29" s="15" t="s">
        <v>184</v>
      </c>
      <c r="E29" s="17">
        <v>2</v>
      </c>
      <c r="F29" s="17">
        <v>50</v>
      </c>
      <c r="G29" s="124">
        <v>2</v>
      </c>
      <c r="H29" s="14"/>
      <c r="I29" s="15" t="s">
        <v>677</v>
      </c>
    </row>
    <row r="30" spans="1:9" ht="15" customHeight="1">
      <c r="A30" s="123">
        <v>46024</v>
      </c>
      <c r="B30" s="94"/>
      <c r="C30" s="125" t="s">
        <v>666</v>
      </c>
      <c r="D30" s="15" t="s">
        <v>184</v>
      </c>
      <c r="E30" s="17">
        <v>2</v>
      </c>
      <c r="F30" s="17">
        <v>50</v>
      </c>
      <c r="G30" s="124">
        <v>4</v>
      </c>
      <c r="H30" s="14"/>
      <c r="I30" s="15" t="s">
        <v>678</v>
      </c>
    </row>
    <row r="31" spans="1:9" ht="15" customHeight="1">
      <c r="A31" s="123">
        <v>46024</v>
      </c>
      <c r="B31" s="94"/>
      <c r="C31" s="125" t="s">
        <v>666</v>
      </c>
      <c r="D31" s="15" t="s">
        <v>184</v>
      </c>
      <c r="E31" s="17">
        <v>5</v>
      </c>
      <c r="F31" s="17">
        <v>50</v>
      </c>
      <c r="G31" s="124">
        <v>0.25</v>
      </c>
      <c r="H31" s="14"/>
      <c r="I31" s="15" t="s">
        <v>671</v>
      </c>
    </row>
    <row r="32" spans="1:9" ht="15" customHeight="1">
      <c r="A32" s="123">
        <v>46024</v>
      </c>
      <c r="B32" s="94"/>
      <c r="C32" s="125" t="s">
        <v>666</v>
      </c>
      <c r="D32" s="15" t="s">
        <v>186</v>
      </c>
      <c r="E32" s="17">
        <v>4</v>
      </c>
      <c r="F32" s="17">
        <v>50</v>
      </c>
      <c r="G32" s="124">
        <v>0.2</v>
      </c>
      <c r="H32" s="14"/>
      <c r="I32" s="15" t="s">
        <v>671</v>
      </c>
    </row>
    <row r="33" spans="1:9" ht="15" customHeight="1">
      <c r="A33" s="123">
        <v>46024</v>
      </c>
      <c r="B33" s="94"/>
      <c r="C33" s="125" t="s">
        <v>666</v>
      </c>
      <c r="D33" s="15" t="s">
        <v>192</v>
      </c>
      <c r="E33" s="17">
        <v>5</v>
      </c>
      <c r="F33" s="17">
        <v>50</v>
      </c>
      <c r="G33" s="124">
        <v>0.25</v>
      </c>
      <c r="H33" s="14"/>
      <c r="I33" s="15" t="s">
        <v>671</v>
      </c>
    </row>
    <row r="34" spans="1:9" ht="15" customHeight="1">
      <c r="A34" s="123">
        <v>46024</v>
      </c>
      <c r="B34" s="94"/>
      <c r="C34" s="125" t="s">
        <v>666</v>
      </c>
      <c r="D34" s="15" t="s">
        <v>195</v>
      </c>
      <c r="E34" s="17">
        <v>4</v>
      </c>
      <c r="F34" s="17">
        <v>50</v>
      </c>
      <c r="G34" s="124">
        <v>0.2</v>
      </c>
      <c r="H34" s="14"/>
      <c r="I34" s="15" t="s">
        <v>671</v>
      </c>
    </row>
    <row r="35" spans="1:9" ht="15" customHeight="1">
      <c r="A35" s="123">
        <v>46024</v>
      </c>
      <c r="B35" s="94"/>
      <c r="C35" s="125" t="s">
        <v>666</v>
      </c>
      <c r="D35" s="15" t="s">
        <v>222</v>
      </c>
      <c r="E35" s="17">
        <v>1</v>
      </c>
      <c r="F35" s="17">
        <v>40</v>
      </c>
      <c r="G35" s="124">
        <v>0.8</v>
      </c>
      <c r="H35" s="14"/>
      <c r="I35" s="15" t="s">
        <v>679</v>
      </c>
    </row>
    <row r="36" spans="1:9" ht="15" customHeight="1">
      <c r="A36" s="123">
        <v>46024</v>
      </c>
      <c r="B36" s="94"/>
      <c r="C36" s="125" t="s">
        <v>666</v>
      </c>
      <c r="D36" s="15" t="s">
        <v>221</v>
      </c>
      <c r="E36" s="17">
        <v>1</v>
      </c>
      <c r="F36" s="17">
        <v>40</v>
      </c>
      <c r="G36" s="124">
        <v>0.8</v>
      </c>
      <c r="H36" s="14"/>
      <c r="I36" s="15" t="s">
        <v>680</v>
      </c>
    </row>
    <row r="37" spans="1:9" ht="15" customHeight="1">
      <c r="A37" s="123">
        <v>46024</v>
      </c>
      <c r="B37" s="94"/>
      <c r="C37" s="125" t="s">
        <v>666</v>
      </c>
      <c r="D37" s="15" t="s">
        <v>204</v>
      </c>
      <c r="E37" s="17">
        <v>17</v>
      </c>
      <c r="F37" s="17">
        <v>60</v>
      </c>
      <c r="G37" s="124">
        <v>30.6</v>
      </c>
      <c r="H37" s="14"/>
      <c r="I37" s="15" t="s">
        <v>681</v>
      </c>
    </row>
    <row r="38" spans="1:9" ht="15" customHeight="1">
      <c r="A38" s="123">
        <v>46024</v>
      </c>
      <c r="B38" s="94"/>
      <c r="C38" s="125" t="s">
        <v>666</v>
      </c>
      <c r="D38" s="15" t="s">
        <v>205</v>
      </c>
      <c r="E38" s="17">
        <v>11</v>
      </c>
      <c r="F38" s="17">
        <v>60</v>
      </c>
      <c r="G38" s="124">
        <v>19.8</v>
      </c>
      <c r="H38" s="14"/>
      <c r="I38" s="15" t="s">
        <v>682</v>
      </c>
    </row>
    <row r="39" spans="1:9" ht="15" customHeight="1">
      <c r="A39" s="123">
        <v>46024</v>
      </c>
      <c r="B39" s="94"/>
      <c r="C39" s="125" t="s">
        <v>666</v>
      </c>
      <c r="D39" s="15" t="s">
        <v>206</v>
      </c>
      <c r="E39" s="17">
        <v>2</v>
      </c>
      <c r="F39" s="17">
        <v>30</v>
      </c>
      <c r="G39" s="124">
        <v>3.6</v>
      </c>
      <c r="H39" s="14"/>
      <c r="I39" s="15" t="s">
        <v>683</v>
      </c>
    </row>
    <row r="40" spans="1:9" ht="15" customHeight="1">
      <c r="A40" s="123">
        <v>46024</v>
      </c>
      <c r="B40" s="94"/>
      <c r="C40" s="125" t="s">
        <v>666</v>
      </c>
      <c r="D40" s="15" t="s">
        <v>219</v>
      </c>
      <c r="E40" s="17">
        <v>4</v>
      </c>
      <c r="F40" s="17">
        <v>50</v>
      </c>
      <c r="G40" s="124">
        <v>0.2</v>
      </c>
      <c r="H40" s="14"/>
      <c r="I40" s="15" t="s">
        <v>671</v>
      </c>
    </row>
    <row r="41" spans="1:9" ht="15" customHeight="1">
      <c r="A41" s="123">
        <v>46024</v>
      </c>
      <c r="B41" s="94"/>
      <c r="C41" s="125" t="s">
        <v>666</v>
      </c>
      <c r="D41" s="15" t="s">
        <v>220</v>
      </c>
      <c r="E41" s="17">
        <v>10</v>
      </c>
      <c r="F41" s="17">
        <v>50</v>
      </c>
      <c r="G41" s="124">
        <v>0.5</v>
      </c>
      <c r="H41" s="14"/>
      <c r="I41" s="15" t="s">
        <v>668</v>
      </c>
    </row>
    <row r="42" spans="1:9" ht="15" customHeight="1">
      <c r="A42" s="123">
        <v>46027</v>
      </c>
      <c r="B42" s="94"/>
      <c r="C42" s="125" t="s">
        <v>666</v>
      </c>
      <c r="D42" s="94" t="s">
        <v>141</v>
      </c>
      <c r="E42" s="17">
        <v>3</v>
      </c>
      <c r="F42" s="17">
        <v>60</v>
      </c>
      <c r="G42" s="124">
        <v>3.6</v>
      </c>
      <c r="H42" s="14"/>
      <c r="I42" s="15" t="s">
        <v>684</v>
      </c>
    </row>
    <row r="43" spans="1:9" ht="15" customHeight="1">
      <c r="A43" s="123">
        <v>46027</v>
      </c>
      <c r="B43" s="94"/>
      <c r="C43" s="125" t="s">
        <v>666</v>
      </c>
      <c r="D43" s="15" t="s">
        <v>142</v>
      </c>
      <c r="E43" s="17">
        <v>35</v>
      </c>
      <c r="F43" s="17">
        <v>50</v>
      </c>
      <c r="G43" s="124">
        <v>1.75</v>
      </c>
      <c r="H43" s="14"/>
      <c r="I43" s="15" t="s">
        <v>685</v>
      </c>
    </row>
    <row r="44" spans="1:9" ht="15" customHeight="1">
      <c r="A44" s="123">
        <v>46027</v>
      </c>
      <c r="B44" s="94"/>
      <c r="C44" s="125" t="s">
        <v>666</v>
      </c>
      <c r="D44" s="15" t="s">
        <v>143</v>
      </c>
      <c r="E44" s="17">
        <v>2</v>
      </c>
      <c r="F44" s="17">
        <v>50</v>
      </c>
      <c r="G44" s="124">
        <v>2</v>
      </c>
      <c r="H44" s="14"/>
      <c r="I44" s="15" t="s">
        <v>669</v>
      </c>
    </row>
    <row r="45" spans="1:9" ht="15" customHeight="1">
      <c r="A45" s="123">
        <v>46027</v>
      </c>
      <c r="B45" s="94"/>
      <c r="C45" s="125" t="s">
        <v>666</v>
      </c>
      <c r="D45" s="15" t="s">
        <v>143</v>
      </c>
      <c r="E45" s="17">
        <v>4</v>
      </c>
      <c r="F45" s="17">
        <v>50</v>
      </c>
      <c r="G45" s="124">
        <v>8</v>
      </c>
      <c r="H45" s="14"/>
      <c r="I45" s="15" t="s">
        <v>670</v>
      </c>
    </row>
    <row r="46" spans="1:9" ht="15" customHeight="1">
      <c r="A46" s="123">
        <v>46027</v>
      </c>
      <c r="B46" s="94"/>
      <c r="C46" s="125" t="s">
        <v>666</v>
      </c>
      <c r="D46" s="15" t="s">
        <v>144</v>
      </c>
      <c r="E46" s="17">
        <v>1</v>
      </c>
      <c r="F46" s="17">
        <v>1000</v>
      </c>
      <c r="G46" s="124">
        <v>1</v>
      </c>
      <c r="H46" s="14"/>
      <c r="I46" s="15" t="s">
        <v>686</v>
      </c>
    </row>
    <row r="47" spans="1:9" ht="15" customHeight="1">
      <c r="A47" s="123">
        <v>46027</v>
      </c>
      <c r="B47" s="94"/>
      <c r="C47" s="125" t="s">
        <v>666</v>
      </c>
      <c r="D47" s="15" t="s">
        <v>144</v>
      </c>
      <c r="E47" s="17">
        <v>19</v>
      </c>
      <c r="F47" s="17">
        <v>1000</v>
      </c>
      <c r="G47" s="124">
        <v>38</v>
      </c>
      <c r="H47" s="14"/>
      <c r="I47" s="15" t="s">
        <v>672</v>
      </c>
    </row>
    <row r="48" spans="1:9" ht="15" customHeight="1">
      <c r="A48" s="123">
        <v>46027</v>
      </c>
      <c r="B48" s="94"/>
      <c r="C48" s="125" t="s">
        <v>666</v>
      </c>
      <c r="D48" s="15" t="s">
        <v>146</v>
      </c>
      <c r="E48" s="17">
        <v>35</v>
      </c>
      <c r="F48" s="17">
        <v>50</v>
      </c>
      <c r="G48" s="124">
        <v>1.75</v>
      </c>
      <c r="H48" s="14"/>
      <c r="I48" s="15" t="s">
        <v>685</v>
      </c>
    </row>
    <row r="49" spans="1:9" ht="15" customHeight="1">
      <c r="A49" s="123">
        <v>46027</v>
      </c>
      <c r="B49" s="94"/>
      <c r="C49" s="125" t="s">
        <v>666</v>
      </c>
      <c r="D49" s="15" t="s">
        <v>147</v>
      </c>
      <c r="E49" s="17">
        <v>5</v>
      </c>
      <c r="F49" s="17">
        <v>50</v>
      </c>
      <c r="G49" s="124">
        <v>5</v>
      </c>
      <c r="H49" s="14"/>
      <c r="I49" s="15" t="s">
        <v>687</v>
      </c>
    </row>
    <row r="50" spans="1:9" ht="15" customHeight="1">
      <c r="A50" s="123">
        <v>46027</v>
      </c>
      <c r="B50" s="94"/>
      <c r="C50" s="125" t="s">
        <v>666</v>
      </c>
      <c r="D50" s="15" t="s">
        <v>147</v>
      </c>
      <c r="E50" s="17">
        <v>35</v>
      </c>
      <c r="F50" s="17">
        <v>50</v>
      </c>
      <c r="G50" s="124">
        <v>1.75</v>
      </c>
      <c r="H50" s="14"/>
      <c r="I50" s="15" t="s">
        <v>685</v>
      </c>
    </row>
    <row r="51" spans="1:9" ht="15" customHeight="1">
      <c r="A51" s="123">
        <v>46027</v>
      </c>
      <c r="B51" s="94"/>
      <c r="C51" s="125" t="s">
        <v>666</v>
      </c>
      <c r="D51" s="15" t="s">
        <v>155</v>
      </c>
      <c r="E51" s="17">
        <v>2</v>
      </c>
      <c r="F51" s="17">
        <v>80</v>
      </c>
      <c r="G51" s="124">
        <v>3.2</v>
      </c>
      <c r="H51" s="14"/>
      <c r="I51" s="94" t="s">
        <v>673</v>
      </c>
    </row>
    <row r="52" spans="1:9" ht="15" customHeight="1">
      <c r="A52" s="123">
        <v>46027</v>
      </c>
      <c r="B52" s="94"/>
      <c r="C52" s="125" t="s">
        <v>666</v>
      </c>
      <c r="D52" s="15" t="s">
        <v>183</v>
      </c>
      <c r="E52" s="17">
        <v>50</v>
      </c>
      <c r="F52" s="17">
        <v>60</v>
      </c>
      <c r="G52" s="124">
        <v>90</v>
      </c>
      <c r="H52" s="14"/>
      <c r="I52" s="15" t="s">
        <v>676</v>
      </c>
    </row>
    <row r="53" spans="1:9" ht="15" customHeight="1">
      <c r="A53" s="123">
        <v>46027</v>
      </c>
      <c r="B53" s="94"/>
      <c r="C53" s="125" t="s">
        <v>666</v>
      </c>
      <c r="D53" s="15" t="s">
        <v>184</v>
      </c>
      <c r="E53" s="17">
        <v>4</v>
      </c>
      <c r="F53" s="17">
        <v>50</v>
      </c>
      <c r="G53" s="124">
        <v>4</v>
      </c>
      <c r="H53" s="14"/>
      <c r="I53" s="15" t="s">
        <v>688</v>
      </c>
    </row>
    <row r="54" spans="1:9" ht="15" customHeight="1">
      <c r="A54" s="123">
        <v>46027</v>
      </c>
      <c r="B54" s="94"/>
      <c r="C54" s="125" t="s">
        <v>666</v>
      </c>
      <c r="D54" s="15" t="s">
        <v>184</v>
      </c>
      <c r="E54" s="17">
        <v>4</v>
      </c>
      <c r="F54" s="17">
        <v>50</v>
      </c>
      <c r="G54" s="124">
        <v>8</v>
      </c>
      <c r="H54" s="14"/>
      <c r="I54" s="15" t="s">
        <v>678</v>
      </c>
    </row>
    <row r="55" spans="1:9" ht="15" customHeight="1">
      <c r="A55" s="123">
        <v>46027</v>
      </c>
      <c r="B55" s="94"/>
      <c r="C55" s="125" t="s">
        <v>666</v>
      </c>
      <c r="D55" s="15" t="s">
        <v>195</v>
      </c>
      <c r="E55" s="17">
        <v>2</v>
      </c>
      <c r="F55" s="17">
        <v>50</v>
      </c>
      <c r="G55" s="124">
        <v>1</v>
      </c>
      <c r="H55" s="14"/>
      <c r="I55" s="15" t="s">
        <v>689</v>
      </c>
    </row>
    <row r="56" spans="1:9" ht="15" customHeight="1">
      <c r="A56" s="123">
        <v>46027</v>
      </c>
      <c r="B56" s="94"/>
      <c r="C56" s="125" t="s">
        <v>666</v>
      </c>
      <c r="D56" s="15" t="s">
        <v>222</v>
      </c>
      <c r="E56" s="17">
        <v>2</v>
      </c>
      <c r="F56" s="17">
        <v>40</v>
      </c>
      <c r="G56" s="124">
        <v>1.6</v>
      </c>
      <c r="H56" s="14"/>
      <c r="I56" s="15" t="s">
        <v>679</v>
      </c>
    </row>
    <row r="57" spans="1:9" ht="15" customHeight="1">
      <c r="A57" s="123">
        <v>46027</v>
      </c>
      <c r="B57" s="94"/>
      <c r="C57" s="125" t="s">
        <v>666</v>
      </c>
      <c r="D57" s="15" t="s">
        <v>204</v>
      </c>
      <c r="E57" s="17">
        <v>4</v>
      </c>
      <c r="F57" s="17">
        <v>1000</v>
      </c>
      <c r="G57" s="124">
        <v>7.2</v>
      </c>
      <c r="H57" s="14"/>
      <c r="I57" s="15" t="s">
        <v>690</v>
      </c>
    </row>
    <row r="58" spans="1:9" ht="15" customHeight="1">
      <c r="A58" s="123">
        <v>46027</v>
      </c>
      <c r="B58" s="94"/>
      <c r="C58" s="125" t="s">
        <v>666</v>
      </c>
      <c r="D58" s="15" t="s">
        <v>204</v>
      </c>
      <c r="E58" s="17">
        <v>28</v>
      </c>
      <c r="F58" s="17">
        <v>60</v>
      </c>
      <c r="G58" s="124">
        <v>50.4</v>
      </c>
      <c r="H58" s="14"/>
      <c r="I58" s="15" t="s">
        <v>681</v>
      </c>
    </row>
    <row r="59" spans="1:9" ht="15" customHeight="1">
      <c r="A59" s="123">
        <v>46027</v>
      </c>
      <c r="B59" s="94"/>
      <c r="C59" s="125" t="s">
        <v>666</v>
      </c>
      <c r="D59" s="15" t="s">
        <v>205</v>
      </c>
      <c r="E59" s="17">
        <v>13</v>
      </c>
      <c r="F59" s="17">
        <v>60</v>
      </c>
      <c r="G59" s="124">
        <v>23.4</v>
      </c>
      <c r="H59" s="14"/>
      <c r="I59" s="15" t="s">
        <v>682</v>
      </c>
    </row>
    <row r="60" spans="1:9" ht="15" customHeight="1">
      <c r="A60" s="123">
        <v>46027</v>
      </c>
      <c r="B60" s="94"/>
      <c r="C60" s="125" t="s">
        <v>666</v>
      </c>
      <c r="D60" s="15" t="s">
        <v>206</v>
      </c>
      <c r="E60" s="17">
        <v>2</v>
      </c>
      <c r="F60" s="17">
        <v>30</v>
      </c>
      <c r="G60" s="124">
        <v>3.6</v>
      </c>
      <c r="H60" s="14"/>
      <c r="I60" s="15" t="s">
        <v>683</v>
      </c>
    </row>
    <row r="61" spans="1:9" ht="15" customHeight="1">
      <c r="A61" s="123">
        <v>46027</v>
      </c>
      <c r="B61" s="94"/>
      <c r="C61" s="125" t="s">
        <v>666</v>
      </c>
      <c r="D61" s="15" t="s">
        <v>207</v>
      </c>
      <c r="E61" s="17">
        <v>5</v>
      </c>
      <c r="F61" s="17">
        <v>1000</v>
      </c>
      <c r="G61" s="124">
        <v>5</v>
      </c>
      <c r="H61" s="14"/>
      <c r="I61" s="15" t="s">
        <v>691</v>
      </c>
    </row>
    <row r="62" spans="1:9" ht="15" customHeight="1">
      <c r="A62" s="123">
        <v>46027</v>
      </c>
      <c r="B62" s="94"/>
      <c r="C62" s="125" t="s">
        <v>666</v>
      </c>
      <c r="D62" s="15" t="s">
        <v>220</v>
      </c>
      <c r="E62" s="17">
        <v>35</v>
      </c>
      <c r="F62" s="17">
        <v>50</v>
      </c>
      <c r="G62" s="124">
        <v>1.75</v>
      </c>
      <c r="H62" s="14"/>
      <c r="I62" s="15" t="s">
        <v>685</v>
      </c>
    </row>
    <row r="63" spans="1:9" ht="15" customHeight="1">
      <c r="A63" s="123">
        <v>46028</v>
      </c>
      <c r="B63" s="94"/>
      <c r="C63" s="125" t="s">
        <v>666</v>
      </c>
      <c r="D63" s="94" t="s">
        <v>141</v>
      </c>
      <c r="E63" s="17">
        <v>1</v>
      </c>
      <c r="F63" s="17">
        <v>60</v>
      </c>
      <c r="G63" s="124">
        <v>1.2</v>
      </c>
      <c r="H63" s="14"/>
      <c r="I63" s="94" t="s">
        <v>692</v>
      </c>
    </row>
    <row r="64" spans="1:9" ht="15" customHeight="1">
      <c r="A64" s="123">
        <v>46028</v>
      </c>
      <c r="B64" s="94"/>
      <c r="C64" s="125" t="s">
        <v>666</v>
      </c>
      <c r="D64" s="15" t="s">
        <v>142</v>
      </c>
      <c r="E64" s="17">
        <v>5</v>
      </c>
      <c r="F64" s="17">
        <v>50</v>
      </c>
      <c r="G64" s="124">
        <v>0.25</v>
      </c>
      <c r="H64" s="14"/>
      <c r="I64" s="15" t="s">
        <v>693</v>
      </c>
    </row>
    <row r="65" spans="1:9" ht="15" customHeight="1">
      <c r="A65" s="123">
        <v>46028</v>
      </c>
      <c r="B65" s="94"/>
      <c r="C65" s="125" t="s">
        <v>666</v>
      </c>
      <c r="D65" s="15" t="s">
        <v>143</v>
      </c>
      <c r="E65" s="17">
        <v>4</v>
      </c>
      <c r="F65" s="17">
        <v>50</v>
      </c>
      <c r="G65" s="124">
        <v>4</v>
      </c>
      <c r="H65" s="14"/>
      <c r="I65" s="15" t="s">
        <v>669</v>
      </c>
    </row>
    <row r="66" spans="1:9" ht="15" customHeight="1">
      <c r="A66" s="123">
        <v>46028</v>
      </c>
      <c r="B66" s="94"/>
      <c r="C66" s="125" t="s">
        <v>666</v>
      </c>
      <c r="D66" s="15" t="s">
        <v>144</v>
      </c>
      <c r="E66" s="17">
        <v>4</v>
      </c>
      <c r="F66" s="17">
        <v>1000</v>
      </c>
      <c r="G66" s="124">
        <v>8</v>
      </c>
      <c r="H66" s="14"/>
      <c r="I66" s="15" t="s">
        <v>672</v>
      </c>
    </row>
    <row r="67" spans="1:9" ht="15" customHeight="1">
      <c r="A67" s="123">
        <v>46028</v>
      </c>
      <c r="B67" s="94"/>
      <c r="C67" s="125" t="s">
        <v>666</v>
      </c>
      <c r="D67" s="15" t="s">
        <v>146</v>
      </c>
      <c r="E67" s="17">
        <v>5</v>
      </c>
      <c r="F67" s="17">
        <v>50</v>
      </c>
      <c r="G67" s="124">
        <v>0.25</v>
      </c>
      <c r="H67" s="14"/>
      <c r="I67" s="15" t="s">
        <v>693</v>
      </c>
    </row>
    <row r="68" spans="1:9" ht="15" customHeight="1">
      <c r="A68" s="123">
        <v>46028</v>
      </c>
      <c r="B68" s="94"/>
      <c r="C68" s="125" t="s">
        <v>666</v>
      </c>
      <c r="D68" s="15" t="s">
        <v>147</v>
      </c>
      <c r="E68" s="17">
        <v>1</v>
      </c>
      <c r="F68" s="17">
        <v>50</v>
      </c>
      <c r="G68" s="124">
        <v>1</v>
      </c>
      <c r="H68" s="14"/>
      <c r="I68" s="15" t="s">
        <v>687</v>
      </c>
    </row>
    <row r="69" spans="1:9" ht="15" customHeight="1">
      <c r="A69" s="123">
        <v>46028</v>
      </c>
      <c r="B69" s="94"/>
      <c r="C69" s="125" t="s">
        <v>666</v>
      </c>
      <c r="D69" s="15" t="s">
        <v>147</v>
      </c>
      <c r="E69" s="17">
        <v>5</v>
      </c>
      <c r="F69" s="17">
        <v>50</v>
      </c>
      <c r="G69" s="124">
        <v>0.25</v>
      </c>
      <c r="H69" s="14"/>
      <c r="I69" s="15" t="s">
        <v>693</v>
      </c>
    </row>
    <row r="70" spans="1:9" ht="15" customHeight="1">
      <c r="A70" s="123">
        <v>46028</v>
      </c>
      <c r="B70" s="94"/>
      <c r="C70" s="125" t="s">
        <v>666</v>
      </c>
      <c r="D70" s="15" t="s">
        <v>155</v>
      </c>
      <c r="E70" s="17">
        <v>1</v>
      </c>
      <c r="F70" s="17">
        <v>80</v>
      </c>
      <c r="G70" s="124">
        <v>1.6</v>
      </c>
      <c r="H70" s="14"/>
      <c r="I70" s="94" t="s">
        <v>673</v>
      </c>
    </row>
    <row r="71" spans="1:9" ht="15" customHeight="1">
      <c r="A71" s="123">
        <v>46028</v>
      </c>
      <c r="B71" s="94"/>
      <c r="C71" s="125" t="s">
        <v>666</v>
      </c>
      <c r="D71" s="15" t="s">
        <v>161</v>
      </c>
      <c r="E71" s="17">
        <v>2</v>
      </c>
      <c r="F71" s="17">
        <v>1000</v>
      </c>
      <c r="G71" s="124">
        <v>2</v>
      </c>
      <c r="H71" s="14"/>
      <c r="I71" s="15" t="s">
        <v>694</v>
      </c>
    </row>
    <row r="72" spans="1:9" ht="15" customHeight="1">
      <c r="A72" s="123">
        <v>46028</v>
      </c>
      <c r="B72" s="94"/>
      <c r="C72" s="125" t="s">
        <v>666</v>
      </c>
      <c r="D72" s="15" t="s">
        <v>174</v>
      </c>
      <c r="E72" s="17">
        <v>2</v>
      </c>
      <c r="F72" s="17">
        <v>1000</v>
      </c>
      <c r="G72" s="124">
        <v>2</v>
      </c>
      <c r="H72" s="14"/>
      <c r="I72" s="15" t="s">
        <v>674</v>
      </c>
    </row>
    <row r="73" spans="1:9" ht="15" customHeight="1">
      <c r="A73" s="123">
        <v>46028</v>
      </c>
      <c r="B73" s="94"/>
      <c r="C73" s="125" t="s">
        <v>666</v>
      </c>
      <c r="D73" s="15" t="s">
        <v>183</v>
      </c>
      <c r="E73" s="17">
        <v>19</v>
      </c>
      <c r="F73" s="17">
        <v>60</v>
      </c>
      <c r="G73" s="124">
        <v>34.200000000000003</v>
      </c>
      <c r="H73" s="14"/>
      <c r="I73" s="15" t="s">
        <v>676</v>
      </c>
    </row>
    <row r="74" spans="1:9" ht="15" customHeight="1">
      <c r="A74" s="123">
        <v>46028</v>
      </c>
      <c r="B74" s="94"/>
      <c r="C74" s="125" t="s">
        <v>666</v>
      </c>
      <c r="D74" s="15" t="s">
        <v>184</v>
      </c>
      <c r="E74" s="17">
        <v>2</v>
      </c>
      <c r="F74" s="17">
        <v>50</v>
      </c>
      <c r="G74" s="124">
        <v>2</v>
      </c>
      <c r="H74" s="14"/>
      <c r="I74" s="15" t="s">
        <v>688</v>
      </c>
    </row>
    <row r="75" spans="1:9" ht="15" customHeight="1">
      <c r="A75" s="123">
        <v>46028</v>
      </c>
      <c r="B75" s="94"/>
      <c r="C75" s="125" t="s">
        <v>666</v>
      </c>
      <c r="D75" s="15" t="s">
        <v>222</v>
      </c>
      <c r="E75" s="17">
        <v>1</v>
      </c>
      <c r="F75" s="17">
        <v>40</v>
      </c>
      <c r="G75" s="124">
        <v>0.8</v>
      </c>
      <c r="H75" s="14"/>
      <c r="I75" s="15" t="s">
        <v>679</v>
      </c>
    </row>
    <row r="76" spans="1:9" ht="15" customHeight="1">
      <c r="A76" s="123">
        <v>46028</v>
      </c>
      <c r="B76" s="94"/>
      <c r="C76" s="125" t="s">
        <v>666</v>
      </c>
      <c r="D76" s="15" t="s">
        <v>221</v>
      </c>
      <c r="E76" s="17">
        <v>2</v>
      </c>
      <c r="F76" s="17">
        <v>40</v>
      </c>
      <c r="G76" s="124">
        <v>1.6</v>
      </c>
      <c r="H76" s="14"/>
      <c r="I76" s="15" t="s">
        <v>680</v>
      </c>
    </row>
    <row r="77" spans="1:9" ht="15" customHeight="1">
      <c r="A77" s="123">
        <v>46028</v>
      </c>
      <c r="B77" s="94"/>
      <c r="C77" s="125" t="s">
        <v>666</v>
      </c>
      <c r="D77" s="15" t="s">
        <v>204</v>
      </c>
      <c r="E77" s="17">
        <v>2</v>
      </c>
      <c r="F77" s="17">
        <v>60</v>
      </c>
      <c r="G77" s="124">
        <v>1.8</v>
      </c>
      <c r="H77" s="14"/>
      <c r="I77" s="15" t="s">
        <v>695</v>
      </c>
    </row>
    <row r="78" spans="1:9" ht="15" customHeight="1">
      <c r="A78" s="123">
        <v>46028</v>
      </c>
      <c r="B78" s="94"/>
      <c r="C78" s="125" t="s">
        <v>666</v>
      </c>
      <c r="D78" s="15" t="s">
        <v>204</v>
      </c>
      <c r="E78" s="17">
        <v>15</v>
      </c>
      <c r="F78" s="17">
        <v>60</v>
      </c>
      <c r="G78" s="124">
        <v>27</v>
      </c>
      <c r="H78" s="14"/>
      <c r="I78" s="15" t="s">
        <v>681</v>
      </c>
    </row>
    <row r="79" spans="1:9" ht="15" customHeight="1">
      <c r="A79" s="123">
        <v>46028</v>
      </c>
      <c r="B79" s="94"/>
      <c r="C79" s="125" t="s">
        <v>666</v>
      </c>
      <c r="D79" s="15" t="s">
        <v>205</v>
      </c>
      <c r="E79" s="17">
        <v>2</v>
      </c>
      <c r="F79" s="17">
        <v>60</v>
      </c>
      <c r="G79" s="124">
        <v>1.8</v>
      </c>
      <c r="H79" s="14"/>
      <c r="I79" s="15" t="s">
        <v>696</v>
      </c>
    </row>
    <row r="80" spans="1:9" ht="15" customHeight="1">
      <c r="A80" s="123">
        <v>46028</v>
      </c>
      <c r="B80" s="94"/>
      <c r="C80" s="125" t="s">
        <v>666</v>
      </c>
      <c r="D80" s="15" t="s">
        <v>205</v>
      </c>
      <c r="E80" s="17">
        <v>8</v>
      </c>
      <c r="F80" s="17">
        <v>60</v>
      </c>
      <c r="G80" s="124">
        <v>14.4</v>
      </c>
      <c r="H80" s="14"/>
      <c r="I80" s="15" t="s">
        <v>682</v>
      </c>
    </row>
    <row r="81" spans="1:9" ht="15" customHeight="1">
      <c r="A81" s="123">
        <v>46028</v>
      </c>
      <c r="B81" s="94"/>
      <c r="C81" s="125" t="s">
        <v>666</v>
      </c>
      <c r="D81" s="15" t="s">
        <v>206</v>
      </c>
      <c r="E81" s="17">
        <v>2</v>
      </c>
      <c r="F81" s="17">
        <v>30</v>
      </c>
      <c r="G81" s="124">
        <v>3.6</v>
      </c>
      <c r="H81" s="14"/>
      <c r="I81" s="15" t="s">
        <v>683</v>
      </c>
    </row>
    <row r="82" spans="1:9" ht="15" customHeight="1">
      <c r="A82" s="123">
        <v>46028</v>
      </c>
      <c r="B82" s="94"/>
      <c r="C82" s="125" t="s">
        <v>666</v>
      </c>
      <c r="D82" s="15" t="s">
        <v>207</v>
      </c>
      <c r="E82" s="17">
        <v>1</v>
      </c>
      <c r="F82" s="17">
        <v>1000</v>
      </c>
      <c r="G82" s="124">
        <v>2</v>
      </c>
      <c r="H82" s="14"/>
      <c r="I82" s="15" t="s">
        <v>697</v>
      </c>
    </row>
    <row r="83" spans="1:9" ht="15" customHeight="1">
      <c r="A83" s="123">
        <v>46028</v>
      </c>
      <c r="B83" s="94"/>
      <c r="C83" s="125" t="s">
        <v>666</v>
      </c>
      <c r="D83" s="15" t="s">
        <v>212</v>
      </c>
      <c r="E83" s="17">
        <v>2</v>
      </c>
      <c r="F83" s="17">
        <v>50</v>
      </c>
      <c r="G83" s="124">
        <v>1</v>
      </c>
      <c r="H83" s="14"/>
      <c r="I83" s="15" t="s">
        <v>698</v>
      </c>
    </row>
    <row r="84" spans="1:9" ht="15" customHeight="1">
      <c r="A84" s="123">
        <v>46028</v>
      </c>
      <c r="B84" s="94"/>
      <c r="C84" s="125" t="s">
        <v>666</v>
      </c>
      <c r="D84" s="15" t="s">
        <v>220</v>
      </c>
      <c r="E84" s="17">
        <v>5</v>
      </c>
      <c r="F84" s="17">
        <v>50</v>
      </c>
      <c r="G84" s="124">
        <v>0.25</v>
      </c>
      <c r="H84" s="14"/>
      <c r="I84" s="15" t="s">
        <v>693</v>
      </c>
    </row>
    <row r="85" spans="1:9" ht="15" customHeight="1">
      <c r="A85" s="123">
        <v>46028</v>
      </c>
      <c r="B85" s="94"/>
      <c r="C85" s="125" t="s">
        <v>666</v>
      </c>
      <c r="D85" s="15" t="s">
        <v>220</v>
      </c>
      <c r="E85" s="17">
        <v>2</v>
      </c>
      <c r="F85" s="17">
        <v>50</v>
      </c>
      <c r="G85" s="124">
        <v>2</v>
      </c>
      <c r="H85" s="14"/>
      <c r="I85" s="15" t="s">
        <v>699</v>
      </c>
    </row>
    <row r="86" spans="1:9" ht="15" customHeight="1">
      <c r="A86" s="123">
        <v>46029</v>
      </c>
      <c r="B86" s="94"/>
      <c r="C86" s="125" t="s">
        <v>666</v>
      </c>
      <c r="D86" s="94" t="s">
        <v>141</v>
      </c>
      <c r="E86" s="17">
        <v>1</v>
      </c>
      <c r="F86" s="17">
        <v>60</v>
      </c>
      <c r="G86" s="124">
        <v>1.2</v>
      </c>
      <c r="H86" s="14"/>
      <c r="I86" s="15" t="s">
        <v>684</v>
      </c>
    </row>
    <row r="87" spans="1:9" ht="15" customHeight="1">
      <c r="A87" s="123">
        <v>46029</v>
      </c>
      <c r="B87" s="94"/>
      <c r="C87" s="125" t="s">
        <v>666</v>
      </c>
      <c r="D87" s="15" t="s">
        <v>142</v>
      </c>
      <c r="E87" s="17">
        <v>5</v>
      </c>
      <c r="F87" s="17">
        <v>50</v>
      </c>
      <c r="G87" s="124">
        <v>0.25</v>
      </c>
      <c r="H87" s="14"/>
      <c r="I87" s="15" t="s">
        <v>693</v>
      </c>
    </row>
    <row r="88" spans="1:9" ht="15" customHeight="1">
      <c r="A88" s="123">
        <v>46029</v>
      </c>
      <c r="B88" s="94"/>
      <c r="C88" s="125" t="s">
        <v>666</v>
      </c>
      <c r="D88" s="15" t="s">
        <v>143</v>
      </c>
      <c r="E88" s="17">
        <v>4</v>
      </c>
      <c r="F88" s="17">
        <v>50</v>
      </c>
      <c r="G88" s="124">
        <v>4</v>
      </c>
      <c r="H88" s="14"/>
      <c r="I88" s="15" t="s">
        <v>669</v>
      </c>
    </row>
    <row r="89" spans="1:9" ht="15" customHeight="1">
      <c r="A89" s="123">
        <v>46029</v>
      </c>
      <c r="B89" s="94"/>
      <c r="C89" s="125" t="s">
        <v>666</v>
      </c>
      <c r="D89" s="15" t="s">
        <v>143</v>
      </c>
      <c r="E89" s="17">
        <v>3</v>
      </c>
      <c r="F89" s="17">
        <v>50</v>
      </c>
      <c r="G89" s="124">
        <v>6</v>
      </c>
      <c r="H89" s="14"/>
      <c r="I89" s="15" t="s">
        <v>670</v>
      </c>
    </row>
    <row r="90" spans="1:9" ht="15" customHeight="1">
      <c r="A90" s="123">
        <v>46029</v>
      </c>
      <c r="B90" s="94"/>
      <c r="C90" s="125" t="s">
        <v>666</v>
      </c>
      <c r="D90" s="15" t="s">
        <v>143</v>
      </c>
      <c r="E90" s="17">
        <v>3</v>
      </c>
      <c r="F90" s="17">
        <v>50</v>
      </c>
      <c r="G90" s="124">
        <v>0.15</v>
      </c>
      <c r="H90" s="14"/>
      <c r="I90" s="15" t="s">
        <v>700</v>
      </c>
    </row>
    <row r="91" spans="1:9" ht="15" customHeight="1">
      <c r="A91" s="123">
        <v>46029</v>
      </c>
      <c r="B91" s="94"/>
      <c r="C91" s="125" t="s">
        <v>666</v>
      </c>
      <c r="D91" s="15" t="s">
        <v>144</v>
      </c>
      <c r="E91" s="17">
        <v>7</v>
      </c>
      <c r="F91" s="17">
        <v>1000</v>
      </c>
      <c r="G91" s="124">
        <v>14</v>
      </c>
      <c r="H91" s="14"/>
      <c r="I91" s="15" t="s">
        <v>672</v>
      </c>
    </row>
    <row r="92" spans="1:9" ht="15" customHeight="1">
      <c r="A92" s="123">
        <v>46029</v>
      </c>
      <c r="B92" s="94"/>
      <c r="C92" s="125" t="s">
        <v>666</v>
      </c>
      <c r="D92" s="15" t="s">
        <v>145</v>
      </c>
      <c r="E92" s="17">
        <v>2</v>
      </c>
      <c r="F92" s="17">
        <v>50</v>
      </c>
      <c r="G92" s="124">
        <v>0.1</v>
      </c>
      <c r="H92" s="14"/>
      <c r="I92" s="15" t="s">
        <v>700</v>
      </c>
    </row>
    <row r="93" spans="1:9" ht="15" customHeight="1">
      <c r="A93" s="123">
        <v>46029</v>
      </c>
      <c r="B93" s="94"/>
      <c r="C93" s="125" t="s">
        <v>666</v>
      </c>
      <c r="D93" s="15" t="s">
        <v>146</v>
      </c>
      <c r="E93" s="17">
        <v>5</v>
      </c>
      <c r="F93" s="17">
        <v>50</v>
      </c>
      <c r="G93" s="124">
        <v>0.25</v>
      </c>
      <c r="H93" s="14"/>
      <c r="I93" s="15" t="s">
        <v>693</v>
      </c>
    </row>
    <row r="94" spans="1:9" ht="15" customHeight="1">
      <c r="A94" s="123">
        <v>46029</v>
      </c>
      <c r="B94" s="94"/>
      <c r="C94" s="125" t="s">
        <v>666</v>
      </c>
      <c r="D94" s="15" t="s">
        <v>147</v>
      </c>
      <c r="E94" s="17">
        <v>5</v>
      </c>
      <c r="F94" s="17">
        <v>50</v>
      </c>
      <c r="G94" s="124">
        <v>0.25</v>
      </c>
      <c r="H94" s="14"/>
      <c r="I94" s="15" t="s">
        <v>693</v>
      </c>
    </row>
    <row r="95" spans="1:9" ht="15" customHeight="1">
      <c r="A95" s="123">
        <v>46029</v>
      </c>
      <c r="B95" s="94"/>
      <c r="C95" s="125" t="s">
        <v>666</v>
      </c>
      <c r="D95" s="15" t="s">
        <v>148</v>
      </c>
      <c r="E95" s="17">
        <v>2</v>
      </c>
      <c r="F95" s="17">
        <v>50</v>
      </c>
      <c r="G95" s="124">
        <v>0.1</v>
      </c>
      <c r="H95" s="14"/>
      <c r="I95" s="15" t="s">
        <v>700</v>
      </c>
    </row>
    <row r="96" spans="1:9" ht="15" customHeight="1">
      <c r="A96" s="123">
        <v>46029</v>
      </c>
      <c r="B96" s="94"/>
      <c r="C96" s="125" t="s">
        <v>666</v>
      </c>
      <c r="D96" s="15" t="s">
        <v>155</v>
      </c>
      <c r="E96" s="17">
        <v>4</v>
      </c>
      <c r="F96" s="17">
        <v>80</v>
      </c>
      <c r="G96" s="124">
        <v>6.4</v>
      </c>
      <c r="H96" s="14"/>
      <c r="I96" s="94" t="s">
        <v>673</v>
      </c>
    </row>
    <row r="97" spans="1:9" ht="15" customHeight="1">
      <c r="A97" s="123">
        <v>46029</v>
      </c>
      <c r="B97" s="94"/>
      <c r="C97" s="125" t="s">
        <v>666</v>
      </c>
      <c r="D97" s="15" t="s">
        <v>159</v>
      </c>
      <c r="E97" s="17">
        <v>2</v>
      </c>
      <c r="F97" s="17">
        <v>50</v>
      </c>
      <c r="G97" s="124">
        <v>0.1</v>
      </c>
      <c r="H97" s="14"/>
      <c r="I97" s="15" t="s">
        <v>700</v>
      </c>
    </row>
    <row r="98" spans="1:9" ht="15" customHeight="1">
      <c r="A98" s="123">
        <v>46029</v>
      </c>
      <c r="B98" s="94"/>
      <c r="C98" s="125" t="s">
        <v>666</v>
      </c>
      <c r="D98" s="15" t="s">
        <v>161</v>
      </c>
      <c r="E98" s="17">
        <v>2</v>
      </c>
      <c r="F98" s="17">
        <v>1000</v>
      </c>
      <c r="G98" s="124">
        <v>2</v>
      </c>
      <c r="H98" s="14"/>
      <c r="I98" s="15" t="s">
        <v>701</v>
      </c>
    </row>
    <row r="99" spans="1:9" ht="15" customHeight="1">
      <c r="A99" s="123">
        <v>46029</v>
      </c>
      <c r="B99" s="94"/>
      <c r="C99" s="125" t="s">
        <v>666</v>
      </c>
      <c r="D99" s="15" t="s">
        <v>174</v>
      </c>
      <c r="E99" s="17">
        <v>2</v>
      </c>
      <c r="F99" s="17">
        <v>1000</v>
      </c>
      <c r="G99" s="124">
        <v>2</v>
      </c>
      <c r="H99" s="14"/>
      <c r="I99" s="15" t="s">
        <v>701</v>
      </c>
    </row>
    <row r="100" spans="1:9" ht="15" customHeight="1">
      <c r="A100" s="123">
        <v>46029</v>
      </c>
      <c r="B100" s="94"/>
      <c r="C100" s="125" t="s">
        <v>666</v>
      </c>
      <c r="D100" s="15" t="s">
        <v>179</v>
      </c>
      <c r="E100" s="17">
        <v>2</v>
      </c>
      <c r="F100" s="17">
        <v>1000</v>
      </c>
      <c r="G100" s="124">
        <v>2</v>
      </c>
      <c r="H100" s="14"/>
      <c r="I100" s="15" t="s">
        <v>702</v>
      </c>
    </row>
    <row r="101" spans="1:9" ht="15" customHeight="1">
      <c r="A101" s="123">
        <v>46029</v>
      </c>
      <c r="B101" s="94"/>
      <c r="C101" s="125" t="s">
        <v>666</v>
      </c>
      <c r="D101" s="15" t="s">
        <v>183</v>
      </c>
      <c r="E101" s="17">
        <v>20</v>
      </c>
      <c r="F101" s="17">
        <v>60</v>
      </c>
      <c r="G101" s="124">
        <v>36</v>
      </c>
      <c r="H101" s="14"/>
      <c r="I101" s="15" t="s">
        <v>676</v>
      </c>
    </row>
    <row r="102" spans="1:9" ht="15" customHeight="1">
      <c r="A102" s="123">
        <v>46029</v>
      </c>
      <c r="B102" s="94"/>
      <c r="C102" s="125" t="s">
        <v>666</v>
      </c>
      <c r="D102" s="15" t="s">
        <v>184</v>
      </c>
      <c r="E102" s="17">
        <v>2</v>
      </c>
      <c r="F102" s="17">
        <v>50</v>
      </c>
      <c r="G102" s="124">
        <v>4</v>
      </c>
      <c r="H102" s="14"/>
      <c r="I102" s="15" t="s">
        <v>678</v>
      </c>
    </row>
    <row r="103" spans="1:9" ht="15" customHeight="1">
      <c r="A103" s="123">
        <v>46029</v>
      </c>
      <c r="B103" s="94"/>
      <c r="C103" s="125" t="s">
        <v>666</v>
      </c>
      <c r="D103" s="15" t="s">
        <v>184</v>
      </c>
      <c r="E103" s="17">
        <v>3</v>
      </c>
      <c r="F103" s="17">
        <v>50</v>
      </c>
      <c r="G103" s="124">
        <v>0.15</v>
      </c>
      <c r="H103" s="14"/>
      <c r="I103" s="15" t="s">
        <v>700</v>
      </c>
    </row>
    <row r="104" spans="1:9" ht="15" customHeight="1">
      <c r="A104" s="123">
        <v>46029</v>
      </c>
      <c r="B104" s="94"/>
      <c r="C104" s="125" t="s">
        <v>666</v>
      </c>
      <c r="D104" s="15" t="s">
        <v>186</v>
      </c>
      <c r="E104" s="17">
        <v>2</v>
      </c>
      <c r="F104" s="17">
        <v>50</v>
      </c>
      <c r="G104" s="124">
        <v>0.1</v>
      </c>
      <c r="H104" s="14"/>
      <c r="I104" s="15" t="s">
        <v>700</v>
      </c>
    </row>
    <row r="105" spans="1:9" ht="15" customHeight="1">
      <c r="A105" s="123">
        <v>46029</v>
      </c>
      <c r="B105" s="94"/>
      <c r="C105" s="125" t="s">
        <v>666</v>
      </c>
      <c r="D105" s="15" t="s">
        <v>192</v>
      </c>
      <c r="E105" s="17">
        <v>2</v>
      </c>
      <c r="F105" s="17">
        <v>50</v>
      </c>
      <c r="G105" s="124">
        <v>0.1</v>
      </c>
      <c r="H105" s="14"/>
      <c r="I105" s="15" t="s">
        <v>700</v>
      </c>
    </row>
    <row r="106" spans="1:9" ht="15" customHeight="1">
      <c r="A106" s="123">
        <v>46029</v>
      </c>
      <c r="B106" s="94"/>
      <c r="C106" s="125" t="s">
        <v>666</v>
      </c>
      <c r="D106" s="15" t="s">
        <v>195</v>
      </c>
      <c r="E106" s="17">
        <v>2</v>
      </c>
      <c r="F106" s="17">
        <v>50</v>
      </c>
      <c r="G106" s="124">
        <v>0.1</v>
      </c>
      <c r="H106" s="14"/>
      <c r="I106" s="15" t="s">
        <v>700</v>
      </c>
    </row>
    <row r="107" spans="1:9" ht="15" customHeight="1">
      <c r="A107" s="123">
        <v>46029</v>
      </c>
      <c r="B107" s="94"/>
      <c r="C107" s="125" t="s">
        <v>666</v>
      </c>
      <c r="D107" s="15" t="s">
        <v>204</v>
      </c>
      <c r="E107" s="17">
        <v>2</v>
      </c>
      <c r="F107" s="17">
        <v>60</v>
      </c>
      <c r="G107" s="124">
        <v>1.8</v>
      </c>
      <c r="H107" s="14"/>
      <c r="I107" s="15" t="s">
        <v>695</v>
      </c>
    </row>
    <row r="108" spans="1:9" ht="15" customHeight="1">
      <c r="A108" s="123">
        <v>46029</v>
      </c>
      <c r="B108" s="94"/>
      <c r="C108" s="125" t="s">
        <v>666</v>
      </c>
      <c r="D108" s="15" t="s">
        <v>204</v>
      </c>
      <c r="E108" s="17">
        <v>14</v>
      </c>
      <c r="F108" s="17">
        <v>60</v>
      </c>
      <c r="G108" s="124">
        <v>25.2</v>
      </c>
      <c r="H108" s="14"/>
      <c r="I108" s="15" t="s">
        <v>681</v>
      </c>
    </row>
    <row r="109" spans="1:9" ht="15" customHeight="1">
      <c r="A109" s="123">
        <v>46029</v>
      </c>
      <c r="B109" s="94"/>
      <c r="C109" s="125" t="s">
        <v>666</v>
      </c>
      <c r="D109" s="15" t="s">
        <v>205</v>
      </c>
      <c r="E109" s="17">
        <v>2</v>
      </c>
      <c r="F109" s="17">
        <v>60</v>
      </c>
      <c r="G109" s="124">
        <v>1.8</v>
      </c>
      <c r="H109" s="14"/>
      <c r="I109" s="15" t="s">
        <v>696</v>
      </c>
    </row>
    <row r="110" spans="1:9" ht="15" customHeight="1">
      <c r="A110" s="123">
        <v>46029</v>
      </c>
      <c r="B110" s="94"/>
      <c r="C110" s="125" t="s">
        <v>666</v>
      </c>
      <c r="D110" s="15" t="s">
        <v>205</v>
      </c>
      <c r="E110" s="17">
        <v>9</v>
      </c>
      <c r="F110" s="17">
        <v>60</v>
      </c>
      <c r="G110" s="124">
        <v>16.2</v>
      </c>
      <c r="H110" s="14"/>
      <c r="I110" s="15" t="s">
        <v>682</v>
      </c>
    </row>
    <row r="111" spans="1:9" ht="15" customHeight="1">
      <c r="A111" s="123">
        <v>46029</v>
      </c>
      <c r="B111" s="94"/>
      <c r="C111" s="125" t="s">
        <v>666</v>
      </c>
      <c r="D111" s="15" t="s">
        <v>206</v>
      </c>
      <c r="E111" s="17">
        <v>2</v>
      </c>
      <c r="F111" s="17">
        <v>30</v>
      </c>
      <c r="G111" s="124">
        <v>3.6</v>
      </c>
      <c r="H111" s="14"/>
      <c r="I111" s="15" t="s">
        <v>683</v>
      </c>
    </row>
    <row r="112" spans="1:9" ht="15" customHeight="1">
      <c r="A112" s="123">
        <v>46029</v>
      </c>
      <c r="B112" s="94"/>
      <c r="C112" s="125" t="s">
        <v>666</v>
      </c>
      <c r="D112" s="15" t="s">
        <v>219</v>
      </c>
      <c r="E112" s="17">
        <v>2</v>
      </c>
      <c r="F112" s="17">
        <v>50</v>
      </c>
      <c r="G112" s="124">
        <v>0.1</v>
      </c>
      <c r="H112" s="14"/>
      <c r="I112" s="15" t="s">
        <v>700</v>
      </c>
    </row>
    <row r="113" spans="1:9" ht="15" customHeight="1">
      <c r="A113" s="123">
        <v>46029</v>
      </c>
      <c r="B113" s="94"/>
      <c r="C113" s="125" t="s">
        <v>666</v>
      </c>
      <c r="D113" s="15" t="s">
        <v>220</v>
      </c>
      <c r="E113" s="17">
        <v>5</v>
      </c>
      <c r="F113" s="17">
        <v>50</v>
      </c>
      <c r="G113" s="124">
        <v>0.25</v>
      </c>
      <c r="H113" s="14"/>
      <c r="I113" s="15" t="s">
        <v>693</v>
      </c>
    </row>
    <row r="114" spans="1:9" ht="15" customHeight="1">
      <c r="A114" s="123">
        <v>46030</v>
      </c>
      <c r="B114" s="94"/>
      <c r="C114" s="125" t="s">
        <v>666</v>
      </c>
      <c r="D114" s="15" t="s">
        <v>142</v>
      </c>
      <c r="E114" s="17">
        <v>40</v>
      </c>
      <c r="F114" s="17">
        <v>50</v>
      </c>
      <c r="G114" s="124">
        <v>2</v>
      </c>
      <c r="H114" s="14"/>
      <c r="I114" s="15" t="s">
        <v>703</v>
      </c>
    </row>
    <row r="115" spans="1:9" ht="15" customHeight="1">
      <c r="A115" s="123">
        <v>46030</v>
      </c>
      <c r="B115" s="94"/>
      <c r="C115" s="125" t="s">
        <v>666</v>
      </c>
      <c r="D115" s="15" t="s">
        <v>143</v>
      </c>
      <c r="E115" s="17">
        <v>2</v>
      </c>
      <c r="F115" s="17">
        <v>50</v>
      </c>
      <c r="G115" s="124">
        <v>2</v>
      </c>
      <c r="H115" s="14"/>
      <c r="I115" s="15" t="s">
        <v>669</v>
      </c>
    </row>
    <row r="116" spans="1:9" ht="15" customHeight="1">
      <c r="A116" s="123">
        <v>46030</v>
      </c>
      <c r="B116" s="94"/>
      <c r="C116" s="125" t="s">
        <v>666</v>
      </c>
      <c r="D116" s="15" t="s">
        <v>143</v>
      </c>
      <c r="E116" s="17">
        <v>2</v>
      </c>
      <c r="F116" s="17">
        <v>50</v>
      </c>
      <c r="G116" s="124">
        <v>4</v>
      </c>
      <c r="H116" s="14"/>
      <c r="I116" s="15" t="s">
        <v>670</v>
      </c>
    </row>
    <row r="117" spans="1:9" ht="15" customHeight="1">
      <c r="A117" s="123">
        <v>46030</v>
      </c>
      <c r="B117" s="94"/>
      <c r="C117" s="125" t="s">
        <v>666</v>
      </c>
      <c r="D117" s="15" t="s">
        <v>143</v>
      </c>
      <c r="E117" s="17">
        <v>3</v>
      </c>
      <c r="F117" s="17">
        <v>50</v>
      </c>
      <c r="G117" s="124">
        <v>0.15</v>
      </c>
      <c r="H117" s="14"/>
      <c r="I117" s="15" t="s">
        <v>700</v>
      </c>
    </row>
    <row r="118" spans="1:9" ht="15" customHeight="1">
      <c r="A118" s="123">
        <v>46030</v>
      </c>
      <c r="B118" s="94"/>
      <c r="C118" s="125" t="s">
        <v>666</v>
      </c>
      <c r="D118" s="15" t="s">
        <v>143</v>
      </c>
      <c r="E118" s="17">
        <v>5</v>
      </c>
      <c r="F118" s="17">
        <v>50</v>
      </c>
      <c r="G118" s="124">
        <v>0.25</v>
      </c>
      <c r="H118" s="14"/>
      <c r="I118" s="15" t="s">
        <v>671</v>
      </c>
    </row>
    <row r="119" spans="1:9" ht="15" customHeight="1">
      <c r="A119" s="123">
        <v>46030</v>
      </c>
      <c r="B119" s="94"/>
      <c r="C119" s="125" t="s">
        <v>666</v>
      </c>
      <c r="D119" s="15" t="s">
        <v>144</v>
      </c>
      <c r="E119" s="17">
        <v>4</v>
      </c>
      <c r="F119" s="17">
        <v>1000</v>
      </c>
      <c r="G119" s="124">
        <v>8</v>
      </c>
      <c r="H119" s="14"/>
      <c r="I119" s="15" t="s">
        <v>672</v>
      </c>
    </row>
    <row r="120" spans="1:9" ht="15" customHeight="1">
      <c r="A120" s="123">
        <v>46030</v>
      </c>
      <c r="B120" s="94"/>
      <c r="C120" s="125" t="s">
        <v>666</v>
      </c>
      <c r="D120" s="15" t="s">
        <v>145</v>
      </c>
      <c r="E120" s="17">
        <v>2</v>
      </c>
      <c r="F120" s="17">
        <v>50</v>
      </c>
      <c r="G120" s="124">
        <v>0.1</v>
      </c>
      <c r="H120" s="14"/>
      <c r="I120" s="15" t="s">
        <v>700</v>
      </c>
    </row>
    <row r="121" spans="1:9" ht="15" customHeight="1">
      <c r="A121" s="123">
        <v>46030</v>
      </c>
      <c r="B121" s="94"/>
      <c r="C121" s="125" t="s">
        <v>666</v>
      </c>
      <c r="D121" s="15" t="s">
        <v>145</v>
      </c>
      <c r="E121" s="17">
        <v>5</v>
      </c>
      <c r="F121" s="17">
        <v>50</v>
      </c>
      <c r="G121" s="124">
        <v>0.25</v>
      </c>
      <c r="H121" s="14"/>
      <c r="I121" s="15" t="s">
        <v>671</v>
      </c>
    </row>
    <row r="122" spans="1:9" ht="15" customHeight="1">
      <c r="A122" s="123">
        <v>46030</v>
      </c>
      <c r="B122" s="94"/>
      <c r="C122" s="125" t="s">
        <v>666</v>
      </c>
      <c r="D122" s="15" t="s">
        <v>146</v>
      </c>
      <c r="E122" s="17">
        <v>1</v>
      </c>
      <c r="F122" s="17">
        <v>50</v>
      </c>
      <c r="G122" s="124">
        <v>1</v>
      </c>
      <c r="H122" s="14"/>
      <c r="I122" s="15" t="s">
        <v>704</v>
      </c>
    </row>
    <row r="123" spans="1:9" ht="15" customHeight="1">
      <c r="A123" s="123">
        <v>46030</v>
      </c>
      <c r="B123" s="94"/>
      <c r="C123" s="125" t="s">
        <v>666</v>
      </c>
      <c r="D123" s="15" t="s">
        <v>146</v>
      </c>
      <c r="E123" s="17">
        <v>40</v>
      </c>
      <c r="F123" s="17">
        <v>50</v>
      </c>
      <c r="G123" s="124">
        <v>2</v>
      </c>
      <c r="H123" s="14"/>
      <c r="I123" s="15" t="s">
        <v>703</v>
      </c>
    </row>
    <row r="124" spans="1:9" ht="15" customHeight="1">
      <c r="A124" s="123">
        <v>46030</v>
      </c>
      <c r="B124" s="94"/>
      <c r="C124" s="125" t="s">
        <v>666</v>
      </c>
      <c r="D124" s="15" t="s">
        <v>147</v>
      </c>
      <c r="E124" s="17">
        <v>40</v>
      </c>
      <c r="F124" s="17">
        <v>50</v>
      </c>
      <c r="G124" s="124">
        <v>2</v>
      </c>
      <c r="H124" s="14"/>
      <c r="I124" s="15" t="s">
        <v>703</v>
      </c>
    </row>
    <row r="125" spans="1:9" ht="15" customHeight="1">
      <c r="A125" s="123">
        <v>46030</v>
      </c>
      <c r="B125" s="94"/>
      <c r="C125" s="125" t="s">
        <v>666</v>
      </c>
      <c r="D125" s="15" t="s">
        <v>148</v>
      </c>
      <c r="E125" s="17">
        <v>2</v>
      </c>
      <c r="F125" s="17">
        <v>50</v>
      </c>
      <c r="G125" s="124">
        <v>0.1</v>
      </c>
      <c r="H125" s="14"/>
      <c r="I125" s="15" t="s">
        <v>700</v>
      </c>
    </row>
    <row r="126" spans="1:9" ht="15" customHeight="1">
      <c r="A126" s="123">
        <v>46030</v>
      </c>
      <c r="B126" s="94"/>
      <c r="C126" s="125" t="s">
        <v>666</v>
      </c>
      <c r="D126" s="15" t="s">
        <v>148</v>
      </c>
      <c r="E126" s="17">
        <v>4</v>
      </c>
      <c r="F126" s="17">
        <v>50</v>
      </c>
      <c r="G126" s="124">
        <v>0.2</v>
      </c>
      <c r="H126" s="14"/>
      <c r="I126" s="15" t="s">
        <v>671</v>
      </c>
    </row>
    <row r="127" spans="1:9" ht="15" customHeight="1">
      <c r="A127" s="123">
        <v>46030</v>
      </c>
      <c r="B127" s="94"/>
      <c r="C127" s="125" t="s">
        <v>666</v>
      </c>
      <c r="D127" s="15" t="s">
        <v>155</v>
      </c>
      <c r="E127" s="17">
        <v>6</v>
      </c>
      <c r="F127" s="17">
        <v>80</v>
      </c>
      <c r="G127" s="124">
        <v>9.6</v>
      </c>
      <c r="H127" s="14"/>
      <c r="I127" s="94" t="s">
        <v>673</v>
      </c>
    </row>
    <row r="128" spans="1:9" ht="15" customHeight="1">
      <c r="A128" s="123">
        <v>46030</v>
      </c>
      <c r="B128" s="94"/>
      <c r="C128" s="125" t="s">
        <v>666</v>
      </c>
      <c r="D128" s="15" t="s">
        <v>159</v>
      </c>
      <c r="E128" s="17">
        <v>2</v>
      </c>
      <c r="F128" s="17">
        <v>50</v>
      </c>
      <c r="G128" s="124">
        <v>0.1</v>
      </c>
      <c r="H128" s="14"/>
      <c r="I128" s="15" t="s">
        <v>700</v>
      </c>
    </row>
    <row r="129" spans="1:9" ht="15" customHeight="1">
      <c r="A129" s="123">
        <v>46030</v>
      </c>
      <c r="B129" s="94"/>
      <c r="C129" s="125" t="s">
        <v>666</v>
      </c>
      <c r="D129" s="15" t="s">
        <v>159</v>
      </c>
      <c r="E129" s="17">
        <v>4</v>
      </c>
      <c r="F129" s="17">
        <v>50</v>
      </c>
      <c r="G129" s="124">
        <v>0.2</v>
      </c>
      <c r="H129" s="14"/>
      <c r="I129" s="15" t="s">
        <v>671</v>
      </c>
    </row>
    <row r="130" spans="1:9" ht="15" customHeight="1">
      <c r="A130" s="123">
        <v>46030</v>
      </c>
      <c r="B130" s="94"/>
      <c r="C130" s="125" t="s">
        <v>666</v>
      </c>
      <c r="D130" s="15" t="s">
        <v>174</v>
      </c>
      <c r="E130" s="17">
        <v>9</v>
      </c>
      <c r="F130" s="17">
        <v>1000</v>
      </c>
      <c r="G130" s="124">
        <v>9</v>
      </c>
      <c r="H130" s="14"/>
      <c r="I130" s="15" t="s">
        <v>674</v>
      </c>
    </row>
    <row r="131" spans="1:9" ht="15" customHeight="1">
      <c r="A131" s="123">
        <v>46030</v>
      </c>
      <c r="B131" s="94"/>
      <c r="C131" s="125" t="s">
        <v>666</v>
      </c>
      <c r="D131" s="15" t="s">
        <v>181</v>
      </c>
      <c r="E131" s="17">
        <v>4</v>
      </c>
      <c r="F131" s="17">
        <v>1000</v>
      </c>
      <c r="G131" s="124">
        <v>4</v>
      </c>
      <c r="H131" s="14"/>
      <c r="I131" s="94" t="s">
        <v>705</v>
      </c>
    </row>
    <row r="132" spans="1:9" ht="15" customHeight="1">
      <c r="A132" s="123">
        <v>46030</v>
      </c>
      <c r="B132" s="94"/>
      <c r="C132" s="125" t="s">
        <v>666</v>
      </c>
      <c r="D132" s="15" t="s">
        <v>183</v>
      </c>
      <c r="E132" s="17">
        <v>16</v>
      </c>
      <c r="F132" s="17">
        <v>60</v>
      </c>
      <c r="G132" s="124">
        <v>28.8</v>
      </c>
      <c r="H132" s="14"/>
      <c r="I132" s="15" t="s">
        <v>676</v>
      </c>
    </row>
    <row r="133" spans="1:9" ht="15" customHeight="1">
      <c r="A133" s="123">
        <v>46030</v>
      </c>
      <c r="B133" s="94"/>
      <c r="C133" s="125" t="s">
        <v>666</v>
      </c>
      <c r="D133" s="15" t="s">
        <v>184</v>
      </c>
      <c r="E133" s="17">
        <v>3</v>
      </c>
      <c r="F133" s="17">
        <v>50</v>
      </c>
      <c r="G133" s="124">
        <v>6</v>
      </c>
      <c r="H133" s="14"/>
      <c r="I133" s="15" t="s">
        <v>678</v>
      </c>
    </row>
    <row r="134" spans="1:9" ht="15" customHeight="1">
      <c r="A134" s="123">
        <v>46030</v>
      </c>
      <c r="B134" s="94"/>
      <c r="C134" s="125" t="s">
        <v>666</v>
      </c>
      <c r="D134" s="15" t="s">
        <v>184</v>
      </c>
      <c r="E134" s="17">
        <v>3</v>
      </c>
      <c r="F134" s="17">
        <v>50</v>
      </c>
      <c r="G134" s="124">
        <v>0.15</v>
      </c>
      <c r="H134" s="14"/>
      <c r="I134" s="15" t="s">
        <v>700</v>
      </c>
    </row>
    <row r="135" spans="1:9" ht="15" customHeight="1">
      <c r="A135" s="123">
        <v>46030</v>
      </c>
      <c r="B135" s="94"/>
      <c r="C135" s="125" t="s">
        <v>666</v>
      </c>
      <c r="D135" s="15" t="s">
        <v>184</v>
      </c>
      <c r="E135" s="17">
        <v>5</v>
      </c>
      <c r="F135" s="17">
        <v>50</v>
      </c>
      <c r="G135" s="124">
        <v>0.25</v>
      </c>
      <c r="H135" s="14"/>
      <c r="I135" s="15" t="s">
        <v>671</v>
      </c>
    </row>
    <row r="136" spans="1:9" ht="15" customHeight="1">
      <c r="A136" s="123">
        <v>46030</v>
      </c>
      <c r="B136" s="94"/>
      <c r="C136" s="125" t="s">
        <v>666</v>
      </c>
      <c r="D136" s="15" t="s">
        <v>186</v>
      </c>
      <c r="E136" s="17">
        <v>2</v>
      </c>
      <c r="F136" s="17">
        <v>50</v>
      </c>
      <c r="G136" s="124">
        <v>0.1</v>
      </c>
      <c r="H136" s="14"/>
      <c r="I136" s="15" t="s">
        <v>700</v>
      </c>
    </row>
    <row r="137" spans="1:9" ht="15" customHeight="1">
      <c r="A137" s="123">
        <v>46030</v>
      </c>
      <c r="B137" s="94"/>
      <c r="C137" s="125" t="s">
        <v>666</v>
      </c>
      <c r="D137" s="15" t="s">
        <v>186</v>
      </c>
      <c r="E137" s="17">
        <v>4</v>
      </c>
      <c r="F137" s="17">
        <v>50</v>
      </c>
      <c r="G137" s="124">
        <v>0.2</v>
      </c>
      <c r="H137" s="14"/>
      <c r="I137" s="15" t="s">
        <v>671</v>
      </c>
    </row>
    <row r="138" spans="1:9" ht="15" customHeight="1">
      <c r="A138" s="123">
        <v>46030</v>
      </c>
      <c r="B138" s="94"/>
      <c r="C138" s="125" t="s">
        <v>666</v>
      </c>
      <c r="D138" s="15" t="s">
        <v>192</v>
      </c>
      <c r="E138" s="17">
        <v>2</v>
      </c>
      <c r="F138" s="17">
        <v>50</v>
      </c>
      <c r="G138" s="124">
        <v>0.1</v>
      </c>
      <c r="H138" s="14"/>
      <c r="I138" s="15" t="s">
        <v>700</v>
      </c>
    </row>
    <row r="139" spans="1:9" ht="15" customHeight="1">
      <c r="A139" s="123">
        <v>46030</v>
      </c>
      <c r="B139" s="94"/>
      <c r="C139" s="125" t="s">
        <v>666</v>
      </c>
      <c r="D139" s="15" t="s">
        <v>192</v>
      </c>
      <c r="E139" s="17">
        <v>5</v>
      </c>
      <c r="F139" s="17">
        <v>50</v>
      </c>
      <c r="G139" s="124">
        <v>0.25</v>
      </c>
      <c r="H139" s="14"/>
      <c r="I139" s="15" t="s">
        <v>671</v>
      </c>
    </row>
    <row r="140" spans="1:9" ht="15" customHeight="1">
      <c r="A140" s="123">
        <v>46030</v>
      </c>
      <c r="B140" s="94"/>
      <c r="C140" s="125" t="s">
        <v>666</v>
      </c>
      <c r="D140" s="15" t="s">
        <v>195</v>
      </c>
      <c r="E140" s="17">
        <v>2</v>
      </c>
      <c r="F140" s="17">
        <v>50</v>
      </c>
      <c r="G140" s="124">
        <v>0.1</v>
      </c>
      <c r="H140" s="14"/>
      <c r="I140" s="15" t="s">
        <v>700</v>
      </c>
    </row>
    <row r="141" spans="1:9" ht="15" customHeight="1">
      <c r="A141" s="123">
        <v>46030</v>
      </c>
      <c r="B141" s="94"/>
      <c r="C141" s="125" t="s">
        <v>666</v>
      </c>
      <c r="D141" s="15" t="s">
        <v>195</v>
      </c>
      <c r="E141" s="17">
        <v>4</v>
      </c>
      <c r="F141" s="17">
        <v>50</v>
      </c>
      <c r="G141" s="124">
        <v>0.2</v>
      </c>
      <c r="H141" s="14"/>
      <c r="I141" s="15" t="s">
        <v>671</v>
      </c>
    </row>
    <row r="142" spans="1:9" ht="15" customHeight="1">
      <c r="A142" s="123">
        <v>46030</v>
      </c>
      <c r="B142" s="94"/>
      <c r="C142" s="125" t="s">
        <v>666</v>
      </c>
      <c r="D142" s="15" t="s">
        <v>222</v>
      </c>
      <c r="E142" s="17">
        <v>2</v>
      </c>
      <c r="F142" s="17">
        <v>40</v>
      </c>
      <c r="G142" s="124">
        <v>1.6</v>
      </c>
      <c r="H142" s="14"/>
      <c r="I142" s="15" t="s">
        <v>679</v>
      </c>
    </row>
    <row r="143" spans="1:9" ht="15" customHeight="1">
      <c r="A143" s="123">
        <v>46030</v>
      </c>
      <c r="B143" s="94"/>
      <c r="C143" s="125" t="s">
        <v>666</v>
      </c>
      <c r="D143" s="15" t="s">
        <v>221</v>
      </c>
      <c r="E143" s="17">
        <v>2</v>
      </c>
      <c r="F143" s="17">
        <v>40</v>
      </c>
      <c r="G143" s="124">
        <v>1.6</v>
      </c>
      <c r="H143" s="14"/>
      <c r="I143" s="15" t="s">
        <v>680</v>
      </c>
    </row>
    <row r="144" spans="1:9" ht="15" customHeight="1">
      <c r="A144" s="123">
        <v>46030</v>
      </c>
      <c r="B144" s="94"/>
      <c r="C144" s="125" t="s">
        <v>666</v>
      </c>
      <c r="D144" s="15" t="s">
        <v>204</v>
      </c>
      <c r="E144" s="17">
        <v>12</v>
      </c>
      <c r="F144" s="17">
        <v>60</v>
      </c>
      <c r="G144" s="124">
        <v>21.6</v>
      </c>
      <c r="H144" s="14"/>
      <c r="I144" s="15" t="s">
        <v>681</v>
      </c>
    </row>
    <row r="145" spans="1:9" ht="15" customHeight="1">
      <c r="A145" s="123">
        <v>46030</v>
      </c>
      <c r="B145" s="94"/>
      <c r="C145" s="125" t="s">
        <v>666</v>
      </c>
      <c r="D145" s="15" t="s">
        <v>205</v>
      </c>
      <c r="E145" s="17">
        <v>8</v>
      </c>
      <c r="F145" s="17">
        <v>60</v>
      </c>
      <c r="G145" s="124">
        <v>14.4</v>
      </c>
      <c r="H145" s="14"/>
      <c r="I145" s="15" t="s">
        <v>682</v>
      </c>
    </row>
    <row r="146" spans="1:9" ht="15" customHeight="1">
      <c r="A146" s="123">
        <v>46030</v>
      </c>
      <c r="B146" s="94"/>
      <c r="C146" s="125" t="s">
        <v>666</v>
      </c>
      <c r="D146" s="15" t="s">
        <v>219</v>
      </c>
      <c r="E146" s="17">
        <v>2</v>
      </c>
      <c r="F146" s="17">
        <v>50</v>
      </c>
      <c r="G146" s="124">
        <v>0.1</v>
      </c>
      <c r="H146" s="14"/>
      <c r="I146" s="15" t="s">
        <v>700</v>
      </c>
    </row>
    <row r="147" spans="1:9" ht="15" customHeight="1">
      <c r="A147" s="123">
        <v>46030</v>
      </c>
      <c r="B147" s="94"/>
      <c r="C147" s="125" t="s">
        <v>666</v>
      </c>
      <c r="D147" s="15" t="s">
        <v>219</v>
      </c>
      <c r="E147" s="17">
        <v>4</v>
      </c>
      <c r="F147" s="17">
        <v>50</v>
      </c>
      <c r="G147" s="124">
        <v>0.2</v>
      </c>
      <c r="H147" s="14"/>
      <c r="I147" s="15" t="s">
        <v>671</v>
      </c>
    </row>
    <row r="148" spans="1:9" ht="15" customHeight="1">
      <c r="A148" s="123">
        <v>46030</v>
      </c>
      <c r="B148" s="94"/>
      <c r="C148" s="125" t="s">
        <v>666</v>
      </c>
      <c r="D148" s="15" t="s">
        <v>220</v>
      </c>
      <c r="E148" s="17">
        <v>40</v>
      </c>
      <c r="F148" s="17">
        <v>50</v>
      </c>
      <c r="G148" s="124">
        <v>2</v>
      </c>
      <c r="H148" s="14"/>
      <c r="I148" s="15" t="s">
        <v>703</v>
      </c>
    </row>
    <row r="149" spans="1:9" ht="15" customHeight="1">
      <c r="A149" s="123">
        <v>46031</v>
      </c>
      <c r="B149" s="94"/>
      <c r="C149" s="125" t="s">
        <v>666</v>
      </c>
      <c r="D149" s="94" t="s">
        <v>141</v>
      </c>
      <c r="E149" s="17">
        <v>1</v>
      </c>
      <c r="F149" s="17">
        <v>60</v>
      </c>
      <c r="G149" s="124">
        <v>1.2</v>
      </c>
      <c r="H149" s="14"/>
      <c r="I149" s="94" t="s">
        <v>692</v>
      </c>
    </row>
    <row r="150" spans="1:9" ht="15" customHeight="1">
      <c r="A150" s="123">
        <v>46031</v>
      </c>
      <c r="B150" s="94"/>
      <c r="C150" s="125" t="s">
        <v>666</v>
      </c>
      <c r="D150" s="15" t="s">
        <v>142</v>
      </c>
      <c r="E150" s="17">
        <v>10</v>
      </c>
      <c r="F150" s="17">
        <v>50</v>
      </c>
      <c r="G150" s="124">
        <v>0.5</v>
      </c>
      <c r="H150" s="14"/>
      <c r="I150" s="15" t="s">
        <v>668</v>
      </c>
    </row>
    <row r="151" spans="1:9" ht="15" customHeight="1">
      <c r="A151" s="123">
        <v>46031</v>
      </c>
      <c r="B151" s="94"/>
      <c r="C151" s="125" t="s">
        <v>666</v>
      </c>
      <c r="D151" s="15" t="s">
        <v>143</v>
      </c>
      <c r="E151" s="17">
        <v>5</v>
      </c>
      <c r="F151" s="17">
        <v>50</v>
      </c>
      <c r="G151" s="124">
        <v>10</v>
      </c>
      <c r="H151" s="14"/>
      <c r="I151" s="15" t="s">
        <v>670</v>
      </c>
    </row>
    <row r="152" spans="1:9" ht="15" customHeight="1">
      <c r="A152" s="123">
        <v>46031</v>
      </c>
      <c r="B152" s="94"/>
      <c r="C152" s="125" t="s">
        <v>666</v>
      </c>
      <c r="D152" s="15" t="s">
        <v>144</v>
      </c>
      <c r="E152" s="17">
        <v>6</v>
      </c>
      <c r="F152" s="17">
        <v>1000</v>
      </c>
      <c r="G152" s="124">
        <v>12</v>
      </c>
      <c r="H152" s="14"/>
      <c r="I152" s="15" t="s">
        <v>672</v>
      </c>
    </row>
    <row r="153" spans="1:9" ht="15" customHeight="1">
      <c r="A153" s="123">
        <v>46031</v>
      </c>
      <c r="B153" s="94"/>
      <c r="C153" s="125" t="s">
        <v>666</v>
      </c>
      <c r="D153" s="15" t="s">
        <v>146</v>
      </c>
      <c r="E153" s="17">
        <v>10</v>
      </c>
      <c r="F153" s="17">
        <v>50</v>
      </c>
      <c r="G153" s="124">
        <v>0.5</v>
      </c>
      <c r="H153" s="14"/>
      <c r="I153" s="15" t="s">
        <v>668</v>
      </c>
    </row>
    <row r="154" spans="1:9" ht="15" customHeight="1">
      <c r="A154" s="123">
        <v>46031</v>
      </c>
      <c r="B154" s="94"/>
      <c r="C154" s="125" t="s">
        <v>666</v>
      </c>
      <c r="D154" s="15" t="s">
        <v>147</v>
      </c>
      <c r="E154" s="17">
        <v>10</v>
      </c>
      <c r="F154" s="17">
        <v>50</v>
      </c>
      <c r="G154" s="124">
        <v>0.5</v>
      </c>
      <c r="H154" s="14"/>
      <c r="I154" s="15" t="s">
        <v>668</v>
      </c>
    </row>
    <row r="155" spans="1:9" ht="15" customHeight="1">
      <c r="A155" s="123">
        <v>46031</v>
      </c>
      <c r="B155" s="94"/>
      <c r="C155" s="125" t="s">
        <v>666</v>
      </c>
      <c r="D155" s="15" t="s">
        <v>155</v>
      </c>
      <c r="E155" s="17">
        <v>5</v>
      </c>
      <c r="F155" s="17">
        <v>80</v>
      </c>
      <c r="G155" s="124">
        <v>8</v>
      </c>
      <c r="H155" s="14"/>
      <c r="I155" s="94" t="s">
        <v>673</v>
      </c>
    </row>
    <row r="156" spans="1:9" ht="15" customHeight="1">
      <c r="A156" s="123">
        <v>46031</v>
      </c>
      <c r="B156" s="94"/>
      <c r="C156" s="125" t="s">
        <v>666</v>
      </c>
      <c r="D156" s="15" t="s">
        <v>169</v>
      </c>
      <c r="E156" s="17">
        <v>2</v>
      </c>
      <c r="F156" s="17">
        <v>1000</v>
      </c>
      <c r="G156" s="124">
        <v>2</v>
      </c>
      <c r="H156" s="14"/>
      <c r="I156" s="15" t="s">
        <v>706</v>
      </c>
    </row>
    <row r="157" spans="1:9" ht="15" customHeight="1">
      <c r="A157" s="123">
        <v>46031</v>
      </c>
      <c r="B157" s="94"/>
      <c r="C157" s="125" t="s">
        <v>666</v>
      </c>
      <c r="D157" s="15" t="s">
        <v>174</v>
      </c>
      <c r="E157" s="17">
        <v>2</v>
      </c>
      <c r="F157" s="17">
        <v>1000</v>
      </c>
      <c r="G157" s="124">
        <v>2</v>
      </c>
      <c r="H157" s="14"/>
      <c r="I157" s="15" t="s">
        <v>674</v>
      </c>
    </row>
    <row r="158" spans="1:9" ht="15" customHeight="1">
      <c r="A158" s="123">
        <v>46031</v>
      </c>
      <c r="B158" s="94"/>
      <c r="C158" s="125" t="s">
        <v>666</v>
      </c>
      <c r="D158" s="15" t="s">
        <v>183</v>
      </c>
      <c r="E158" s="17">
        <v>15</v>
      </c>
      <c r="F158" s="17">
        <v>60</v>
      </c>
      <c r="G158" s="124">
        <v>27</v>
      </c>
      <c r="H158" s="14"/>
      <c r="I158" s="15" t="s">
        <v>676</v>
      </c>
    </row>
    <row r="159" spans="1:9" ht="15" customHeight="1">
      <c r="A159" s="123">
        <v>46031</v>
      </c>
      <c r="B159" s="94"/>
      <c r="C159" s="125" t="s">
        <v>666</v>
      </c>
      <c r="D159" s="15" t="s">
        <v>184</v>
      </c>
      <c r="E159" s="17">
        <v>3</v>
      </c>
      <c r="F159" s="17">
        <v>50</v>
      </c>
      <c r="G159" s="124">
        <v>6</v>
      </c>
      <c r="H159" s="14"/>
      <c r="I159" s="15" t="s">
        <v>678</v>
      </c>
    </row>
    <row r="160" spans="1:9" ht="15" customHeight="1">
      <c r="A160" s="123">
        <v>46031</v>
      </c>
      <c r="B160" s="94"/>
      <c r="C160" s="125" t="s">
        <v>666</v>
      </c>
      <c r="D160" s="15" t="s">
        <v>222</v>
      </c>
      <c r="E160" s="17">
        <v>1</v>
      </c>
      <c r="F160" s="17">
        <v>40</v>
      </c>
      <c r="G160" s="124">
        <v>0.8</v>
      </c>
      <c r="H160" s="14"/>
      <c r="I160" s="15" t="s">
        <v>679</v>
      </c>
    </row>
    <row r="161" spans="1:9" ht="15" customHeight="1">
      <c r="A161" s="123">
        <v>46031</v>
      </c>
      <c r="B161" s="94"/>
      <c r="C161" s="125" t="s">
        <v>666</v>
      </c>
      <c r="D161" s="15" t="s">
        <v>204</v>
      </c>
      <c r="E161" s="17">
        <v>15</v>
      </c>
      <c r="F161" s="17">
        <v>60</v>
      </c>
      <c r="G161" s="124">
        <v>27</v>
      </c>
      <c r="H161" s="14"/>
      <c r="I161" s="15" t="s">
        <v>681</v>
      </c>
    </row>
    <row r="162" spans="1:9" ht="15" customHeight="1">
      <c r="A162" s="123">
        <v>46031</v>
      </c>
      <c r="B162" s="94"/>
      <c r="C162" s="125" t="s">
        <v>666</v>
      </c>
      <c r="D162" s="15" t="s">
        <v>205</v>
      </c>
      <c r="E162" s="17">
        <v>5</v>
      </c>
      <c r="F162" s="17">
        <v>60</v>
      </c>
      <c r="G162" s="124">
        <v>9</v>
      </c>
      <c r="H162" s="14"/>
      <c r="I162" s="15" t="s">
        <v>682</v>
      </c>
    </row>
    <row r="163" spans="1:9" ht="15" customHeight="1">
      <c r="A163" s="123">
        <v>46031</v>
      </c>
      <c r="B163" s="94"/>
      <c r="C163" s="125" t="s">
        <v>666</v>
      </c>
      <c r="D163" s="15" t="s">
        <v>220</v>
      </c>
      <c r="E163" s="17">
        <v>10</v>
      </c>
      <c r="F163" s="17">
        <v>50</v>
      </c>
      <c r="G163" s="124">
        <v>0.5</v>
      </c>
      <c r="H163" s="14"/>
      <c r="I163" s="15" t="s">
        <v>668</v>
      </c>
    </row>
    <row r="164" spans="1:9" ht="15" customHeight="1">
      <c r="A164" s="123">
        <v>46034</v>
      </c>
      <c r="B164" s="94"/>
      <c r="C164" s="125" t="s">
        <v>666</v>
      </c>
      <c r="D164" s="94" t="s">
        <v>141</v>
      </c>
      <c r="E164" s="17">
        <v>2</v>
      </c>
      <c r="F164" s="17">
        <v>60</v>
      </c>
      <c r="G164" s="124">
        <v>2.4</v>
      </c>
      <c r="H164" s="14"/>
      <c r="I164" s="15" t="s">
        <v>684</v>
      </c>
    </row>
    <row r="165" spans="1:9" ht="15" customHeight="1">
      <c r="A165" s="123">
        <v>46034</v>
      </c>
      <c r="B165" s="94"/>
      <c r="C165" s="125" t="s">
        <v>666</v>
      </c>
      <c r="D165" s="15" t="s">
        <v>142</v>
      </c>
      <c r="E165" s="17">
        <v>5</v>
      </c>
      <c r="F165" s="17">
        <v>50</v>
      </c>
      <c r="G165" s="124">
        <v>0.25</v>
      </c>
      <c r="H165" s="14"/>
      <c r="I165" s="15" t="s">
        <v>693</v>
      </c>
    </row>
    <row r="166" spans="1:9" ht="15" customHeight="1">
      <c r="A166" s="123">
        <v>46034</v>
      </c>
      <c r="B166" s="94"/>
      <c r="C166" s="125" t="s">
        <v>666</v>
      </c>
      <c r="D166" s="15" t="s">
        <v>143</v>
      </c>
      <c r="E166" s="17">
        <v>4</v>
      </c>
      <c r="F166" s="17">
        <v>50</v>
      </c>
      <c r="G166" s="124">
        <v>4</v>
      </c>
      <c r="H166" s="14"/>
      <c r="I166" s="15" t="s">
        <v>669</v>
      </c>
    </row>
    <row r="167" spans="1:9" ht="15" customHeight="1">
      <c r="A167" s="123">
        <v>46034</v>
      </c>
      <c r="B167" s="94"/>
      <c r="C167" s="125" t="s">
        <v>666</v>
      </c>
      <c r="D167" s="15" t="s">
        <v>143</v>
      </c>
      <c r="E167" s="17">
        <v>1</v>
      </c>
      <c r="F167" s="17">
        <v>50</v>
      </c>
      <c r="G167" s="124">
        <v>2</v>
      </c>
      <c r="H167" s="14"/>
      <c r="I167" s="15" t="s">
        <v>670</v>
      </c>
    </row>
    <row r="168" spans="1:9" ht="15" customHeight="1">
      <c r="A168" s="123">
        <v>46034</v>
      </c>
      <c r="B168" s="94"/>
      <c r="C168" s="125" t="s">
        <v>666</v>
      </c>
      <c r="D168" s="15" t="s">
        <v>144</v>
      </c>
      <c r="E168" s="17">
        <v>3</v>
      </c>
      <c r="F168" s="17">
        <v>1000</v>
      </c>
      <c r="G168" s="124">
        <v>6</v>
      </c>
      <c r="H168" s="14"/>
      <c r="I168" s="15" t="s">
        <v>672</v>
      </c>
    </row>
    <row r="169" spans="1:9" ht="15" customHeight="1">
      <c r="A169" s="123">
        <v>46034</v>
      </c>
      <c r="B169" s="94"/>
      <c r="C169" s="125" t="s">
        <v>666</v>
      </c>
      <c r="D169" s="15" t="s">
        <v>146</v>
      </c>
      <c r="E169" s="17">
        <v>5</v>
      </c>
      <c r="F169" s="17">
        <v>50</v>
      </c>
      <c r="G169" s="124">
        <v>0.25</v>
      </c>
      <c r="H169" s="14"/>
      <c r="I169" s="15" t="s">
        <v>693</v>
      </c>
    </row>
    <row r="170" spans="1:9" ht="15" customHeight="1">
      <c r="A170" s="123">
        <v>46034</v>
      </c>
      <c r="B170" s="94"/>
      <c r="C170" s="125" t="s">
        <v>666</v>
      </c>
      <c r="D170" s="15" t="s">
        <v>147</v>
      </c>
      <c r="E170" s="17">
        <v>5</v>
      </c>
      <c r="F170" s="17">
        <v>50</v>
      </c>
      <c r="G170" s="124">
        <v>0.25</v>
      </c>
      <c r="H170" s="14"/>
      <c r="I170" s="15" t="s">
        <v>693</v>
      </c>
    </row>
    <row r="171" spans="1:9" ht="15" customHeight="1">
      <c r="A171" s="123">
        <v>46034</v>
      </c>
      <c r="B171" s="94"/>
      <c r="C171" s="125" t="s">
        <v>666</v>
      </c>
      <c r="D171" s="15" t="s">
        <v>155</v>
      </c>
      <c r="E171" s="17">
        <v>2</v>
      </c>
      <c r="F171" s="17">
        <v>80</v>
      </c>
      <c r="G171" s="124">
        <v>3.2</v>
      </c>
      <c r="H171" s="14"/>
      <c r="I171" s="94" t="s">
        <v>673</v>
      </c>
    </row>
    <row r="172" spans="1:9" ht="15" customHeight="1">
      <c r="A172" s="123">
        <v>46034</v>
      </c>
      <c r="B172" s="94"/>
      <c r="C172" s="125" t="s">
        <v>666</v>
      </c>
      <c r="D172" s="15" t="s">
        <v>174</v>
      </c>
      <c r="E172" s="17">
        <v>2</v>
      </c>
      <c r="F172" s="17">
        <v>1000</v>
      </c>
      <c r="G172" s="124">
        <v>2</v>
      </c>
      <c r="H172" s="14"/>
      <c r="I172" s="15" t="s">
        <v>674</v>
      </c>
    </row>
    <row r="173" spans="1:9" ht="15" customHeight="1">
      <c r="A173" s="123">
        <v>46034</v>
      </c>
      <c r="B173" s="94"/>
      <c r="C173" s="125" t="s">
        <v>666</v>
      </c>
      <c r="D173" s="15" t="s">
        <v>183</v>
      </c>
      <c r="E173" s="17">
        <v>20</v>
      </c>
      <c r="F173" s="17">
        <v>60</v>
      </c>
      <c r="G173" s="124">
        <v>36</v>
      </c>
      <c r="H173" s="14"/>
      <c r="I173" s="15" t="s">
        <v>676</v>
      </c>
    </row>
    <row r="174" spans="1:9" ht="15" customHeight="1">
      <c r="A174" s="123">
        <v>46034</v>
      </c>
      <c r="B174" s="94"/>
      <c r="C174" s="125" t="s">
        <v>666</v>
      </c>
      <c r="D174" s="15" t="s">
        <v>184</v>
      </c>
      <c r="E174" s="17">
        <v>3</v>
      </c>
      <c r="F174" s="17">
        <v>50</v>
      </c>
      <c r="G174" s="124">
        <v>6</v>
      </c>
      <c r="H174" s="14"/>
      <c r="I174" s="15" t="s">
        <v>678</v>
      </c>
    </row>
    <row r="175" spans="1:9" ht="15" customHeight="1">
      <c r="A175" s="123">
        <v>46034</v>
      </c>
      <c r="B175" s="94"/>
      <c r="C175" s="125" t="s">
        <v>666</v>
      </c>
      <c r="D175" s="15" t="s">
        <v>204</v>
      </c>
      <c r="E175" s="17">
        <v>10</v>
      </c>
      <c r="F175" s="17">
        <v>60</v>
      </c>
      <c r="G175" s="124">
        <v>18</v>
      </c>
      <c r="H175" s="14"/>
      <c r="I175" s="15" t="s">
        <v>681</v>
      </c>
    </row>
    <row r="176" spans="1:9" ht="15" customHeight="1">
      <c r="A176" s="123">
        <v>46034</v>
      </c>
      <c r="B176" s="94"/>
      <c r="C176" s="125" t="s">
        <v>666</v>
      </c>
      <c r="D176" s="15" t="s">
        <v>205</v>
      </c>
      <c r="E176" s="17">
        <v>8</v>
      </c>
      <c r="F176" s="17">
        <v>60</v>
      </c>
      <c r="G176" s="124">
        <v>14.4</v>
      </c>
      <c r="H176" s="14"/>
      <c r="I176" s="15" t="s">
        <v>682</v>
      </c>
    </row>
    <row r="177" spans="1:9" ht="15" customHeight="1">
      <c r="A177" s="123">
        <v>46034</v>
      </c>
      <c r="B177" s="94"/>
      <c r="C177" s="125" t="s">
        <v>666</v>
      </c>
      <c r="D177" s="15" t="s">
        <v>206</v>
      </c>
      <c r="E177" s="17">
        <v>2</v>
      </c>
      <c r="F177" s="17">
        <v>30</v>
      </c>
      <c r="G177" s="124">
        <v>3.6</v>
      </c>
      <c r="H177" s="14"/>
      <c r="I177" s="15" t="s">
        <v>683</v>
      </c>
    </row>
    <row r="178" spans="1:9" ht="15" customHeight="1">
      <c r="A178" s="123">
        <v>46034</v>
      </c>
      <c r="B178" s="94"/>
      <c r="C178" s="125" t="s">
        <v>666</v>
      </c>
      <c r="D178" s="15" t="s">
        <v>220</v>
      </c>
      <c r="E178" s="17">
        <v>5</v>
      </c>
      <c r="F178" s="17">
        <v>50</v>
      </c>
      <c r="G178" s="124">
        <v>0.25</v>
      </c>
      <c r="H178" s="14"/>
      <c r="I178" s="15" t="s">
        <v>693</v>
      </c>
    </row>
    <row r="179" spans="1:9" ht="15" customHeight="1">
      <c r="A179" s="123">
        <v>46035</v>
      </c>
      <c r="B179" s="94"/>
      <c r="C179" s="125" t="s">
        <v>666</v>
      </c>
      <c r="D179" s="15" t="s">
        <v>143</v>
      </c>
      <c r="E179" s="17">
        <v>2</v>
      </c>
      <c r="F179" s="17">
        <v>50</v>
      </c>
      <c r="G179" s="124">
        <v>2</v>
      </c>
      <c r="H179" s="14"/>
      <c r="I179" s="15" t="s">
        <v>707</v>
      </c>
    </row>
    <row r="180" spans="1:9" ht="15" customHeight="1">
      <c r="A180" s="123">
        <v>46035</v>
      </c>
      <c r="B180" s="94"/>
      <c r="C180" s="125" t="s">
        <v>666</v>
      </c>
      <c r="D180" s="15" t="s">
        <v>143</v>
      </c>
      <c r="E180" s="17">
        <v>5</v>
      </c>
      <c r="F180" s="17">
        <v>50</v>
      </c>
      <c r="G180" s="124">
        <v>0.25</v>
      </c>
      <c r="H180" s="14"/>
      <c r="I180" s="15" t="s">
        <v>671</v>
      </c>
    </row>
    <row r="181" spans="1:9" ht="15" customHeight="1">
      <c r="A181" s="123">
        <v>46035</v>
      </c>
      <c r="B181" s="94"/>
      <c r="C181" s="125" t="s">
        <v>666</v>
      </c>
      <c r="D181" s="15" t="s">
        <v>145</v>
      </c>
      <c r="E181" s="17">
        <v>5</v>
      </c>
      <c r="F181" s="17">
        <v>50</v>
      </c>
      <c r="G181" s="124">
        <v>0.25</v>
      </c>
      <c r="H181" s="14"/>
      <c r="I181" s="15" t="s">
        <v>671</v>
      </c>
    </row>
    <row r="182" spans="1:9" ht="15" customHeight="1">
      <c r="A182" s="123">
        <v>46035</v>
      </c>
      <c r="B182" s="94"/>
      <c r="C182" s="125" t="s">
        <v>666</v>
      </c>
      <c r="D182" s="15" t="s">
        <v>148</v>
      </c>
      <c r="E182" s="17">
        <v>4</v>
      </c>
      <c r="F182" s="17">
        <v>50</v>
      </c>
      <c r="G182" s="124">
        <v>0.2</v>
      </c>
      <c r="H182" s="14"/>
      <c r="I182" s="15" t="s">
        <v>671</v>
      </c>
    </row>
    <row r="183" spans="1:9" ht="15" customHeight="1">
      <c r="A183" s="123">
        <v>46035</v>
      </c>
      <c r="B183" s="94"/>
      <c r="C183" s="125" t="s">
        <v>666</v>
      </c>
      <c r="D183" s="15" t="s">
        <v>155</v>
      </c>
      <c r="E183" s="17">
        <v>8</v>
      </c>
      <c r="F183" s="17">
        <v>80</v>
      </c>
      <c r="G183" s="124">
        <v>12.8</v>
      </c>
      <c r="H183" s="14"/>
      <c r="I183" s="94" t="s">
        <v>673</v>
      </c>
    </row>
    <row r="184" spans="1:9" ht="15" customHeight="1">
      <c r="A184" s="123">
        <v>46035</v>
      </c>
      <c r="B184" s="94"/>
      <c r="C184" s="125" t="s">
        <v>666</v>
      </c>
      <c r="D184" s="15" t="s">
        <v>159</v>
      </c>
      <c r="E184" s="17">
        <v>4</v>
      </c>
      <c r="F184" s="17">
        <v>50</v>
      </c>
      <c r="G184" s="124">
        <v>0.2</v>
      </c>
      <c r="H184" s="14"/>
      <c r="I184" s="15" t="s">
        <v>671</v>
      </c>
    </row>
    <row r="185" spans="1:9" ht="15" customHeight="1">
      <c r="A185" s="123">
        <v>46035</v>
      </c>
      <c r="B185" s="94"/>
      <c r="C185" s="125" t="s">
        <v>666</v>
      </c>
      <c r="D185" s="15" t="s">
        <v>161</v>
      </c>
      <c r="E185" s="17">
        <v>6</v>
      </c>
      <c r="F185" s="17">
        <v>1000</v>
      </c>
      <c r="G185" s="124">
        <v>6</v>
      </c>
      <c r="H185" s="14"/>
      <c r="I185" s="15" t="s">
        <v>694</v>
      </c>
    </row>
    <row r="186" spans="1:9" ht="15" customHeight="1">
      <c r="A186" s="123">
        <v>46035</v>
      </c>
      <c r="B186" s="94"/>
      <c r="C186" s="125" t="s">
        <v>666</v>
      </c>
      <c r="D186" s="15" t="s">
        <v>174</v>
      </c>
      <c r="E186" s="17">
        <v>6</v>
      </c>
      <c r="F186" s="17">
        <v>1000</v>
      </c>
      <c r="G186" s="124">
        <v>6</v>
      </c>
      <c r="H186" s="14"/>
      <c r="I186" s="15" t="s">
        <v>674</v>
      </c>
    </row>
    <row r="187" spans="1:9" ht="15" customHeight="1">
      <c r="A187" s="123">
        <v>46035</v>
      </c>
      <c r="B187" s="94"/>
      <c r="C187" s="125" t="s">
        <v>666</v>
      </c>
      <c r="D187" s="15" t="s">
        <v>179</v>
      </c>
      <c r="E187" s="17">
        <v>1</v>
      </c>
      <c r="F187" s="17">
        <v>1000</v>
      </c>
      <c r="G187" s="124">
        <v>1</v>
      </c>
      <c r="H187" s="14"/>
      <c r="I187" s="15" t="s">
        <v>702</v>
      </c>
    </row>
    <row r="188" spans="1:9" ht="15" customHeight="1">
      <c r="A188" s="123">
        <v>46035</v>
      </c>
      <c r="B188" s="94"/>
      <c r="C188" s="125" t="s">
        <v>666</v>
      </c>
      <c r="D188" s="15" t="s">
        <v>183</v>
      </c>
      <c r="E188" s="17">
        <v>6</v>
      </c>
      <c r="F188" s="17">
        <v>60</v>
      </c>
      <c r="G188" s="124">
        <v>10.8</v>
      </c>
      <c r="H188" s="14"/>
      <c r="I188" s="15" t="s">
        <v>676</v>
      </c>
    </row>
    <row r="189" spans="1:9" ht="15" customHeight="1">
      <c r="A189" s="123">
        <v>46035</v>
      </c>
      <c r="B189" s="94"/>
      <c r="C189" s="125" t="s">
        <v>666</v>
      </c>
      <c r="D189" s="15" t="s">
        <v>184</v>
      </c>
      <c r="E189" s="17">
        <v>2</v>
      </c>
      <c r="F189" s="17">
        <v>50</v>
      </c>
      <c r="G189" s="124">
        <v>2</v>
      </c>
      <c r="H189" s="14"/>
      <c r="I189" s="15" t="s">
        <v>688</v>
      </c>
    </row>
    <row r="190" spans="1:9" ht="15" customHeight="1">
      <c r="A190" s="123">
        <v>46035</v>
      </c>
      <c r="B190" s="94"/>
      <c r="C190" s="125" t="s">
        <v>666</v>
      </c>
      <c r="D190" s="15" t="s">
        <v>184</v>
      </c>
      <c r="E190" s="17">
        <v>2</v>
      </c>
      <c r="F190" s="17">
        <v>50</v>
      </c>
      <c r="G190" s="124">
        <v>2</v>
      </c>
      <c r="H190" s="14"/>
      <c r="I190" s="15" t="s">
        <v>707</v>
      </c>
    </row>
    <row r="191" spans="1:9" ht="15" customHeight="1">
      <c r="A191" s="123">
        <v>46035</v>
      </c>
      <c r="B191" s="94"/>
      <c r="C191" s="125" t="s">
        <v>666</v>
      </c>
      <c r="D191" s="15" t="s">
        <v>184</v>
      </c>
      <c r="E191" s="17">
        <v>5</v>
      </c>
      <c r="F191" s="17">
        <v>50</v>
      </c>
      <c r="G191" s="124">
        <v>0.25</v>
      </c>
      <c r="H191" s="14"/>
      <c r="I191" s="15" t="s">
        <v>671</v>
      </c>
    </row>
    <row r="192" spans="1:9" ht="15" customHeight="1">
      <c r="A192" s="123">
        <v>46035</v>
      </c>
      <c r="B192" s="94"/>
      <c r="C192" s="125" t="s">
        <v>666</v>
      </c>
      <c r="D192" s="15" t="s">
        <v>186</v>
      </c>
      <c r="E192" s="17">
        <v>4</v>
      </c>
      <c r="F192" s="17">
        <v>50</v>
      </c>
      <c r="G192" s="124">
        <v>0.2</v>
      </c>
      <c r="H192" s="14"/>
      <c r="I192" s="15" t="s">
        <v>671</v>
      </c>
    </row>
    <row r="193" spans="1:9" ht="15" customHeight="1">
      <c r="A193" s="123">
        <v>46035</v>
      </c>
      <c r="B193" s="94"/>
      <c r="C193" s="125" t="s">
        <v>666</v>
      </c>
      <c r="D193" s="15" t="s">
        <v>192</v>
      </c>
      <c r="E193" s="17">
        <v>5</v>
      </c>
      <c r="F193" s="17">
        <v>50</v>
      </c>
      <c r="G193" s="124">
        <v>0.25</v>
      </c>
      <c r="H193" s="14"/>
      <c r="I193" s="15" t="s">
        <v>671</v>
      </c>
    </row>
    <row r="194" spans="1:9" ht="15" customHeight="1">
      <c r="A194" s="123">
        <v>46035</v>
      </c>
      <c r="B194" s="94"/>
      <c r="C194" s="125" t="s">
        <v>666</v>
      </c>
      <c r="D194" s="15" t="s">
        <v>195</v>
      </c>
      <c r="E194" s="17">
        <v>4</v>
      </c>
      <c r="F194" s="17">
        <v>50</v>
      </c>
      <c r="G194" s="124">
        <v>0.2</v>
      </c>
      <c r="H194" s="14"/>
      <c r="I194" s="15" t="s">
        <v>671</v>
      </c>
    </row>
    <row r="195" spans="1:9" ht="15" customHeight="1">
      <c r="A195" s="123">
        <v>46035</v>
      </c>
      <c r="B195" s="94"/>
      <c r="C195" s="125" t="s">
        <v>666</v>
      </c>
      <c r="D195" s="15" t="s">
        <v>222</v>
      </c>
      <c r="E195" s="17">
        <v>5</v>
      </c>
      <c r="F195" s="17">
        <v>40</v>
      </c>
      <c r="G195" s="124">
        <v>4</v>
      </c>
      <c r="H195" s="14"/>
      <c r="I195" s="15" t="s">
        <v>679</v>
      </c>
    </row>
    <row r="196" spans="1:9" ht="15" customHeight="1">
      <c r="A196" s="123">
        <v>46035</v>
      </c>
      <c r="B196" s="94"/>
      <c r="C196" s="125" t="s">
        <v>666</v>
      </c>
      <c r="D196" s="15" t="s">
        <v>221</v>
      </c>
      <c r="E196" s="17">
        <v>2</v>
      </c>
      <c r="F196" s="17">
        <v>40</v>
      </c>
      <c r="G196" s="124">
        <v>1.6</v>
      </c>
      <c r="H196" s="14"/>
      <c r="I196" s="15" t="s">
        <v>680</v>
      </c>
    </row>
    <row r="197" spans="1:9" ht="15" customHeight="1">
      <c r="A197" s="123">
        <v>46035</v>
      </c>
      <c r="B197" s="94"/>
      <c r="C197" s="125" t="s">
        <v>666</v>
      </c>
      <c r="D197" s="15" t="s">
        <v>204</v>
      </c>
      <c r="E197" s="17">
        <v>21</v>
      </c>
      <c r="F197" s="17">
        <v>60</v>
      </c>
      <c r="G197" s="124">
        <v>37.799999999999997</v>
      </c>
      <c r="H197" s="14"/>
      <c r="I197" s="15" t="s">
        <v>681</v>
      </c>
    </row>
    <row r="198" spans="1:9" ht="15" customHeight="1">
      <c r="A198" s="123">
        <v>46035</v>
      </c>
      <c r="B198" s="94"/>
      <c r="C198" s="125" t="s">
        <v>666</v>
      </c>
      <c r="D198" s="15" t="s">
        <v>205</v>
      </c>
      <c r="E198" s="17">
        <v>11</v>
      </c>
      <c r="F198" s="17">
        <v>60</v>
      </c>
      <c r="G198" s="124">
        <v>19.8</v>
      </c>
      <c r="H198" s="14"/>
      <c r="I198" s="15" t="s">
        <v>682</v>
      </c>
    </row>
    <row r="199" spans="1:9" ht="15" customHeight="1">
      <c r="A199" s="123">
        <v>46035</v>
      </c>
      <c r="B199" s="94"/>
      <c r="C199" s="125" t="s">
        <v>666</v>
      </c>
      <c r="D199" s="15" t="s">
        <v>206</v>
      </c>
      <c r="E199" s="17">
        <v>2</v>
      </c>
      <c r="F199" s="17">
        <v>30</v>
      </c>
      <c r="G199" s="124">
        <v>3.6</v>
      </c>
      <c r="H199" s="14"/>
      <c r="I199" s="15" t="s">
        <v>683</v>
      </c>
    </row>
    <row r="200" spans="1:9" ht="15" customHeight="1">
      <c r="A200" s="123">
        <v>46035</v>
      </c>
      <c r="B200" s="94"/>
      <c r="C200" s="125" t="s">
        <v>666</v>
      </c>
      <c r="D200" s="15" t="s">
        <v>219</v>
      </c>
      <c r="E200" s="17">
        <v>4</v>
      </c>
      <c r="F200" s="17">
        <v>50</v>
      </c>
      <c r="G200" s="124">
        <v>0.2</v>
      </c>
      <c r="H200" s="14"/>
      <c r="I200" s="15" t="s">
        <v>671</v>
      </c>
    </row>
    <row r="201" spans="1:9" ht="15" customHeight="1">
      <c r="A201" s="123">
        <v>46036</v>
      </c>
      <c r="B201" s="94"/>
      <c r="C201" s="125" t="s">
        <v>666</v>
      </c>
      <c r="D201" s="94" t="s">
        <v>141</v>
      </c>
      <c r="E201" s="17">
        <v>2</v>
      </c>
      <c r="F201" s="17">
        <v>60</v>
      </c>
      <c r="G201" s="124">
        <v>2.4</v>
      </c>
      <c r="H201" s="14"/>
      <c r="I201" s="94" t="s">
        <v>692</v>
      </c>
    </row>
    <row r="202" spans="1:9" ht="15" customHeight="1">
      <c r="A202" s="123">
        <v>46036</v>
      </c>
      <c r="B202" s="94"/>
      <c r="C202" s="125" t="s">
        <v>666</v>
      </c>
      <c r="D202" s="15" t="s">
        <v>142</v>
      </c>
      <c r="E202" s="17">
        <v>10</v>
      </c>
      <c r="F202" s="17">
        <v>50</v>
      </c>
      <c r="G202" s="124">
        <v>0.5</v>
      </c>
      <c r="H202" s="14"/>
      <c r="I202" s="15" t="s">
        <v>668</v>
      </c>
    </row>
    <row r="203" spans="1:9" ht="15" customHeight="1">
      <c r="A203" s="123">
        <v>46036</v>
      </c>
      <c r="B203" s="94"/>
      <c r="C203" s="125" t="s">
        <v>666</v>
      </c>
      <c r="D203" s="15" t="s">
        <v>143</v>
      </c>
      <c r="E203" s="17">
        <v>1</v>
      </c>
      <c r="F203" s="17">
        <v>50</v>
      </c>
      <c r="G203" s="124">
        <v>2</v>
      </c>
      <c r="H203" s="14"/>
      <c r="I203" s="15" t="s">
        <v>670</v>
      </c>
    </row>
    <row r="204" spans="1:9" ht="15" customHeight="1">
      <c r="A204" s="123">
        <v>46036</v>
      </c>
      <c r="B204" s="94"/>
      <c r="C204" s="125" t="s">
        <v>666</v>
      </c>
      <c r="D204" s="15" t="s">
        <v>143</v>
      </c>
      <c r="E204" s="17">
        <v>6</v>
      </c>
      <c r="F204" s="17">
        <v>50</v>
      </c>
      <c r="G204" s="124">
        <v>0.3</v>
      </c>
      <c r="H204" s="14"/>
      <c r="I204" s="15" t="s">
        <v>708</v>
      </c>
    </row>
    <row r="205" spans="1:9" ht="15" customHeight="1">
      <c r="A205" s="123">
        <v>46036</v>
      </c>
      <c r="B205" s="94"/>
      <c r="C205" s="125" t="s">
        <v>666</v>
      </c>
      <c r="D205" s="15" t="s">
        <v>143</v>
      </c>
      <c r="E205" s="17">
        <v>5</v>
      </c>
      <c r="F205" s="17">
        <v>50</v>
      </c>
      <c r="G205" s="124">
        <v>0.25</v>
      </c>
      <c r="H205" s="14"/>
      <c r="I205" s="15" t="s">
        <v>671</v>
      </c>
    </row>
    <row r="206" spans="1:9" ht="15" customHeight="1">
      <c r="A206" s="123">
        <v>46036</v>
      </c>
      <c r="B206" s="94"/>
      <c r="C206" s="125" t="s">
        <v>666</v>
      </c>
      <c r="D206" s="15" t="s">
        <v>144</v>
      </c>
      <c r="E206" s="17">
        <v>1</v>
      </c>
      <c r="F206" s="17">
        <v>1000</v>
      </c>
      <c r="G206" s="124">
        <v>1</v>
      </c>
      <c r="H206" s="14"/>
      <c r="I206" s="15" t="s">
        <v>686</v>
      </c>
    </row>
    <row r="207" spans="1:9" ht="15" customHeight="1">
      <c r="A207" s="123">
        <v>46036</v>
      </c>
      <c r="B207" s="94"/>
      <c r="C207" s="125" t="s">
        <v>666</v>
      </c>
      <c r="D207" s="15" t="s">
        <v>144</v>
      </c>
      <c r="E207" s="17">
        <v>6</v>
      </c>
      <c r="F207" s="17">
        <v>1000</v>
      </c>
      <c r="G207" s="124">
        <v>12</v>
      </c>
      <c r="H207" s="14"/>
      <c r="I207" s="15" t="s">
        <v>672</v>
      </c>
    </row>
    <row r="208" spans="1:9" ht="15" customHeight="1">
      <c r="A208" s="123">
        <v>46036</v>
      </c>
      <c r="B208" s="94"/>
      <c r="C208" s="125" t="s">
        <v>666</v>
      </c>
      <c r="D208" s="15" t="s">
        <v>145</v>
      </c>
      <c r="E208" s="17">
        <v>4</v>
      </c>
      <c r="F208" s="17">
        <v>50</v>
      </c>
      <c r="G208" s="124">
        <v>0.2</v>
      </c>
      <c r="H208" s="14"/>
      <c r="I208" s="15" t="s">
        <v>708</v>
      </c>
    </row>
    <row r="209" spans="1:9" ht="15" customHeight="1">
      <c r="A209" s="123">
        <v>46036</v>
      </c>
      <c r="B209" s="94"/>
      <c r="C209" s="125" t="s">
        <v>666</v>
      </c>
      <c r="D209" s="15" t="s">
        <v>145</v>
      </c>
      <c r="E209" s="17">
        <v>5</v>
      </c>
      <c r="F209" s="17">
        <v>50</v>
      </c>
      <c r="G209" s="124">
        <v>0.25</v>
      </c>
      <c r="H209" s="14"/>
      <c r="I209" s="15" t="s">
        <v>671</v>
      </c>
    </row>
    <row r="210" spans="1:9" ht="15" customHeight="1">
      <c r="A210" s="123">
        <v>46036</v>
      </c>
      <c r="B210" s="94"/>
      <c r="C210" s="125" t="s">
        <v>666</v>
      </c>
      <c r="D210" s="15" t="s">
        <v>146</v>
      </c>
      <c r="E210" s="17">
        <v>10</v>
      </c>
      <c r="F210" s="17">
        <v>50</v>
      </c>
      <c r="G210" s="124">
        <v>0.5</v>
      </c>
      <c r="H210" s="14"/>
      <c r="I210" s="15" t="s">
        <v>668</v>
      </c>
    </row>
    <row r="211" spans="1:9" ht="15" customHeight="1">
      <c r="A211" s="123">
        <v>46036</v>
      </c>
      <c r="B211" s="94"/>
      <c r="C211" s="125" t="s">
        <v>666</v>
      </c>
      <c r="D211" s="15" t="s">
        <v>147</v>
      </c>
      <c r="E211" s="17">
        <v>10</v>
      </c>
      <c r="F211" s="17">
        <v>50</v>
      </c>
      <c r="G211" s="124">
        <v>0.5</v>
      </c>
      <c r="H211" s="14"/>
      <c r="I211" s="15" t="s">
        <v>668</v>
      </c>
    </row>
    <row r="212" spans="1:9" ht="15" customHeight="1">
      <c r="A212" s="123">
        <v>46036</v>
      </c>
      <c r="B212" s="94"/>
      <c r="C212" s="125" t="s">
        <v>666</v>
      </c>
      <c r="D212" s="15" t="s">
        <v>148</v>
      </c>
      <c r="E212" s="17">
        <v>4</v>
      </c>
      <c r="F212" s="17">
        <v>50</v>
      </c>
      <c r="G212" s="124">
        <v>0.2</v>
      </c>
      <c r="H212" s="14"/>
      <c r="I212" s="15" t="s">
        <v>708</v>
      </c>
    </row>
    <row r="213" spans="1:9" ht="15" customHeight="1">
      <c r="A213" s="123">
        <v>46036</v>
      </c>
      <c r="B213" s="94"/>
      <c r="C213" s="125" t="s">
        <v>666</v>
      </c>
      <c r="D213" s="15" t="s">
        <v>148</v>
      </c>
      <c r="E213" s="17">
        <v>4</v>
      </c>
      <c r="F213" s="17">
        <v>50</v>
      </c>
      <c r="G213" s="124">
        <v>0.2</v>
      </c>
      <c r="H213" s="14"/>
      <c r="I213" s="15" t="s">
        <v>671</v>
      </c>
    </row>
    <row r="214" spans="1:9" ht="15" customHeight="1">
      <c r="A214" s="123">
        <v>46036</v>
      </c>
      <c r="B214" s="94"/>
      <c r="C214" s="125" t="s">
        <v>666</v>
      </c>
      <c r="D214" s="15" t="s">
        <v>155</v>
      </c>
      <c r="E214" s="17">
        <v>4</v>
      </c>
      <c r="F214" s="17">
        <v>80</v>
      </c>
      <c r="G214" s="124">
        <v>6.4</v>
      </c>
      <c r="H214" s="14"/>
      <c r="I214" s="94" t="s">
        <v>673</v>
      </c>
    </row>
    <row r="215" spans="1:9" ht="15" customHeight="1">
      <c r="A215" s="123">
        <v>46036</v>
      </c>
      <c r="B215" s="94"/>
      <c r="C215" s="125" t="s">
        <v>666</v>
      </c>
      <c r="D215" s="15" t="s">
        <v>159</v>
      </c>
      <c r="E215" s="17">
        <v>4</v>
      </c>
      <c r="F215" s="17">
        <v>50</v>
      </c>
      <c r="G215" s="124">
        <v>0.2</v>
      </c>
      <c r="H215" s="14"/>
      <c r="I215" s="15" t="s">
        <v>708</v>
      </c>
    </row>
    <row r="216" spans="1:9" ht="15" customHeight="1">
      <c r="A216" s="123">
        <v>46036</v>
      </c>
      <c r="B216" s="94"/>
      <c r="C216" s="125" t="s">
        <v>666</v>
      </c>
      <c r="D216" s="15" t="s">
        <v>159</v>
      </c>
      <c r="E216" s="17">
        <v>4</v>
      </c>
      <c r="F216" s="17">
        <v>50</v>
      </c>
      <c r="G216" s="124">
        <v>0.2</v>
      </c>
      <c r="H216" s="14"/>
      <c r="I216" s="15" t="s">
        <v>671</v>
      </c>
    </row>
    <row r="217" spans="1:9" ht="15" customHeight="1">
      <c r="A217" s="123">
        <v>46036</v>
      </c>
      <c r="B217" s="94"/>
      <c r="C217" s="125" t="s">
        <v>666</v>
      </c>
      <c r="D217" s="15" t="s">
        <v>183</v>
      </c>
      <c r="E217" s="17">
        <v>1</v>
      </c>
      <c r="F217" s="17">
        <v>60</v>
      </c>
      <c r="G217" s="124">
        <v>0.6</v>
      </c>
      <c r="H217" s="14"/>
      <c r="I217" s="94" t="s">
        <v>709</v>
      </c>
    </row>
    <row r="218" spans="1:9" ht="15" customHeight="1">
      <c r="A218" s="123">
        <v>46036</v>
      </c>
      <c r="B218" s="94"/>
      <c r="C218" s="125" t="s">
        <v>666</v>
      </c>
      <c r="D218" s="15" t="s">
        <v>183</v>
      </c>
      <c r="E218" s="17">
        <v>12</v>
      </c>
      <c r="F218" s="17">
        <v>60</v>
      </c>
      <c r="G218" s="124">
        <v>21.6</v>
      </c>
      <c r="H218" s="14"/>
      <c r="I218" s="15" t="s">
        <v>676</v>
      </c>
    </row>
    <row r="219" spans="1:9" ht="15" customHeight="1">
      <c r="A219" s="123">
        <v>46036</v>
      </c>
      <c r="B219" s="94"/>
      <c r="C219" s="125" t="s">
        <v>666</v>
      </c>
      <c r="D219" s="15" t="s">
        <v>184</v>
      </c>
      <c r="E219" s="17">
        <v>1</v>
      </c>
      <c r="F219" s="17">
        <v>50</v>
      </c>
      <c r="G219" s="124">
        <v>2</v>
      </c>
      <c r="H219" s="14"/>
      <c r="I219" s="15" t="s">
        <v>678</v>
      </c>
    </row>
    <row r="220" spans="1:9" ht="15" customHeight="1">
      <c r="A220" s="123">
        <v>46036</v>
      </c>
      <c r="B220" s="94"/>
      <c r="C220" s="125" t="s">
        <v>666</v>
      </c>
      <c r="D220" s="15" t="s">
        <v>184</v>
      </c>
      <c r="E220" s="17">
        <v>6</v>
      </c>
      <c r="F220" s="17">
        <v>50</v>
      </c>
      <c r="G220" s="124">
        <v>0.3</v>
      </c>
      <c r="H220" s="14"/>
      <c r="I220" s="15" t="s">
        <v>708</v>
      </c>
    </row>
    <row r="221" spans="1:9" ht="15" customHeight="1">
      <c r="A221" s="123">
        <v>46036</v>
      </c>
      <c r="B221" s="94"/>
      <c r="C221" s="125" t="s">
        <v>666</v>
      </c>
      <c r="D221" s="15" t="s">
        <v>184</v>
      </c>
      <c r="E221" s="17">
        <v>5</v>
      </c>
      <c r="F221" s="17">
        <v>50</v>
      </c>
      <c r="G221" s="124">
        <v>0.25</v>
      </c>
      <c r="H221" s="14"/>
      <c r="I221" s="15" t="s">
        <v>671</v>
      </c>
    </row>
    <row r="222" spans="1:9" ht="15" customHeight="1">
      <c r="A222" s="123">
        <v>46036</v>
      </c>
      <c r="B222" s="94"/>
      <c r="C222" s="125" t="s">
        <v>666</v>
      </c>
      <c r="D222" s="15" t="s">
        <v>186</v>
      </c>
      <c r="E222" s="17">
        <v>4</v>
      </c>
      <c r="F222" s="17">
        <v>50</v>
      </c>
      <c r="G222" s="124">
        <v>0.2</v>
      </c>
      <c r="H222" s="14"/>
      <c r="I222" s="15" t="s">
        <v>708</v>
      </c>
    </row>
    <row r="223" spans="1:9" ht="15" customHeight="1">
      <c r="A223" s="123">
        <v>46036</v>
      </c>
      <c r="B223" s="94"/>
      <c r="C223" s="125" t="s">
        <v>666</v>
      </c>
      <c r="D223" s="15" t="s">
        <v>186</v>
      </c>
      <c r="E223" s="17">
        <v>4</v>
      </c>
      <c r="F223" s="17">
        <v>50</v>
      </c>
      <c r="G223" s="124">
        <v>0.2</v>
      </c>
      <c r="H223" s="14"/>
      <c r="I223" s="15" t="s">
        <v>671</v>
      </c>
    </row>
    <row r="224" spans="1:9" ht="15" customHeight="1">
      <c r="A224" s="123">
        <v>46036</v>
      </c>
      <c r="B224" s="94"/>
      <c r="C224" s="125" t="s">
        <v>666</v>
      </c>
      <c r="D224" s="15" t="s">
        <v>192</v>
      </c>
      <c r="E224" s="17">
        <v>4</v>
      </c>
      <c r="F224" s="17">
        <v>50</v>
      </c>
      <c r="G224" s="124">
        <v>0.2</v>
      </c>
      <c r="H224" s="14"/>
      <c r="I224" s="15" t="s">
        <v>708</v>
      </c>
    </row>
    <row r="225" spans="1:9" ht="15" customHeight="1">
      <c r="A225" s="123">
        <v>46036</v>
      </c>
      <c r="B225" s="94"/>
      <c r="C225" s="125" t="s">
        <v>666</v>
      </c>
      <c r="D225" s="15" t="s">
        <v>192</v>
      </c>
      <c r="E225" s="17">
        <v>5</v>
      </c>
      <c r="F225" s="17">
        <v>50</v>
      </c>
      <c r="G225" s="124">
        <v>0.25</v>
      </c>
      <c r="H225" s="14"/>
      <c r="I225" s="15" t="s">
        <v>671</v>
      </c>
    </row>
    <row r="226" spans="1:9" ht="15" customHeight="1">
      <c r="A226" s="123">
        <v>46036</v>
      </c>
      <c r="B226" s="94"/>
      <c r="C226" s="125" t="s">
        <v>666</v>
      </c>
      <c r="D226" s="15" t="s">
        <v>195</v>
      </c>
      <c r="E226" s="17">
        <v>4</v>
      </c>
      <c r="F226" s="17">
        <v>50</v>
      </c>
      <c r="G226" s="124">
        <v>0.2</v>
      </c>
      <c r="H226" s="14"/>
      <c r="I226" s="15" t="s">
        <v>708</v>
      </c>
    </row>
    <row r="227" spans="1:9" ht="15" customHeight="1">
      <c r="A227" s="123">
        <v>46036</v>
      </c>
      <c r="B227" s="94"/>
      <c r="C227" s="125" t="s">
        <v>666</v>
      </c>
      <c r="D227" s="15" t="s">
        <v>195</v>
      </c>
      <c r="E227" s="17">
        <v>4</v>
      </c>
      <c r="F227" s="17">
        <v>50</v>
      </c>
      <c r="G227" s="124">
        <v>0.2</v>
      </c>
      <c r="H227" s="14"/>
      <c r="I227" s="15" t="s">
        <v>671</v>
      </c>
    </row>
    <row r="228" spans="1:9" ht="15" customHeight="1">
      <c r="A228" s="123">
        <v>46036</v>
      </c>
      <c r="B228" s="94"/>
      <c r="C228" s="125" t="s">
        <v>666</v>
      </c>
      <c r="D228" s="15" t="s">
        <v>222</v>
      </c>
      <c r="E228" s="17">
        <v>1</v>
      </c>
      <c r="F228" s="17">
        <v>40</v>
      </c>
      <c r="G228" s="124">
        <v>0.2</v>
      </c>
      <c r="H228" s="14"/>
      <c r="I228" s="94" t="s">
        <v>709</v>
      </c>
    </row>
    <row r="229" spans="1:9" ht="15" customHeight="1">
      <c r="A229" s="123">
        <v>46036</v>
      </c>
      <c r="B229" s="94"/>
      <c r="C229" s="125" t="s">
        <v>666</v>
      </c>
      <c r="D229" s="15" t="s">
        <v>221</v>
      </c>
      <c r="E229" s="17">
        <v>1</v>
      </c>
      <c r="F229" s="17">
        <v>40</v>
      </c>
      <c r="G229" s="124">
        <v>0.2</v>
      </c>
      <c r="H229" s="14"/>
      <c r="I229" s="94" t="s">
        <v>709</v>
      </c>
    </row>
    <row r="230" spans="1:9" ht="15" customHeight="1">
      <c r="A230" s="123">
        <v>46036</v>
      </c>
      <c r="B230" s="94"/>
      <c r="C230" s="125" t="s">
        <v>666</v>
      </c>
      <c r="D230" s="15" t="s">
        <v>204</v>
      </c>
      <c r="E230" s="17">
        <v>1</v>
      </c>
      <c r="F230" s="17">
        <v>60</v>
      </c>
      <c r="G230" s="124">
        <v>0.3</v>
      </c>
      <c r="H230" s="14"/>
      <c r="I230" s="94" t="s">
        <v>709</v>
      </c>
    </row>
    <row r="231" spans="1:9" ht="15" customHeight="1">
      <c r="A231" s="123">
        <v>46036</v>
      </c>
      <c r="B231" s="94"/>
      <c r="C231" s="125" t="s">
        <v>666</v>
      </c>
      <c r="D231" s="15" t="s">
        <v>204</v>
      </c>
      <c r="E231" s="17">
        <v>13</v>
      </c>
      <c r="F231" s="17">
        <v>60</v>
      </c>
      <c r="G231" s="124">
        <v>23.4</v>
      </c>
      <c r="H231" s="14"/>
      <c r="I231" s="15" t="s">
        <v>681</v>
      </c>
    </row>
    <row r="232" spans="1:9" ht="15" customHeight="1">
      <c r="A232" s="123">
        <v>46036</v>
      </c>
      <c r="B232" s="94"/>
      <c r="C232" s="125" t="s">
        <v>666</v>
      </c>
      <c r="D232" s="15" t="s">
        <v>205</v>
      </c>
      <c r="E232" s="17">
        <v>1</v>
      </c>
      <c r="F232" s="17">
        <v>60</v>
      </c>
      <c r="G232" s="124">
        <v>0.3</v>
      </c>
      <c r="H232" s="14"/>
      <c r="I232" s="94" t="s">
        <v>709</v>
      </c>
    </row>
    <row r="233" spans="1:9" ht="15" customHeight="1">
      <c r="A233" s="123">
        <v>46036</v>
      </c>
      <c r="B233" s="94"/>
      <c r="C233" s="125" t="s">
        <v>666</v>
      </c>
      <c r="D233" s="15" t="s">
        <v>205</v>
      </c>
      <c r="E233" s="17">
        <v>4</v>
      </c>
      <c r="F233" s="17">
        <v>60</v>
      </c>
      <c r="G233" s="124">
        <v>7.2</v>
      </c>
      <c r="H233" s="14"/>
      <c r="I233" s="15" t="s">
        <v>682</v>
      </c>
    </row>
    <row r="234" spans="1:9" ht="15" customHeight="1">
      <c r="A234" s="123">
        <v>46036</v>
      </c>
      <c r="B234" s="94"/>
      <c r="C234" s="125" t="s">
        <v>666</v>
      </c>
      <c r="D234" s="15" t="s">
        <v>206</v>
      </c>
      <c r="E234" s="17">
        <v>3</v>
      </c>
      <c r="F234" s="17">
        <v>30</v>
      </c>
      <c r="G234" s="124">
        <v>5.4</v>
      </c>
      <c r="H234" s="14"/>
      <c r="I234" s="15" t="s">
        <v>683</v>
      </c>
    </row>
    <row r="235" spans="1:9" ht="15" customHeight="1">
      <c r="A235" s="123">
        <v>46036</v>
      </c>
      <c r="B235" s="94"/>
      <c r="C235" s="125" t="s">
        <v>666</v>
      </c>
      <c r="D235" s="15" t="s">
        <v>206</v>
      </c>
      <c r="E235" s="17">
        <v>1</v>
      </c>
      <c r="F235" s="17">
        <v>40</v>
      </c>
      <c r="G235" s="124">
        <v>0.8</v>
      </c>
      <c r="H235" s="14"/>
      <c r="I235" s="15" t="s">
        <v>710</v>
      </c>
    </row>
    <row r="236" spans="1:9" ht="15" customHeight="1">
      <c r="A236" s="123">
        <v>46036</v>
      </c>
      <c r="B236" s="94"/>
      <c r="C236" s="125" t="s">
        <v>666</v>
      </c>
      <c r="D236" s="15" t="s">
        <v>219</v>
      </c>
      <c r="E236" s="17">
        <v>4</v>
      </c>
      <c r="F236" s="17">
        <v>50</v>
      </c>
      <c r="G236" s="124">
        <v>0.2</v>
      </c>
      <c r="H236" s="14"/>
      <c r="I236" s="15" t="s">
        <v>708</v>
      </c>
    </row>
    <row r="237" spans="1:9" ht="15" customHeight="1">
      <c r="A237" s="123">
        <v>46036</v>
      </c>
      <c r="B237" s="94"/>
      <c r="C237" s="125" t="s">
        <v>666</v>
      </c>
      <c r="D237" s="15" t="s">
        <v>219</v>
      </c>
      <c r="E237" s="17">
        <v>4</v>
      </c>
      <c r="F237" s="17">
        <v>50</v>
      </c>
      <c r="G237" s="124">
        <v>0.2</v>
      </c>
      <c r="H237" s="14"/>
      <c r="I237" s="15" t="s">
        <v>671</v>
      </c>
    </row>
    <row r="238" spans="1:9" ht="15" customHeight="1">
      <c r="A238" s="123">
        <v>46036</v>
      </c>
      <c r="B238" s="94"/>
      <c r="C238" s="125" t="s">
        <v>666</v>
      </c>
      <c r="D238" s="15" t="s">
        <v>220</v>
      </c>
      <c r="E238" s="17">
        <v>10</v>
      </c>
      <c r="F238" s="17">
        <v>50</v>
      </c>
      <c r="G238" s="124">
        <v>0.5</v>
      </c>
      <c r="H238" s="14"/>
      <c r="I238" s="15" t="s">
        <v>668</v>
      </c>
    </row>
    <row r="239" spans="1:9" ht="15" customHeight="1">
      <c r="A239" s="123">
        <v>46036</v>
      </c>
      <c r="B239" s="15" t="s">
        <v>656</v>
      </c>
      <c r="C239" s="14" t="s">
        <v>657</v>
      </c>
      <c r="D239" s="15" t="s">
        <v>155</v>
      </c>
      <c r="E239" s="17">
        <v>40</v>
      </c>
      <c r="F239" s="17">
        <v>80</v>
      </c>
      <c r="G239" s="124">
        <v>3.2</v>
      </c>
      <c r="H239" s="14"/>
      <c r="I239" s="15" t="s">
        <v>658</v>
      </c>
    </row>
    <row r="240" spans="1:9" ht="15" customHeight="1">
      <c r="A240" s="123">
        <v>46036</v>
      </c>
      <c r="B240" s="15" t="s">
        <v>656</v>
      </c>
      <c r="C240" s="14" t="s">
        <v>657</v>
      </c>
      <c r="D240" s="15" t="s">
        <v>183</v>
      </c>
      <c r="E240" s="17">
        <v>40</v>
      </c>
      <c r="F240" s="17">
        <v>60</v>
      </c>
      <c r="G240" s="124">
        <v>2.4</v>
      </c>
      <c r="H240" s="14"/>
      <c r="I240" s="15" t="s">
        <v>660</v>
      </c>
    </row>
    <row r="241" spans="1:9" ht="15" customHeight="1">
      <c r="A241" s="123">
        <v>46036</v>
      </c>
      <c r="B241" s="15" t="s">
        <v>656</v>
      </c>
      <c r="C241" s="14" t="s">
        <v>657</v>
      </c>
      <c r="D241" s="15" t="s">
        <v>204</v>
      </c>
      <c r="E241" s="17">
        <v>40</v>
      </c>
      <c r="F241" s="17">
        <v>60</v>
      </c>
      <c r="G241" s="124">
        <v>2.4</v>
      </c>
      <c r="H241" s="14"/>
      <c r="I241" s="15" t="s">
        <v>664</v>
      </c>
    </row>
    <row r="242" spans="1:9" ht="15" customHeight="1">
      <c r="A242" s="123">
        <v>46036</v>
      </c>
      <c r="B242" s="15" t="s">
        <v>656</v>
      </c>
      <c r="C242" s="14" t="s">
        <v>657</v>
      </c>
      <c r="D242" s="15" t="s">
        <v>207</v>
      </c>
      <c r="E242" s="17">
        <v>2</v>
      </c>
      <c r="F242" s="17">
        <v>1000</v>
      </c>
      <c r="G242" s="124">
        <v>2</v>
      </c>
      <c r="H242" s="14"/>
      <c r="I242" s="15" t="s">
        <v>711</v>
      </c>
    </row>
    <row r="243" spans="1:9" ht="15" customHeight="1">
      <c r="A243" s="123">
        <v>46037</v>
      </c>
      <c r="B243" s="94"/>
      <c r="C243" s="125" t="s">
        <v>666</v>
      </c>
      <c r="D243" s="15" t="s">
        <v>142</v>
      </c>
      <c r="E243" s="17">
        <v>10</v>
      </c>
      <c r="F243" s="17">
        <v>50</v>
      </c>
      <c r="G243" s="124">
        <v>0.5</v>
      </c>
      <c r="H243" s="14"/>
      <c r="I243" s="15" t="s">
        <v>668</v>
      </c>
    </row>
    <row r="244" spans="1:9" ht="15" customHeight="1">
      <c r="A244" s="123">
        <v>46037</v>
      </c>
      <c r="B244" s="94"/>
      <c r="C244" s="125" t="s">
        <v>666</v>
      </c>
      <c r="D244" s="15" t="s">
        <v>143</v>
      </c>
      <c r="E244" s="17">
        <v>2</v>
      </c>
      <c r="F244" s="17">
        <v>50</v>
      </c>
      <c r="G244" s="124">
        <v>4</v>
      </c>
      <c r="H244" s="14"/>
      <c r="I244" s="15" t="s">
        <v>712</v>
      </c>
    </row>
    <row r="245" spans="1:9" ht="15" customHeight="1">
      <c r="A245" s="123">
        <v>46037</v>
      </c>
      <c r="B245" s="94"/>
      <c r="C245" s="125" t="s">
        <v>666</v>
      </c>
      <c r="D245" s="15" t="s">
        <v>143</v>
      </c>
      <c r="E245" s="17">
        <v>3</v>
      </c>
      <c r="F245" s="17">
        <v>50</v>
      </c>
      <c r="G245" s="124">
        <v>0.15</v>
      </c>
      <c r="H245" s="14"/>
      <c r="I245" s="15" t="s">
        <v>700</v>
      </c>
    </row>
    <row r="246" spans="1:9" ht="15" customHeight="1">
      <c r="A246" s="123">
        <v>46037</v>
      </c>
      <c r="B246" s="94"/>
      <c r="C246" s="125" t="s">
        <v>666</v>
      </c>
      <c r="D246" s="15" t="s">
        <v>144</v>
      </c>
      <c r="E246" s="17">
        <v>3</v>
      </c>
      <c r="F246" s="17">
        <v>1000</v>
      </c>
      <c r="G246" s="124">
        <v>6</v>
      </c>
      <c r="H246" s="14"/>
      <c r="I246" s="15" t="s">
        <v>672</v>
      </c>
    </row>
    <row r="247" spans="1:9" ht="15" customHeight="1">
      <c r="A247" s="123">
        <v>46037</v>
      </c>
      <c r="B247" s="94"/>
      <c r="C247" s="125" t="s">
        <v>666</v>
      </c>
      <c r="D247" s="15" t="s">
        <v>145</v>
      </c>
      <c r="E247" s="17">
        <v>2</v>
      </c>
      <c r="F247" s="17">
        <v>50</v>
      </c>
      <c r="G247" s="124">
        <v>0.1</v>
      </c>
      <c r="H247" s="14"/>
      <c r="I247" s="15" t="s">
        <v>700</v>
      </c>
    </row>
    <row r="248" spans="1:9" ht="15" customHeight="1">
      <c r="A248" s="123">
        <v>46037</v>
      </c>
      <c r="B248" s="94"/>
      <c r="C248" s="125" t="s">
        <v>666</v>
      </c>
      <c r="D248" s="15" t="s">
        <v>146</v>
      </c>
      <c r="E248" s="17">
        <v>10</v>
      </c>
      <c r="F248" s="17">
        <v>50</v>
      </c>
      <c r="G248" s="124">
        <v>0.5</v>
      </c>
      <c r="H248" s="14"/>
      <c r="I248" s="15" t="s">
        <v>668</v>
      </c>
    </row>
    <row r="249" spans="1:9" ht="15" customHeight="1">
      <c r="A249" s="123">
        <v>46037</v>
      </c>
      <c r="B249" s="94"/>
      <c r="C249" s="125" t="s">
        <v>666</v>
      </c>
      <c r="D249" s="15" t="s">
        <v>147</v>
      </c>
      <c r="E249" s="17">
        <v>10</v>
      </c>
      <c r="F249" s="17">
        <v>50</v>
      </c>
      <c r="G249" s="124">
        <v>0.5</v>
      </c>
      <c r="H249" s="14"/>
      <c r="I249" s="15" t="s">
        <v>668</v>
      </c>
    </row>
    <row r="250" spans="1:9" ht="15" customHeight="1">
      <c r="A250" s="123">
        <v>46037</v>
      </c>
      <c r="B250" s="94"/>
      <c r="C250" s="125" t="s">
        <v>666</v>
      </c>
      <c r="D250" s="15" t="s">
        <v>148</v>
      </c>
      <c r="E250" s="17">
        <v>2</v>
      </c>
      <c r="F250" s="17">
        <v>50</v>
      </c>
      <c r="G250" s="124">
        <v>0.1</v>
      </c>
      <c r="H250" s="14"/>
      <c r="I250" s="15" t="s">
        <v>700</v>
      </c>
    </row>
    <row r="251" spans="1:9" ht="15" customHeight="1">
      <c r="A251" s="123">
        <v>46037</v>
      </c>
      <c r="B251" s="94"/>
      <c r="C251" s="125" t="s">
        <v>666</v>
      </c>
      <c r="D251" s="15" t="s">
        <v>155</v>
      </c>
      <c r="E251" s="17">
        <v>3</v>
      </c>
      <c r="F251" s="17">
        <v>80</v>
      </c>
      <c r="G251" s="124">
        <v>4.8</v>
      </c>
      <c r="H251" s="14"/>
      <c r="I251" s="94" t="s">
        <v>673</v>
      </c>
    </row>
    <row r="252" spans="1:9" ht="15" customHeight="1">
      <c r="A252" s="123">
        <v>46037</v>
      </c>
      <c r="B252" s="94"/>
      <c r="C252" s="125" t="s">
        <v>666</v>
      </c>
      <c r="D252" s="15" t="s">
        <v>159</v>
      </c>
      <c r="E252" s="17">
        <v>2</v>
      </c>
      <c r="F252" s="17">
        <v>50</v>
      </c>
      <c r="G252" s="124">
        <v>0.1</v>
      </c>
      <c r="H252" s="14"/>
      <c r="I252" s="15" t="s">
        <v>700</v>
      </c>
    </row>
    <row r="253" spans="1:9" ht="15" customHeight="1">
      <c r="A253" s="123">
        <v>46037</v>
      </c>
      <c r="B253" s="94"/>
      <c r="C253" s="125" t="s">
        <v>666</v>
      </c>
      <c r="D253" s="15" t="s">
        <v>169</v>
      </c>
      <c r="E253" s="17">
        <v>2</v>
      </c>
      <c r="F253" s="17">
        <v>1000</v>
      </c>
      <c r="G253" s="124">
        <v>2</v>
      </c>
      <c r="H253" s="14"/>
      <c r="I253" s="15" t="s">
        <v>706</v>
      </c>
    </row>
    <row r="254" spans="1:9" ht="15" customHeight="1">
      <c r="A254" s="123">
        <v>46037</v>
      </c>
      <c r="B254" s="94"/>
      <c r="C254" s="125" t="s">
        <v>666</v>
      </c>
      <c r="D254" s="15" t="s">
        <v>181</v>
      </c>
      <c r="E254" s="17">
        <v>1</v>
      </c>
      <c r="F254" s="17">
        <v>1000</v>
      </c>
      <c r="G254" s="124">
        <v>1</v>
      </c>
      <c r="H254" s="14"/>
      <c r="I254" s="94" t="s">
        <v>705</v>
      </c>
    </row>
    <row r="255" spans="1:9" ht="15" customHeight="1">
      <c r="A255" s="123">
        <v>46037</v>
      </c>
      <c r="B255" s="94"/>
      <c r="C255" s="125" t="s">
        <v>666</v>
      </c>
      <c r="D255" s="15" t="s">
        <v>183</v>
      </c>
      <c r="E255" s="17">
        <v>12</v>
      </c>
      <c r="F255" s="17">
        <v>60</v>
      </c>
      <c r="G255" s="124">
        <v>21.6</v>
      </c>
      <c r="H255" s="14"/>
      <c r="I255" s="15" t="s">
        <v>676</v>
      </c>
    </row>
    <row r="256" spans="1:9" ht="15" customHeight="1">
      <c r="A256" s="123">
        <v>46037</v>
      </c>
      <c r="B256" s="94"/>
      <c r="C256" s="125" t="s">
        <v>666</v>
      </c>
      <c r="D256" s="15" t="s">
        <v>184</v>
      </c>
      <c r="E256" s="17">
        <v>3</v>
      </c>
      <c r="F256" s="17">
        <v>50</v>
      </c>
      <c r="G256" s="124">
        <v>0.15</v>
      </c>
      <c r="H256" s="14"/>
      <c r="I256" s="15" t="s">
        <v>700</v>
      </c>
    </row>
    <row r="257" spans="1:9" ht="15" customHeight="1">
      <c r="A257" s="123">
        <v>46037</v>
      </c>
      <c r="B257" s="94"/>
      <c r="C257" s="125" t="s">
        <v>666</v>
      </c>
      <c r="D257" s="15" t="s">
        <v>186</v>
      </c>
      <c r="E257" s="17">
        <v>2</v>
      </c>
      <c r="F257" s="17">
        <v>50</v>
      </c>
      <c r="G257" s="124">
        <v>0.1</v>
      </c>
      <c r="H257" s="14"/>
      <c r="I257" s="15" t="s">
        <v>700</v>
      </c>
    </row>
    <row r="258" spans="1:9" ht="15" customHeight="1">
      <c r="A258" s="123">
        <v>46037</v>
      </c>
      <c r="B258" s="94"/>
      <c r="C258" s="125" t="s">
        <v>666</v>
      </c>
      <c r="D258" s="15" t="s">
        <v>192</v>
      </c>
      <c r="E258" s="17">
        <v>2</v>
      </c>
      <c r="F258" s="17">
        <v>50</v>
      </c>
      <c r="G258" s="124">
        <v>0.1</v>
      </c>
      <c r="H258" s="14"/>
      <c r="I258" s="15" t="s">
        <v>700</v>
      </c>
    </row>
    <row r="259" spans="1:9" ht="15" customHeight="1">
      <c r="A259" s="123">
        <v>46037</v>
      </c>
      <c r="B259" s="94"/>
      <c r="C259" s="125" t="s">
        <v>666</v>
      </c>
      <c r="D259" s="15" t="s">
        <v>195</v>
      </c>
      <c r="E259" s="17">
        <v>2</v>
      </c>
      <c r="F259" s="17">
        <v>50</v>
      </c>
      <c r="G259" s="124">
        <v>0.1</v>
      </c>
      <c r="H259" s="14"/>
      <c r="I259" s="15" t="s">
        <v>700</v>
      </c>
    </row>
    <row r="260" spans="1:9" ht="15" customHeight="1">
      <c r="A260" s="123">
        <v>46037</v>
      </c>
      <c r="B260" s="94"/>
      <c r="C260" s="125" t="s">
        <v>666</v>
      </c>
      <c r="D260" s="15" t="s">
        <v>222</v>
      </c>
      <c r="E260" s="17">
        <v>2</v>
      </c>
      <c r="F260" s="17">
        <v>40</v>
      </c>
      <c r="G260" s="124">
        <v>1.6</v>
      </c>
      <c r="H260" s="14"/>
      <c r="I260" s="15" t="s">
        <v>679</v>
      </c>
    </row>
    <row r="261" spans="1:9" ht="15" customHeight="1">
      <c r="A261" s="123">
        <v>46037</v>
      </c>
      <c r="B261" s="94"/>
      <c r="C261" s="125" t="s">
        <v>666</v>
      </c>
      <c r="D261" s="15" t="s">
        <v>204</v>
      </c>
      <c r="E261" s="17">
        <v>2</v>
      </c>
      <c r="F261" s="17">
        <v>60</v>
      </c>
      <c r="G261" s="124">
        <v>1.8</v>
      </c>
      <c r="H261" s="14"/>
      <c r="I261" s="15" t="s">
        <v>695</v>
      </c>
    </row>
    <row r="262" spans="1:9" ht="15" customHeight="1">
      <c r="A262" s="123">
        <v>46037</v>
      </c>
      <c r="B262" s="94"/>
      <c r="C262" s="125" t="s">
        <v>666</v>
      </c>
      <c r="D262" s="15" t="s">
        <v>204</v>
      </c>
      <c r="E262" s="17">
        <v>23</v>
      </c>
      <c r="F262" s="17">
        <v>60</v>
      </c>
      <c r="G262" s="124">
        <v>41.4</v>
      </c>
      <c r="H262" s="14"/>
      <c r="I262" s="15" t="s">
        <v>681</v>
      </c>
    </row>
    <row r="263" spans="1:9" ht="15" customHeight="1">
      <c r="A263" s="123">
        <v>46037</v>
      </c>
      <c r="B263" s="94"/>
      <c r="C263" s="125" t="s">
        <v>666</v>
      </c>
      <c r="D263" s="15" t="s">
        <v>205</v>
      </c>
      <c r="E263" s="17">
        <v>2</v>
      </c>
      <c r="F263" s="17">
        <v>60</v>
      </c>
      <c r="G263" s="124">
        <v>1.8</v>
      </c>
      <c r="H263" s="14"/>
      <c r="I263" s="15" t="s">
        <v>696</v>
      </c>
    </row>
    <row r="264" spans="1:9" ht="15" customHeight="1">
      <c r="A264" s="123">
        <v>46037</v>
      </c>
      <c r="B264" s="94"/>
      <c r="C264" s="125" t="s">
        <v>666</v>
      </c>
      <c r="D264" s="15" t="s">
        <v>205</v>
      </c>
      <c r="E264" s="17">
        <v>15</v>
      </c>
      <c r="F264" s="17">
        <v>60</v>
      </c>
      <c r="G264" s="124">
        <v>27</v>
      </c>
      <c r="H264" s="14"/>
      <c r="I264" s="15" t="s">
        <v>682</v>
      </c>
    </row>
    <row r="265" spans="1:9" ht="15" customHeight="1">
      <c r="A265" s="123">
        <v>46037</v>
      </c>
      <c r="B265" s="94"/>
      <c r="C265" s="125" t="s">
        <v>666</v>
      </c>
      <c r="D265" s="15" t="s">
        <v>206</v>
      </c>
      <c r="E265" s="17">
        <v>1</v>
      </c>
      <c r="F265" s="17">
        <v>30</v>
      </c>
      <c r="G265" s="124">
        <v>1.8</v>
      </c>
      <c r="H265" s="14"/>
      <c r="I265" s="15" t="s">
        <v>683</v>
      </c>
    </row>
    <row r="266" spans="1:9" ht="15" customHeight="1">
      <c r="A266" s="123">
        <v>46037</v>
      </c>
      <c r="B266" s="94"/>
      <c r="C266" s="125" t="s">
        <v>666</v>
      </c>
      <c r="D266" s="15" t="s">
        <v>219</v>
      </c>
      <c r="E266" s="17">
        <v>2</v>
      </c>
      <c r="F266" s="17">
        <v>50</v>
      </c>
      <c r="G266" s="124">
        <v>0.1</v>
      </c>
      <c r="H266" s="14"/>
      <c r="I266" s="15" t="s">
        <v>700</v>
      </c>
    </row>
    <row r="267" spans="1:9" ht="15" customHeight="1">
      <c r="A267" s="123">
        <v>46037</v>
      </c>
      <c r="B267" s="94"/>
      <c r="C267" s="125" t="s">
        <v>666</v>
      </c>
      <c r="D267" s="15" t="s">
        <v>220</v>
      </c>
      <c r="E267" s="17">
        <v>10</v>
      </c>
      <c r="F267" s="17">
        <v>50</v>
      </c>
      <c r="G267" s="124">
        <v>0.5</v>
      </c>
      <c r="H267" s="14"/>
      <c r="I267" s="15" t="s">
        <v>668</v>
      </c>
    </row>
    <row r="268" spans="1:9" ht="15" customHeight="1">
      <c r="A268" s="123">
        <v>46038</v>
      </c>
      <c r="B268" s="94"/>
      <c r="C268" s="125" t="s">
        <v>666</v>
      </c>
      <c r="D268" s="94" t="s">
        <v>141</v>
      </c>
      <c r="E268" s="17">
        <v>1</v>
      </c>
      <c r="F268" s="17">
        <v>60</v>
      </c>
      <c r="G268" s="124">
        <v>1.2</v>
      </c>
      <c r="H268" s="14"/>
      <c r="I268" s="94" t="s">
        <v>692</v>
      </c>
    </row>
    <row r="269" spans="1:9" ht="15" customHeight="1">
      <c r="A269" s="123">
        <v>46038</v>
      </c>
      <c r="B269" s="94"/>
      <c r="C269" s="125" t="s">
        <v>666</v>
      </c>
      <c r="D269" s="15" t="s">
        <v>142</v>
      </c>
      <c r="E269" s="17">
        <v>5</v>
      </c>
      <c r="F269" s="17">
        <v>50</v>
      </c>
      <c r="G269" s="124">
        <v>0.25</v>
      </c>
      <c r="H269" s="14"/>
      <c r="I269" s="15" t="s">
        <v>693</v>
      </c>
    </row>
    <row r="270" spans="1:9" ht="15" customHeight="1">
      <c r="A270" s="123">
        <v>46038</v>
      </c>
      <c r="B270" s="94"/>
      <c r="C270" s="125" t="s">
        <v>666</v>
      </c>
      <c r="D270" s="15" t="s">
        <v>143</v>
      </c>
      <c r="E270" s="17">
        <v>5</v>
      </c>
      <c r="F270" s="17">
        <v>50</v>
      </c>
      <c r="G270" s="124">
        <v>0.25</v>
      </c>
      <c r="H270" s="14"/>
      <c r="I270" s="15" t="s">
        <v>671</v>
      </c>
    </row>
    <row r="271" spans="1:9" ht="15" customHeight="1">
      <c r="A271" s="123">
        <v>46038</v>
      </c>
      <c r="B271" s="94"/>
      <c r="C271" s="125" t="s">
        <v>666</v>
      </c>
      <c r="D271" s="15" t="s">
        <v>144</v>
      </c>
      <c r="E271" s="17">
        <v>5</v>
      </c>
      <c r="F271" s="17">
        <v>1000</v>
      </c>
      <c r="G271" s="124">
        <v>5</v>
      </c>
      <c r="H271" s="14"/>
      <c r="I271" s="15" t="s">
        <v>686</v>
      </c>
    </row>
    <row r="272" spans="1:9" ht="15" customHeight="1">
      <c r="A272" s="123">
        <v>46038</v>
      </c>
      <c r="B272" s="94"/>
      <c r="C272" s="125" t="s">
        <v>666</v>
      </c>
      <c r="D272" s="15" t="s">
        <v>144</v>
      </c>
      <c r="E272" s="17">
        <v>3</v>
      </c>
      <c r="F272" s="17">
        <v>1000</v>
      </c>
      <c r="G272" s="124">
        <v>6</v>
      </c>
      <c r="H272" s="14"/>
      <c r="I272" s="15" t="s">
        <v>672</v>
      </c>
    </row>
    <row r="273" spans="1:9" ht="15" customHeight="1">
      <c r="A273" s="123">
        <v>46038</v>
      </c>
      <c r="B273" s="94"/>
      <c r="C273" s="125" t="s">
        <v>666</v>
      </c>
      <c r="D273" s="15" t="s">
        <v>145</v>
      </c>
      <c r="E273" s="17">
        <v>5</v>
      </c>
      <c r="F273" s="17">
        <v>50</v>
      </c>
      <c r="G273" s="124">
        <v>0.25</v>
      </c>
      <c r="H273" s="14"/>
      <c r="I273" s="15" t="s">
        <v>671</v>
      </c>
    </row>
    <row r="274" spans="1:9" ht="15" customHeight="1">
      <c r="A274" s="123">
        <v>46038</v>
      </c>
      <c r="B274" s="94"/>
      <c r="C274" s="125" t="s">
        <v>666</v>
      </c>
      <c r="D274" s="15" t="s">
        <v>146</v>
      </c>
      <c r="E274" s="17">
        <v>5</v>
      </c>
      <c r="F274" s="17">
        <v>50</v>
      </c>
      <c r="G274" s="124">
        <v>0.25</v>
      </c>
      <c r="H274" s="14"/>
      <c r="I274" s="15" t="s">
        <v>693</v>
      </c>
    </row>
    <row r="275" spans="1:9" ht="15" customHeight="1">
      <c r="A275" s="123">
        <v>46038</v>
      </c>
      <c r="B275" s="94"/>
      <c r="C275" s="125" t="s">
        <v>666</v>
      </c>
      <c r="D275" s="15" t="s">
        <v>147</v>
      </c>
      <c r="E275" s="17">
        <v>1</v>
      </c>
      <c r="F275" s="17">
        <v>50</v>
      </c>
      <c r="G275" s="124">
        <v>1</v>
      </c>
      <c r="H275" s="14"/>
      <c r="I275" s="15" t="s">
        <v>687</v>
      </c>
    </row>
    <row r="276" spans="1:9" ht="15" customHeight="1">
      <c r="A276" s="123">
        <v>46038</v>
      </c>
      <c r="B276" s="94"/>
      <c r="C276" s="125" t="s">
        <v>666</v>
      </c>
      <c r="D276" s="15" t="s">
        <v>147</v>
      </c>
      <c r="E276" s="17">
        <v>5</v>
      </c>
      <c r="F276" s="17">
        <v>50</v>
      </c>
      <c r="G276" s="124">
        <v>0.25</v>
      </c>
      <c r="H276" s="14"/>
      <c r="I276" s="15" t="s">
        <v>693</v>
      </c>
    </row>
    <row r="277" spans="1:9" ht="15" customHeight="1">
      <c r="A277" s="123">
        <v>46038</v>
      </c>
      <c r="B277" s="94"/>
      <c r="C277" s="125" t="s">
        <v>666</v>
      </c>
      <c r="D277" s="15" t="s">
        <v>148</v>
      </c>
      <c r="E277" s="17">
        <v>4</v>
      </c>
      <c r="F277" s="17">
        <v>50</v>
      </c>
      <c r="G277" s="124">
        <v>0.2</v>
      </c>
      <c r="H277" s="14"/>
      <c r="I277" s="15" t="s">
        <v>671</v>
      </c>
    </row>
    <row r="278" spans="1:9" ht="15" customHeight="1">
      <c r="A278" s="123">
        <v>46038</v>
      </c>
      <c r="B278" s="94"/>
      <c r="C278" s="125" t="s">
        <v>666</v>
      </c>
      <c r="D278" s="15" t="s">
        <v>155</v>
      </c>
      <c r="E278" s="17">
        <v>4</v>
      </c>
      <c r="F278" s="17">
        <v>80</v>
      </c>
      <c r="G278" s="124">
        <v>6.4</v>
      </c>
      <c r="H278" s="14"/>
      <c r="I278" s="94" t="s">
        <v>673</v>
      </c>
    </row>
    <row r="279" spans="1:9" ht="15" customHeight="1">
      <c r="A279" s="123">
        <v>46038</v>
      </c>
      <c r="B279" s="94"/>
      <c r="C279" s="125" t="s">
        <v>666</v>
      </c>
      <c r="D279" s="15" t="s">
        <v>159</v>
      </c>
      <c r="E279" s="17">
        <v>4</v>
      </c>
      <c r="F279" s="17">
        <v>50</v>
      </c>
      <c r="G279" s="124">
        <v>0.2</v>
      </c>
      <c r="H279" s="14"/>
      <c r="I279" s="15" t="s">
        <v>671</v>
      </c>
    </row>
    <row r="280" spans="1:9" ht="15" customHeight="1">
      <c r="A280" s="123">
        <v>46038</v>
      </c>
      <c r="B280" s="94"/>
      <c r="C280" s="125" t="s">
        <v>666</v>
      </c>
      <c r="D280" s="15" t="s">
        <v>161</v>
      </c>
      <c r="E280" s="17">
        <v>2</v>
      </c>
      <c r="F280" s="17">
        <v>1000</v>
      </c>
      <c r="G280" s="124">
        <v>2</v>
      </c>
      <c r="H280" s="14"/>
      <c r="I280" s="15" t="s">
        <v>694</v>
      </c>
    </row>
    <row r="281" spans="1:9" ht="15" customHeight="1">
      <c r="A281" s="123">
        <v>46038</v>
      </c>
      <c r="B281" s="94"/>
      <c r="C281" s="125" t="s">
        <v>666</v>
      </c>
      <c r="D281" s="15" t="s">
        <v>174</v>
      </c>
      <c r="E281" s="17">
        <v>4</v>
      </c>
      <c r="F281" s="17">
        <v>1000</v>
      </c>
      <c r="G281" s="124">
        <v>4</v>
      </c>
      <c r="H281" s="14"/>
      <c r="I281" s="15" t="s">
        <v>674</v>
      </c>
    </row>
    <row r="282" spans="1:9" ht="15" customHeight="1">
      <c r="A282" s="123">
        <v>46038</v>
      </c>
      <c r="B282" s="94"/>
      <c r="C282" s="125" t="s">
        <v>666</v>
      </c>
      <c r="D282" s="15" t="s">
        <v>179</v>
      </c>
      <c r="E282" s="17">
        <v>1</v>
      </c>
      <c r="F282" s="17">
        <v>1000</v>
      </c>
      <c r="G282" s="124">
        <v>1</v>
      </c>
      <c r="H282" s="14"/>
      <c r="I282" s="15" t="s">
        <v>702</v>
      </c>
    </row>
    <row r="283" spans="1:9" ht="15" customHeight="1">
      <c r="A283" s="123">
        <v>46038</v>
      </c>
      <c r="B283" s="94"/>
      <c r="C283" s="125" t="s">
        <v>666</v>
      </c>
      <c r="D283" s="15" t="s">
        <v>179</v>
      </c>
      <c r="E283" s="17">
        <v>1</v>
      </c>
      <c r="F283" s="17">
        <v>40</v>
      </c>
      <c r="G283" s="124">
        <v>0.8</v>
      </c>
      <c r="H283" s="14"/>
      <c r="I283" s="15" t="s">
        <v>675</v>
      </c>
    </row>
    <row r="284" spans="1:9" ht="15" customHeight="1">
      <c r="A284" s="123">
        <v>46038</v>
      </c>
      <c r="B284" s="94"/>
      <c r="C284" s="125" t="s">
        <v>666</v>
      </c>
      <c r="D284" s="15" t="s">
        <v>183</v>
      </c>
      <c r="E284" s="17">
        <v>12</v>
      </c>
      <c r="F284" s="17">
        <v>60</v>
      </c>
      <c r="G284" s="124">
        <v>21.6</v>
      </c>
      <c r="H284" s="14"/>
      <c r="I284" s="15" t="s">
        <v>676</v>
      </c>
    </row>
    <row r="285" spans="1:9" ht="15" customHeight="1">
      <c r="A285" s="123">
        <v>46038</v>
      </c>
      <c r="B285" s="94"/>
      <c r="C285" s="125" t="s">
        <v>666</v>
      </c>
      <c r="D285" s="15" t="s">
        <v>184</v>
      </c>
      <c r="E285" s="17">
        <v>1</v>
      </c>
      <c r="F285" s="17">
        <v>50</v>
      </c>
      <c r="G285" s="124">
        <v>2</v>
      </c>
      <c r="H285" s="14"/>
      <c r="I285" s="15" t="s">
        <v>678</v>
      </c>
    </row>
    <row r="286" spans="1:9" ht="15" customHeight="1">
      <c r="A286" s="123">
        <v>46038</v>
      </c>
      <c r="B286" s="94"/>
      <c r="C286" s="125" t="s">
        <v>666</v>
      </c>
      <c r="D286" s="15" t="s">
        <v>184</v>
      </c>
      <c r="E286" s="17">
        <v>5</v>
      </c>
      <c r="F286" s="17">
        <v>50</v>
      </c>
      <c r="G286" s="124">
        <v>0.25</v>
      </c>
      <c r="H286" s="14"/>
      <c r="I286" s="15" t="s">
        <v>671</v>
      </c>
    </row>
    <row r="287" spans="1:9" ht="15" customHeight="1">
      <c r="A287" s="123">
        <v>46038</v>
      </c>
      <c r="B287" s="94"/>
      <c r="C287" s="125" t="s">
        <v>666</v>
      </c>
      <c r="D287" s="15" t="s">
        <v>186</v>
      </c>
      <c r="E287" s="17">
        <v>4</v>
      </c>
      <c r="F287" s="17">
        <v>50</v>
      </c>
      <c r="G287" s="124">
        <v>0.2</v>
      </c>
      <c r="H287" s="14"/>
      <c r="I287" s="15" t="s">
        <v>671</v>
      </c>
    </row>
    <row r="288" spans="1:9" ht="15" customHeight="1">
      <c r="A288" s="123">
        <v>46038</v>
      </c>
      <c r="B288" s="94"/>
      <c r="C288" s="125" t="s">
        <v>666</v>
      </c>
      <c r="D288" s="15" t="s">
        <v>192</v>
      </c>
      <c r="E288" s="17">
        <v>5</v>
      </c>
      <c r="F288" s="17">
        <v>50</v>
      </c>
      <c r="G288" s="124">
        <v>0.25</v>
      </c>
      <c r="H288" s="14"/>
      <c r="I288" s="15" t="s">
        <v>671</v>
      </c>
    </row>
    <row r="289" spans="1:9" ht="15" customHeight="1">
      <c r="A289" s="123">
        <v>46038</v>
      </c>
      <c r="B289" s="94"/>
      <c r="C289" s="125" t="s">
        <v>666</v>
      </c>
      <c r="D289" s="15" t="s">
        <v>195</v>
      </c>
      <c r="E289" s="17">
        <v>4</v>
      </c>
      <c r="F289" s="17">
        <v>50</v>
      </c>
      <c r="G289" s="124">
        <v>0.2</v>
      </c>
      <c r="H289" s="14"/>
      <c r="I289" s="15" t="s">
        <v>671</v>
      </c>
    </row>
    <row r="290" spans="1:9" ht="15" customHeight="1">
      <c r="A290" s="123">
        <v>46038</v>
      </c>
      <c r="B290" s="94"/>
      <c r="C290" s="125" t="s">
        <v>666</v>
      </c>
      <c r="D290" s="15" t="s">
        <v>204</v>
      </c>
      <c r="E290" s="17">
        <v>12</v>
      </c>
      <c r="F290" s="17">
        <v>60</v>
      </c>
      <c r="G290" s="124">
        <v>21.6</v>
      </c>
      <c r="H290" s="14"/>
      <c r="I290" s="15" t="s">
        <v>681</v>
      </c>
    </row>
    <row r="291" spans="1:9" ht="15" customHeight="1">
      <c r="A291" s="123">
        <v>46038</v>
      </c>
      <c r="B291" s="94"/>
      <c r="C291" s="125" t="s">
        <v>666</v>
      </c>
      <c r="D291" s="15" t="s">
        <v>205</v>
      </c>
      <c r="E291" s="17">
        <v>4</v>
      </c>
      <c r="F291" s="17">
        <v>60</v>
      </c>
      <c r="G291" s="124">
        <v>7.2</v>
      </c>
      <c r="H291" s="14"/>
      <c r="I291" s="15" t="s">
        <v>682</v>
      </c>
    </row>
    <row r="292" spans="1:9" ht="15" customHeight="1">
      <c r="A292" s="123">
        <v>46038</v>
      </c>
      <c r="B292" s="94"/>
      <c r="C292" s="125" t="s">
        <v>666</v>
      </c>
      <c r="D292" s="15" t="s">
        <v>206</v>
      </c>
      <c r="E292" s="17">
        <v>2</v>
      </c>
      <c r="F292" s="17">
        <v>30</v>
      </c>
      <c r="G292" s="124">
        <v>3.6</v>
      </c>
      <c r="H292" s="14"/>
      <c r="I292" s="15" t="s">
        <v>683</v>
      </c>
    </row>
    <row r="293" spans="1:9" ht="15" customHeight="1">
      <c r="A293" s="123">
        <v>46038</v>
      </c>
      <c r="B293" s="94"/>
      <c r="C293" s="125" t="s">
        <v>666</v>
      </c>
      <c r="D293" s="15" t="s">
        <v>219</v>
      </c>
      <c r="E293" s="17">
        <v>4</v>
      </c>
      <c r="F293" s="17">
        <v>50</v>
      </c>
      <c r="G293" s="124">
        <v>0.2</v>
      </c>
      <c r="H293" s="14"/>
      <c r="I293" s="15" t="s">
        <v>671</v>
      </c>
    </row>
    <row r="294" spans="1:9" ht="15" customHeight="1">
      <c r="A294" s="123">
        <v>46038</v>
      </c>
      <c r="B294" s="94"/>
      <c r="C294" s="125" t="s">
        <v>666</v>
      </c>
      <c r="D294" s="15" t="s">
        <v>220</v>
      </c>
      <c r="E294" s="17">
        <v>5</v>
      </c>
      <c r="F294" s="17">
        <v>50</v>
      </c>
      <c r="G294" s="124">
        <v>0.25</v>
      </c>
      <c r="H294" s="14"/>
      <c r="I294" s="15" t="s">
        <v>693</v>
      </c>
    </row>
    <row r="295" spans="1:9" ht="15" customHeight="1">
      <c r="A295" s="123">
        <v>46039</v>
      </c>
      <c r="B295" s="15" t="s">
        <v>656</v>
      </c>
      <c r="C295" s="14" t="s">
        <v>657</v>
      </c>
      <c r="D295" s="15" t="s">
        <v>155</v>
      </c>
      <c r="E295" s="17">
        <v>20</v>
      </c>
      <c r="F295" s="17">
        <v>80</v>
      </c>
      <c r="G295" s="124">
        <v>1.6</v>
      </c>
      <c r="H295" s="14"/>
      <c r="I295" s="94" t="s">
        <v>713</v>
      </c>
    </row>
    <row r="296" spans="1:9" ht="15" customHeight="1">
      <c r="A296" s="123">
        <v>46039</v>
      </c>
      <c r="B296" s="15" t="s">
        <v>656</v>
      </c>
      <c r="C296" s="14" t="s">
        <v>657</v>
      </c>
      <c r="D296" s="15" t="s">
        <v>222</v>
      </c>
      <c r="E296" s="17">
        <v>20</v>
      </c>
      <c r="F296" s="17">
        <v>40</v>
      </c>
      <c r="G296" s="124">
        <v>0.8</v>
      </c>
      <c r="H296" s="14"/>
      <c r="I296" s="15" t="s">
        <v>714</v>
      </c>
    </row>
    <row r="297" spans="1:9" ht="15" customHeight="1">
      <c r="A297" s="123">
        <v>46039</v>
      </c>
      <c r="B297" s="15" t="s">
        <v>656</v>
      </c>
      <c r="C297" s="14" t="s">
        <v>657</v>
      </c>
      <c r="D297" s="15" t="s">
        <v>221</v>
      </c>
      <c r="E297" s="17">
        <v>20</v>
      </c>
      <c r="F297" s="17">
        <v>40</v>
      </c>
      <c r="G297" s="124">
        <v>0.8</v>
      </c>
      <c r="H297" s="14"/>
      <c r="I297" s="15" t="s">
        <v>221</v>
      </c>
    </row>
    <row r="298" spans="1:9" ht="15" customHeight="1">
      <c r="A298" s="123">
        <v>46041</v>
      </c>
      <c r="B298" s="94"/>
      <c r="C298" s="125" t="s">
        <v>666</v>
      </c>
      <c r="D298" s="94" t="s">
        <v>141</v>
      </c>
      <c r="E298" s="17">
        <v>2</v>
      </c>
      <c r="F298" s="17">
        <v>60</v>
      </c>
      <c r="G298" s="124">
        <v>2.4</v>
      </c>
      <c r="H298" s="14"/>
      <c r="I298" s="94" t="s">
        <v>692</v>
      </c>
    </row>
    <row r="299" spans="1:9" ht="15" customHeight="1">
      <c r="A299" s="123">
        <v>46041</v>
      </c>
      <c r="B299" s="94"/>
      <c r="C299" s="125" t="s">
        <v>666</v>
      </c>
      <c r="D299" s="15" t="s">
        <v>142</v>
      </c>
      <c r="E299" s="17">
        <v>1</v>
      </c>
      <c r="F299" s="17">
        <v>50</v>
      </c>
      <c r="G299" s="124">
        <v>1</v>
      </c>
      <c r="H299" s="14"/>
      <c r="I299" s="15" t="s">
        <v>667</v>
      </c>
    </row>
    <row r="300" spans="1:9" ht="15" customHeight="1">
      <c r="A300" s="123">
        <v>46041</v>
      </c>
      <c r="B300" s="94"/>
      <c r="C300" s="125" t="s">
        <v>666</v>
      </c>
      <c r="D300" s="15" t="s">
        <v>142</v>
      </c>
      <c r="E300" s="17">
        <v>5</v>
      </c>
      <c r="F300" s="17">
        <v>50</v>
      </c>
      <c r="G300" s="124">
        <v>0.25</v>
      </c>
      <c r="H300" s="14"/>
      <c r="I300" s="15" t="s">
        <v>693</v>
      </c>
    </row>
    <row r="301" spans="1:9" ht="15" customHeight="1">
      <c r="A301" s="123">
        <v>46041</v>
      </c>
      <c r="B301" s="94"/>
      <c r="C301" s="125" t="s">
        <v>666</v>
      </c>
      <c r="D301" s="15" t="s">
        <v>143</v>
      </c>
      <c r="E301" s="17">
        <v>10</v>
      </c>
      <c r="F301" s="17">
        <v>50</v>
      </c>
      <c r="G301" s="124">
        <v>10</v>
      </c>
      <c r="H301" s="14"/>
      <c r="I301" s="15" t="s">
        <v>669</v>
      </c>
    </row>
    <row r="302" spans="1:9" ht="15" customHeight="1">
      <c r="A302" s="123">
        <v>46041</v>
      </c>
      <c r="B302" s="94"/>
      <c r="C302" s="125" t="s">
        <v>666</v>
      </c>
      <c r="D302" s="15" t="s">
        <v>143</v>
      </c>
      <c r="E302" s="17">
        <v>4</v>
      </c>
      <c r="F302" s="17">
        <v>50</v>
      </c>
      <c r="G302" s="124">
        <v>8</v>
      </c>
      <c r="H302" s="14"/>
      <c r="I302" s="15" t="s">
        <v>670</v>
      </c>
    </row>
    <row r="303" spans="1:9" ht="15" customHeight="1">
      <c r="A303" s="123">
        <v>46041</v>
      </c>
      <c r="B303" s="94"/>
      <c r="C303" s="125" t="s">
        <v>666</v>
      </c>
      <c r="D303" s="15" t="s">
        <v>144</v>
      </c>
      <c r="E303" s="17">
        <v>11</v>
      </c>
      <c r="F303" s="17">
        <v>1000</v>
      </c>
      <c r="G303" s="124">
        <v>22</v>
      </c>
      <c r="H303" s="14"/>
      <c r="I303" s="15" t="s">
        <v>672</v>
      </c>
    </row>
    <row r="304" spans="1:9" ht="15" customHeight="1">
      <c r="A304" s="123">
        <v>46041</v>
      </c>
      <c r="B304" s="94"/>
      <c r="C304" s="125" t="s">
        <v>666</v>
      </c>
      <c r="D304" s="15" t="s">
        <v>146</v>
      </c>
      <c r="E304" s="17">
        <v>5</v>
      </c>
      <c r="F304" s="17">
        <v>50</v>
      </c>
      <c r="G304" s="124">
        <v>0.25</v>
      </c>
      <c r="H304" s="14"/>
      <c r="I304" s="15" t="s">
        <v>693</v>
      </c>
    </row>
    <row r="305" spans="1:9" ht="15" customHeight="1">
      <c r="A305" s="123">
        <v>46041</v>
      </c>
      <c r="B305" s="94"/>
      <c r="C305" s="125" t="s">
        <v>666</v>
      </c>
      <c r="D305" s="15" t="s">
        <v>147</v>
      </c>
      <c r="E305" s="17">
        <v>1</v>
      </c>
      <c r="F305" s="17">
        <v>50</v>
      </c>
      <c r="G305" s="124">
        <v>1</v>
      </c>
      <c r="H305" s="14"/>
      <c r="I305" s="15" t="s">
        <v>687</v>
      </c>
    </row>
    <row r="306" spans="1:9" ht="15" customHeight="1">
      <c r="A306" s="123">
        <v>46041</v>
      </c>
      <c r="B306" s="94"/>
      <c r="C306" s="125" t="s">
        <v>666</v>
      </c>
      <c r="D306" s="15" t="s">
        <v>147</v>
      </c>
      <c r="E306" s="17">
        <v>5</v>
      </c>
      <c r="F306" s="17">
        <v>50</v>
      </c>
      <c r="G306" s="124">
        <v>0.25</v>
      </c>
      <c r="H306" s="14"/>
      <c r="I306" s="15" t="s">
        <v>693</v>
      </c>
    </row>
    <row r="307" spans="1:9" ht="15" customHeight="1">
      <c r="A307" s="123">
        <v>46041</v>
      </c>
      <c r="B307" s="94"/>
      <c r="C307" s="125" t="s">
        <v>666</v>
      </c>
      <c r="D307" s="15" t="s">
        <v>155</v>
      </c>
      <c r="E307" s="17">
        <v>5</v>
      </c>
      <c r="F307" s="17">
        <v>80</v>
      </c>
      <c r="G307" s="124">
        <v>8</v>
      </c>
      <c r="H307" s="14"/>
      <c r="I307" s="94" t="s">
        <v>673</v>
      </c>
    </row>
    <row r="308" spans="1:9" ht="15" customHeight="1">
      <c r="A308" s="123">
        <v>46041</v>
      </c>
      <c r="B308" s="94"/>
      <c r="C308" s="125" t="s">
        <v>666</v>
      </c>
      <c r="D308" s="15" t="s">
        <v>161</v>
      </c>
      <c r="E308" s="17">
        <v>2</v>
      </c>
      <c r="F308" s="17">
        <v>1000</v>
      </c>
      <c r="G308" s="124">
        <v>2</v>
      </c>
      <c r="H308" s="14"/>
      <c r="I308" s="15" t="s">
        <v>694</v>
      </c>
    </row>
    <row r="309" spans="1:9" ht="15" customHeight="1">
      <c r="A309" s="123">
        <v>46041</v>
      </c>
      <c r="B309" s="94"/>
      <c r="C309" s="125" t="s">
        <v>666</v>
      </c>
      <c r="D309" s="15" t="s">
        <v>161</v>
      </c>
      <c r="E309" s="17">
        <v>2</v>
      </c>
      <c r="F309" s="17">
        <v>1000</v>
      </c>
      <c r="G309" s="124">
        <v>2</v>
      </c>
      <c r="H309" s="14"/>
      <c r="I309" s="15" t="s">
        <v>701</v>
      </c>
    </row>
    <row r="310" spans="1:9" ht="15" customHeight="1">
      <c r="A310" s="123">
        <v>46041</v>
      </c>
      <c r="B310" s="94"/>
      <c r="C310" s="125" t="s">
        <v>666</v>
      </c>
      <c r="D310" s="15" t="s">
        <v>173</v>
      </c>
      <c r="E310" s="17">
        <v>2</v>
      </c>
      <c r="F310" s="17">
        <v>50</v>
      </c>
      <c r="G310" s="124">
        <v>1</v>
      </c>
      <c r="H310" s="14"/>
      <c r="I310" s="15" t="s">
        <v>715</v>
      </c>
    </row>
    <row r="311" spans="1:9" ht="15" customHeight="1">
      <c r="A311" s="123">
        <v>46041</v>
      </c>
      <c r="B311" s="94"/>
      <c r="C311" s="125" t="s">
        <v>666</v>
      </c>
      <c r="D311" s="15" t="s">
        <v>174</v>
      </c>
      <c r="E311" s="17">
        <v>6</v>
      </c>
      <c r="F311" s="17">
        <v>1000</v>
      </c>
      <c r="G311" s="124">
        <v>6</v>
      </c>
      <c r="H311" s="14"/>
      <c r="I311" s="15" t="s">
        <v>674</v>
      </c>
    </row>
    <row r="312" spans="1:9" ht="15" customHeight="1">
      <c r="A312" s="123">
        <v>46041</v>
      </c>
      <c r="B312" s="94"/>
      <c r="C312" s="125" t="s">
        <v>666</v>
      </c>
      <c r="D312" s="15" t="s">
        <v>174</v>
      </c>
      <c r="E312" s="17">
        <v>2</v>
      </c>
      <c r="F312" s="17">
        <v>1000</v>
      </c>
      <c r="G312" s="124">
        <v>2</v>
      </c>
      <c r="H312" s="14"/>
      <c r="I312" s="15" t="s">
        <v>701</v>
      </c>
    </row>
    <row r="313" spans="1:9" ht="15" customHeight="1">
      <c r="A313" s="123">
        <v>46041</v>
      </c>
      <c r="B313" s="94"/>
      <c r="C313" s="125" t="s">
        <v>666</v>
      </c>
      <c r="D313" s="15" t="s">
        <v>181</v>
      </c>
      <c r="E313" s="17">
        <v>6</v>
      </c>
      <c r="F313" s="17">
        <v>1000</v>
      </c>
      <c r="G313" s="124">
        <v>6</v>
      </c>
      <c r="H313" s="14"/>
      <c r="I313" s="94" t="s">
        <v>705</v>
      </c>
    </row>
    <row r="314" spans="1:9" ht="15" customHeight="1">
      <c r="A314" s="123">
        <v>46041</v>
      </c>
      <c r="B314" s="94"/>
      <c r="C314" s="125" t="s">
        <v>666</v>
      </c>
      <c r="D314" s="15" t="s">
        <v>183</v>
      </c>
      <c r="E314" s="17">
        <v>1</v>
      </c>
      <c r="F314" s="17">
        <v>60</v>
      </c>
      <c r="G314" s="124">
        <v>0.6</v>
      </c>
      <c r="H314" s="14"/>
      <c r="I314" s="94" t="s">
        <v>709</v>
      </c>
    </row>
    <row r="315" spans="1:9" ht="15" customHeight="1">
      <c r="A315" s="123">
        <v>46041</v>
      </c>
      <c r="B315" s="94"/>
      <c r="C315" s="125" t="s">
        <v>666</v>
      </c>
      <c r="D315" s="15" t="s">
        <v>183</v>
      </c>
      <c r="E315" s="17">
        <v>26</v>
      </c>
      <c r="F315" s="17">
        <v>60</v>
      </c>
      <c r="G315" s="124">
        <v>46.8</v>
      </c>
      <c r="H315" s="14"/>
      <c r="I315" s="15" t="s">
        <v>676</v>
      </c>
    </row>
    <row r="316" spans="1:9" ht="15" customHeight="1">
      <c r="A316" s="123">
        <v>46041</v>
      </c>
      <c r="B316" s="94"/>
      <c r="C316" s="125" t="s">
        <v>666</v>
      </c>
      <c r="D316" s="15" t="s">
        <v>184</v>
      </c>
      <c r="E316" s="17">
        <v>10</v>
      </c>
      <c r="F316" s="17">
        <v>50</v>
      </c>
      <c r="G316" s="124">
        <v>10</v>
      </c>
      <c r="H316" s="14"/>
      <c r="I316" s="15" t="s">
        <v>677</v>
      </c>
    </row>
    <row r="317" spans="1:9" ht="15" customHeight="1">
      <c r="A317" s="123">
        <v>46041</v>
      </c>
      <c r="B317" s="94"/>
      <c r="C317" s="125" t="s">
        <v>666</v>
      </c>
      <c r="D317" s="15" t="s">
        <v>184</v>
      </c>
      <c r="E317" s="17">
        <v>3</v>
      </c>
      <c r="F317" s="17">
        <v>50</v>
      </c>
      <c r="G317" s="124">
        <v>6</v>
      </c>
      <c r="H317" s="14"/>
      <c r="I317" s="15" t="s">
        <v>678</v>
      </c>
    </row>
    <row r="318" spans="1:9" ht="15" customHeight="1">
      <c r="A318" s="123">
        <v>46041</v>
      </c>
      <c r="B318" s="94"/>
      <c r="C318" s="125" t="s">
        <v>666</v>
      </c>
      <c r="D318" s="15" t="s">
        <v>222</v>
      </c>
      <c r="E318" s="17">
        <v>1</v>
      </c>
      <c r="F318" s="17">
        <v>40</v>
      </c>
      <c r="G318" s="124">
        <v>0.2</v>
      </c>
      <c r="H318" s="14"/>
      <c r="I318" s="94" t="s">
        <v>709</v>
      </c>
    </row>
    <row r="319" spans="1:9" ht="15" customHeight="1">
      <c r="A319" s="123">
        <v>46041</v>
      </c>
      <c r="B319" s="94"/>
      <c r="C319" s="125" t="s">
        <v>666</v>
      </c>
      <c r="D319" s="15" t="s">
        <v>222</v>
      </c>
      <c r="E319" s="17">
        <v>1</v>
      </c>
      <c r="F319" s="17">
        <v>40</v>
      </c>
      <c r="G319" s="124">
        <v>0.8</v>
      </c>
      <c r="H319" s="14"/>
      <c r="I319" s="15" t="s">
        <v>679</v>
      </c>
    </row>
    <row r="320" spans="1:9" ht="15" customHeight="1">
      <c r="A320" s="123">
        <v>46041</v>
      </c>
      <c r="B320" s="94"/>
      <c r="C320" s="125" t="s">
        <v>666</v>
      </c>
      <c r="D320" s="15" t="s">
        <v>221</v>
      </c>
      <c r="E320" s="17">
        <v>1</v>
      </c>
      <c r="F320" s="17">
        <v>40</v>
      </c>
      <c r="G320" s="124">
        <v>0.2</v>
      </c>
      <c r="H320" s="14"/>
      <c r="I320" s="94" t="s">
        <v>709</v>
      </c>
    </row>
    <row r="321" spans="1:9" ht="15" customHeight="1">
      <c r="A321" s="123">
        <v>46041</v>
      </c>
      <c r="B321" s="94"/>
      <c r="C321" s="125" t="s">
        <v>666</v>
      </c>
      <c r="D321" s="15" t="s">
        <v>204</v>
      </c>
      <c r="E321" s="17">
        <v>1</v>
      </c>
      <c r="F321" s="17">
        <v>60</v>
      </c>
      <c r="G321" s="124">
        <v>0.3</v>
      </c>
      <c r="H321" s="14"/>
      <c r="I321" s="94" t="s">
        <v>709</v>
      </c>
    </row>
    <row r="322" spans="1:9" ht="15" customHeight="1">
      <c r="A322" s="123">
        <v>46041</v>
      </c>
      <c r="B322" s="94"/>
      <c r="C322" s="125" t="s">
        <v>666</v>
      </c>
      <c r="D322" s="15" t="s">
        <v>204</v>
      </c>
      <c r="E322" s="17">
        <v>17</v>
      </c>
      <c r="F322" s="17">
        <v>60</v>
      </c>
      <c r="G322" s="124">
        <v>30.6</v>
      </c>
      <c r="H322" s="14"/>
      <c r="I322" s="15" t="s">
        <v>681</v>
      </c>
    </row>
    <row r="323" spans="1:9" ht="15" customHeight="1">
      <c r="A323" s="123">
        <v>46041</v>
      </c>
      <c r="B323" s="94"/>
      <c r="C323" s="125" t="s">
        <v>666</v>
      </c>
      <c r="D323" s="15" t="s">
        <v>205</v>
      </c>
      <c r="E323" s="17">
        <v>1</v>
      </c>
      <c r="F323" s="17">
        <v>60</v>
      </c>
      <c r="G323" s="124">
        <v>0.3</v>
      </c>
      <c r="H323" s="14"/>
      <c r="I323" s="94" t="s">
        <v>709</v>
      </c>
    </row>
    <row r="324" spans="1:9" ht="15" customHeight="1">
      <c r="A324" s="123">
        <v>46041</v>
      </c>
      <c r="B324" s="94"/>
      <c r="C324" s="125" t="s">
        <v>666</v>
      </c>
      <c r="D324" s="15" t="s">
        <v>205</v>
      </c>
      <c r="E324" s="17">
        <v>7</v>
      </c>
      <c r="F324" s="17">
        <v>60</v>
      </c>
      <c r="G324" s="124">
        <v>12.6</v>
      </c>
      <c r="H324" s="14"/>
      <c r="I324" s="15" t="s">
        <v>682</v>
      </c>
    </row>
    <row r="325" spans="1:9" ht="15" customHeight="1">
      <c r="A325" s="123">
        <v>46041</v>
      </c>
      <c r="B325" s="94"/>
      <c r="C325" s="125" t="s">
        <v>666</v>
      </c>
      <c r="D325" s="15" t="s">
        <v>206</v>
      </c>
      <c r="E325" s="17">
        <v>1</v>
      </c>
      <c r="F325" s="17">
        <v>30</v>
      </c>
      <c r="G325" s="124">
        <v>1.8</v>
      </c>
      <c r="H325" s="14"/>
      <c r="I325" s="15" t="s">
        <v>683</v>
      </c>
    </row>
    <row r="326" spans="1:9" ht="15" customHeight="1">
      <c r="A326" s="123">
        <v>46041</v>
      </c>
      <c r="B326" s="94"/>
      <c r="C326" s="125" t="s">
        <v>666</v>
      </c>
      <c r="D326" s="15" t="s">
        <v>207</v>
      </c>
      <c r="E326" s="17">
        <v>1</v>
      </c>
      <c r="F326" s="17">
        <v>1000</v>
      </c>
      <c r="G326" s="124">
        <v>2</v>
      </c>
      <c r="H326" s="14"/>
      <c r="I326" s="15" t="s">
        <v>697</v>
      </c>
    </row>
    <row r="327" spans="1:9" ht="15" customHeight="1">
      <c r="A327" s="123">
        <v>46041</v>
      </c>
      <c r="B327" s="94"/>
      <c r="C327" s="125" t="s">
        <v>666</v>
      </c>
      <c r="D327" s="15" t="s">
        <v>220</v>
      </c>
      <c r="E327" s="17">
        <v>5</v>
      </c>
      <c r="F327" s="17">
        <v>50</v>
      </c>
      <c r="G327" s="124">
        <v>0.25</v>
      </c>
      <c r="H327" s="14"/>
      <c r="I327" s="15" t="s">
        <v>693</v>
      </c>
    </row>
    <row r="328" spans="1:9" ht="15" customHeight="1">
      <c r="A328" s="123">
        <v>46041</v>
      </c>
      <c r="B328" s="15" t="s">
        <v>656</v>
      </c>
      <c r="C328" s="14" t="s">
        <v>657</v>
      </c>
      <c r="D328" s="15" t="s">
        <v>181</v>
      </c>
      <c r="E328" s="17">
        <v>3</v>
      </c>
      <c r="F328" s="17">
        <v>1000</v>
      </c>
      <c r="G328" s="124">
        <v>3</v>
      </c>
      <c r="H328" s="14"/>
      <c r="I328" s="15" t="s">
        <v>716</v>
      </c>
    </row>
    <row r="329" spans="1:9" ht="15" customHeight="1">
      <c r="A329" s="123">
        <v>46042</v>
      </c>
      <c r="B329" s="94"/>
      <c r="C329" s="125" t="s">
        <v>666</v>
      </c>
      <c r="D329" s="15" t="s">
        <v>142</v>
      </c>
      <c r="E329" s="17">
        <v>10</v>
      </c>
      <c r="F329" s="17">
        <v>50</v>
      </c>
      <c r="G329" s="124">
        <v>0.5</v>
      </c>
      <c r="H329" s="14"/>
      <c r="I329" s="15" t="s">
        <v>668</v>
      </c>
    </row>
    <row r="330" spans="1:9" ht="15" customHeight="1">
      <c r="A330" s="123">
        <v>46042</v>
      </c>
      <c r="B330" s="94"/>
      <c r="C330" s="125" t="s">
        <v>666</v>
      </c>
      <c r="D330" s="15" t="s">
        <v>143</v>
      </c>
      <c r="E330" s="17">
        <v>6</v>
      </c>
      <c r="F330" s="17">
        <v>50</v>
      </c>
      <c r="G330" s="124">
        <v>6</v>
      </c>
      <c r="H330" s="14"/>
      <c r="I330" s="15" t="s">
        <v>669</v>
      </c>
    </row>
    <row r="331" spans="1:9" ht="15" customHeight="1">
      <c r="A331" s="123">
        <v>46042</v>
      </c>
      <c r="B331" s="94"/>
      <c r="C331" s="125" t="s">
        <v>666</v>
      </c>
      <c r="D331" s="15" t="s">
        <v>143</v>
      </c>
      <c r="E331" s="17">
        <v>3</v>
      </c>
      <c r="F331" s="17">
        <v>50</v>
      </c>
      <c r="G331" s="124">
        <v>6</v>
      </c>
      <c r="H331" s="14"/>
      <c r="I331" s="15" t="s">
        <v>670</v>
      </c>
    </row>
    <row r="332" spans="1:9" ht="15" customHeight="1">
      <c r="A332" s="123">
        <v>46042</v>
      </c>
      <c r="B332" s="94"/>
      <c r="C332" s="125" t="s">
        <v>666</v>
      </c>
      <c r="D332" s="15" t="s">
        <v>143</v>
      </c>
      <c r="E332" s="17">
        <v>3</v>
      </c>
      <c r="F332" s="17">
        <v>50</v>
      </c>
      <c r="G332" s="124">
        <v>0.15</v>
      </c>
      <c r="H332" s="14"/>
      <c r="I332" s="15" t="s">
        <v>700</v>
      </c>
    </row>
    <row r="333" spans="1:9" ht="15" customHeight="1">
      <c r="A333" s="123">
        <v>46042</v>
      </c>
      <c r="B333" s="94"/>
      <c r="C333" s="125" t="s">
        <v>666</v>
      </c>
      <c r="D333" s="15" t="s">
        <v>144</v>
      </c>
      <c r="E333" s="17">
        <v>5</v>
      </c>
      <c r="F333" s="17">
        <v>1000</v>
      </c>
      <c r="G333" s="124">
        <v>5</v>
      </c>
      <c r="H333" s="14"/>
      <c r="I333" s="15" t="s">
        <v>686</v>
      </c>
    </row>
    <row r="334" spans="1:9" ht="15" customHeight="1">
      <c r="A334" s="123">
        <v>46042</v>
      </c>
      <c r="B334" s="94"/>
      <c r="C334" s="125" t="s">
        <v>666</v>
      </c>
      <c r="D334" s="15" t="s">
        <v>144</v>
      </c>
      <c r="E334" s="17">
        <v>3</v>
      </c>
      <c r="F334" s="17">
        <v>1000</v>
      </c>
      <c r="G334" s="124">
        <v>6</v>
      </c>
      <c r="H334" s="14"/>
      <c r="I334" s="15" t="s">
        <v>672</v>
      </c>
    </row>
    <row r="335" spans="1:9" ht="15" customHeight="1">
      <c r="A335" s="123">
        <v>46042</v>
      </c>
      <c r="B335" s="94"/>
      <c r="C335" s="125" t="s">
        <v>666</v>
      </c>
      <c r="D335" s="15" t="s">
        <v>145</v>
      </c>
      <c r="E335" s="17">
        <v>2</v>
      </c>
      <c r="F335" s="17">
        <v>50</v>
      </c>
      <c r="G335" s="124">
        <v>0.1</v>
      </c>
      <c r="H335" s="14"/>
      <c r="I335" s="15" t="s">
        <v>700</v>
      </c>
    </row>
    <row r="336" spans="1:9" ht="15" customHeight="1">
      <c r="A336" s="123">
        <v>46042</v>
      </c>
      <c r="B336" s="94"/>
      <c r="C336" s="125" t="s">
        <v>666</v>
      </c>
      <c r="D336" s="15" t="s">
        <v>146</v>
      </c>
      <c r="E336" s="17">
        <v>10</v>
      </c>
      <c r="F336" s="17">
        <v>50</v>
      </c>
      <c r="G336" s="124">
        <v>0.5</v>
      </c>
      <c r="H336" s="14"/>
      <c r="I336" s="15" t="s">
        <v>668</v>
      </c>
    </row>
    <row r="337" spans="1:9" ht="15" customHeight="1">
      <c r="A337" s="123">
        <v>46042</v>
      </c>
      <c r="B337" s="94"/>
      <c r="C337" s="125" t="s">
        <v>666</v>
      </c>
      <c r="D337" s="15" t="s">
        <v>147</v>
      </c>
      <c r="E337" s="17">
        <v>10</v>
      </c>
      <c r="F337" s="17">
        <v>50</v>
      </c>
      <c r="G337" s="124">
        <v>0.5</v>
      </c>
      <c r="H337" s="14"/>
      <c r="I337" s="15" t="s">
        <v>668</v>
      </c>
    </row>
    <row r="338" spans="1:9" ht="15" customHeight="1">
      <c r="A338" s="123">
        <v>46042</v>
      </c>
      <c r="B338" s="94"/>
      <c r="C338" s="125" t="s">
        <v>666</v>
      </c>
      <c r="D338" s="15" t="s">
        <v>148</v>
      </c>
      <c r="E338" s="17">
        <v>2</v>
      </c>
      <c r="F338" s="17">
        <v>50</v>
      </c>
      <c r="G338" s="124">
        <v>0.1</v>
      </c>
      <c r="H338" s="14"/>
      <c r="I338" s="15" t="s">
        <v>700</v>
      </c>
    </row>
    <row r="339" spans="1:9" ht="15" customHeight="1">
      <c r="A339" s="123">
        <v>46042</v>
      </c>
      <c r="B339" s="94"/>
      <c r="C339" s="125" t="s">
        <v>666</v>
      </c>
      <c r="D339" s="15" t="s">
        <v>155</v>
      </c>
      <c r="E339" s="17">
        <v>2</v>
      </c>
      <c r="F339" s="17">
        <v>80</v>
      </c>
      <c r="G339" s="124">
        <v>3.2</v>
      </c>
      <c r="H339" s="14"/>
      <c r="I339" s="94" t="s">
        <v>673</v>
      </c>
    </row>
    <row r="340" spans="1:9" ht="15" customHeight="1">
      <c r="A340" s="123">
        <v>46042</v>
      </c>
      <c r="B340" s="94"/>
      <c r="C340" s="125" t="s">
        <v>666</v>
      </c>
      <c r="D340" s="15" t="s">
        <v>159</v>
      </c>
      <c r="E340" s="17">
        <v>2</v>
      </c>
      <c r="F340" s="17">
        <v>50</v>
      </c>
      <c r="G340" s="124">
        <v>0.1</v>
      </c>
      <c r="H340" s="14"/>
      <c r="I340" s="15" t="s">
        <v>700</v>
      </c>
    </row>
    <row r="341" spans="1:9" ht="15" customHeight="1">
      <c r="A341" s="123">
        <v>46042</v>
      </c>
      <c r="B341" s="94"/>
      <c r="C341" s="125" t="s">
        <v>666</v>
      </c>
      <c r="D341" s="15" t="s">
        <v>174</v>
      </c>
      <c r="E341" s="17">
        <v>2</v>
      </c>
      <c r="F341" s="17">
        <v>1000</v>
      </c>
      <c r="G341" s="124">
        <v>2</v>
      </c>
      <c r="H341" s="14"/>
      <c r="I341" s="15" t="s">
        <v>674</v>
      </c>
    </row>
    <row r="342" spans="1:9" ht="15" customHeight="1">
      <c r="A342" s="123">
        <v>46042</v>
      </c>
      <c r="B342" s="94"/>
      <c r="C342" s="125" t="s">
        <v>666</v>
      </c>
      <c r="D342" s="15" t="s">
        <v>174</v>
      </c>
      <c r="E342" s="17">
        <v>2</v>
      </c>
      <c r="F342" s="17">
        <v>1000</v>
      </c>
      <c r="G342" s="124">
        <v>4</v>
      </c>
      <c r="H342" s="14"/>
      <c r="I342" s="15" t="s">
        <v>717</v>
      </c>
    </row>
    <row r="343" spans="1:9" ht="15" customHeight="1">
      <c r="A343" s="123">
        <v>46042</v>
      </c>
      <c r="B343" s="94"/>
      <c r="C343" s="125" t="s">
        <v>666</v>
      </c>
      <c r="D343" s="15" t="s">
        <v>179</v>
      </c>
      <c r="E343" s="17">
        <v>1</v>
      </c>
      <c r="F343" s="17">
        <v>1000</v>
      </c>
      <c r="G343" s="124">
        <v>1</v>
      </c>
      <c r="H343" s="14"/>
      <c r="I343" s="15" t="s">
        <v>702</v>
      </c>
    </row>
    <row r="344" spans="1:9" ht="15" customHeight="1">
      <c r="A344" s="123">
        <v>46042</v>
      </c>
      <c r="B344" s="94"/>
      <c r="C344" s="125" t="s">
        <v>666</v>
      </c>
      <c r="D344" s="15" t="s">
        <v>181</v>
      </c>
      <c r="E344" s="17">
        <v>2</v>
      </c>
      <c r="F344" s="17">
        <v>1000</v>
      </c>
      <c r="G344" s="124">
        <v>2</v>
      </c>
      <c r="H344" s="14"/>
      <c r="I344" s="94" t="s">
        <v>705</v>
      </c>
    </row>
    <row r="345" spans="1:9" ht="15" customHeight="1">
      <c r="A345" s="123">
        <v>46042</v>
      </c>
      <c r="B345" s="94"/>
      <c r="C345" s="125" t="s">
        <v>666</v>
      </c>
      <c r="D345" s="15" t="s">
        <v>183</v>
      </c>
      <c r="E345" s="17">
        <v>12</v>
      </c>
      <c r="F345" s="17">
        <v>60</v>
      </c>
      <c r="G345" s="124">
        <v>21.6</v>
      </c>
      <c r="H345" s="14"/>
      <c r="I345" s="15" t="s">
        <v>676</v>
      </c>
    </row>
    <row r="346" spans="1:9" ht="15" customHeight="1">
      <c r="A346" s="123">
        <v>46042</v>
      </c>
      <c r="B346" s="94"/>
      <c r="C346" s="125" t="s">
        <v>666</v>
      </c>
      <c r="D346" s="15" t="s">
        <v>184</v>
      </c>
      <c r="E346" s="17">
        <v>3</v>
      </c>
      <c r="F346" s="17">
        <v>50</v>
      </c>
      <c r="G346" s="124">
        <v>3</v>
      </c>
      <c r="H346" s="14"/>
      <c r="I346" s="15" t="s">
        <v>677</v>
      </c>
    </row>
    <row r="347" spans="1:9" ht="15" customHeight="1">
      <c r="A347" s="123">
        <v>46042</v>
      </c>
      <c r="B347" s="94"/>
      <c r="C347" s="125" t="s">
        <v>666</v>
      </c>
      <c r="D347" s="15" t="s">
        <v>184</v>
      </c>
      <c r="E347" s="17">
        <v>3</v>
      </c>
      <c r="F347" s="17">
        <v>50</v>
      </c>
      <c r="G347" s="124">
        <v>0.15</v>
      </c>
      <c r="H347" s="14"/>
      <c r="I347" s="15" t="s">
        <v>700</v>
      </c>
    </row>
    <row r="348" spans="1:9" ht="15" customHeight="1">
      <c r="A348" s="123">
        <v>46042</v>
      </c>
      <c r="B348" s="94"/>
      <c r="C348" s="125" t="s">
        <v>666</v>
      </c>
      <c r="D348" s="15" t="s">
        <v>186</v>
      </c>
      <c r="E348" s="17">
        <v>2</v>
      </c>
      <c r="F348" s="17">
        <v>50</v>
      </c>
      <c r="G348" s="124">
        <v>0.1</v>
      </c>
      <c r="H348" s="14"/>
      <c r="I348" s="15" t="s">
        <v>700</v>
      </c>
    </row>
    <row r="349" spans="1:9" ht="15" customHeight="1">
      <c r="A349" s="123">
        <v>46042</v>
      </c>
      <c r="B349" s="94"/>
      <c r="C349" s="125" t="s">
        <v>666</v>
      </c>
      <c r="D349" s="15" t="s">
        <v>192</v>
      </c>
      <c r="E349" s="17">
        <v>2</v>
      </c>
      <c r="F349" s="17">
        <v>50</v>
      </c>
      <c r="G349" s="124">
        <v>0.1</v>
      </c>
      <c r="H349" s="14"/>
      <c r="I349" s="15" t="s">
        <v>700</v>
      </c>
    </row>
    <row r="350" spans="1:9" ht="15" customHeight="1">
      <c r="A350" s="123">
        <v>46042</v>
      </c>
      <c r="B350" s="94"/>
      <c r="C350" s="125" t="s">
        <v>666</v>
      </c>
      <c r="D350" s="15" t="s">
        <v>195</v>
      </c>
      <c r="E350" s="17">
        <v>2</v>
      </c>
      <c r="F350" s="17">
        <v>50</v>
      </c>
      <c r="G350" s="124">
        <v>0.1</v>
      </c>
      <c r="H350" s="14"/>
      <c r="I350" s="15" t="s">
        <v>700</v>
      </c>
    </row>
    <row r="351" spans="1:9" ht="15" customHeight="1">
      <c r="A351" s="123">
        <v>46042</v>
      </c>
      <c r="B351" s="94"/>
      <c r="C351" s="125" t="s">
        <v>666</v>
      </c>
      <c r="D351" s="15" t="s">
        <v>222</v>
      </c>
      <c r="E351" s="17">
        <v>1</v>
      </c>
      <c r="F351" s="17">
        <v>40</v>
      </c>
      <c r="G351" s="124">
        <v>0.8</v>
      </c>
      <c r="H351" s="14"/>
      <c r="I351" s="15" t="s">
        <v>679</v>
      </c>
    </row>
    <row r="352" spans="1:9" ht="15" customHeight="1">
      <c r="A352" s="123">
        <v>46042</v>
      </c>
      <c r="B352" s="94"/>
      <c r="C352" s="125" t="s">
        <v>666</v>
      </c>
      <c r="D352" s="15" t="s">
        <v>221</v>
      </c>
      <c r="E352" s="17">
        <v>1</v>
      </c>
      <c r="F352" s="17">
        <v>40</v>
      </c>
      <c r="G352" s="124">
        <v>0.8</v>
      </c>
      <c r="H352" s="14"/>
      <c r="I352" s="15" t="s">
        <v>680</v>
      </c>
    </row>
    <row r="353" spans="1:9" ht="15" customHeight="1">
      <c r="A353" s="123">
        <v>46042</v>
      </c>
      <c r="B353" s="94"/>
      <c r="C353" s="125" t="s">
        <v>666</v>
      </c>
      <c r="D353" s="15" t="s">
        <v>204</v>
      </c>
      <c r="E353" s="17">
        <v>35</v>
      </c>
      <c r="F353" s="17">
        <v>60</v>
      </c>
      <c r="G353" s="124">
        <v>63</v>
      </c>
      <c r="H353" s="14"/>
      <c r="I353" s="15" t="s">
        <v>681</v>
      </c>
    </row>
    <row r="354" spans="1:9" ht="15" customHeight="1">
      <c r="A354" s="123">
        <v>46042</v>
      </c>
      <c r="B354" s="94"/>
      <c r="C354" s="125" t="s">
        <v>666</v>
      </c>
      <c r="D354" s="15" t="s">
        <v>205</v>
      </c>
      <c r="E354" s="17">
        <v>12</v>
      </c>
      <c r="F354" s="17">
        <v>60</v>
      </c>
      <c r="G354" s="124">
        <v>21.6</v>
      </c>
      <c r="H354" s="14"/>
      <c r="I354" s="15" t="s">
        <v>682</v>
      </c>
    </row>
    <row r="355" spans="1:9" ht="15" customHeight="1">
      <c r="A355" s="123">
        <v>46042</v>
      </c>
      <c r="B355" s="94"/>
      <c r="C355" s="125" t="s">
        <v>666</v>
      </c>
      <c r="D355" s="15" t="s">
        <v>206</v>
      </c>
      <c r="E355" s="17">
        <v>1</v>
      </c>
      <c r="F355" s="17">
        <v>30</v>
      </c>
      <c r="G355" s="124">
        <v>0.9</v>
      </c>
      <c r="H355" s="14"/>
      <c r="I355" s="15" t="s">
        <v>718</v>
      </c>
    </row>
    <row r="356" spans="1:9" ht="15" customHeight="1">
      <c r="A356" s="123">
        <v>46042</v>
      </c>
      <c r="B356" s="94"/>
      <c r="C356" s="125" t="s">
        <v>666</v>
      </c>
      <c r="D356" s="15" t="s">
        <v>219</v>
      </c>
      <c r="E356" s="17">
        <v>2</v>
      </c>
      <c r="F356" s="17">
        <v>50</v>
      </c>
      <c r="G356" s="124">
        <v>0.1</v>
      </c>
      <c r="H356" s="14"/>
      <c r="I356" s="15" t="s">
        <v>700</v>
      </c>
    </row>
    <row r="357" spans="1:9" ht="15" customHeight="1">
      <c r="A357" s="123">
        <v>46042</v>
      </c>
      <c r="B357" s="94"/>
      <c r="C357" s="125" t="s">
        <v>666</v>
      </c>
      <c r="D357" s="15" t="s">
        <v>220</v>
      </c>
      <c r="E357" s="17">
        <v>10</v>
      </c>
      <c r="F357" s="17">
        <v>50</v>
      </c>
      <c r="G357" s="124">
        <v>0.5</v>
      </c>
      <c r="H357" s="14"/>
      <c r="I357" s="15" t="s">
        <v>668</v>
      </c>
    </row>
    <row r="358" spans="1:9" ht="15" customHeight="1">
      <c r="A358" s="123">
        <v>46042</v>
      </c>
      <c r="B358" s="94"/>
      <c r="C358" s="125" t="s">
        <v>666</v>
      </c>
      <c r="D358" s="15" t="s">
        <v>220</v>
      </c>
      <c r="E358" s="17">
        <v>2</v>
      </c>
      <c r="F358" s="17">
        <v>50</v>
      </c>
      <c r="G358" s="124">
        <v>2</v>
      </c>
      <c r="H358" s="14"/>
      <c r="I358" s="15" t="s">
        <v>699</v>
      </c>
    </row>
    <row r="359" spans="1:9" ht="15" customHeight="1">
      <c r="A359" s="123">
        <v>46043</v>
      </c>
      <c r="B359" s="94"/>
      <c r="C359" s="125" t="s">
        <v>666</v>
      </c>
      <c r="D359" s="15" t="s">
        <v>143</v>
      </c>
      <c r="E359" s="17">
        <v>3</v>
      </c>
      <c r="F359" s="17">
        <v>50</v>
      </c>
      <c r="G359" s="124">
        <v>3</v>
      </c>
      <c r="H359" s="14"/>
      <c r="I359" s="15" t="s">
        <v>669</v>
      </c>
    </row>
    <row r="360" spans="1:9" ht="15" customHeight="1">
      <c r="A360" s="123">
        <v>46043</v>
      </c>
      <c r="B360" s="94"/>
      <c r="C360" s="125" t="s">
        <v>666</v>
      </c>
      <c r="D360" s="15" t="s">
        <v>143</v>
      </c>
      <c r="E360" s="17">
        <v>4</v>
      </c>
      <c r="F360" s="17">
        <v>50</v>
      </c>
      <c r="G360" s="124">
        <v>8</v>
      </c>
      <c r="H360" s="14"/>
      <c r="I360" s="15" t="s">
        <v>670</v>
      </c>
    </row>
    <row r="361" spans="1:9" ht="15" customHeight="1">
      <c r="A361" s="123">
        <v>46043</v>
      </c>
      <c r="B361" s="94"/>
      <c r="C361" s="125" t="s">
        <v>666</v>
      </c>
      <c r="D361" s="15" t="s">
        <v>144</v>
      </c>
      <c r="E361" s="17">
        <v>1</v>
      </c>
      <c r="F361" s="17">
        <v>1000</v>
      </c>
      <c r="G361" s="124">
        <v>1</v>
      </c>
      <c r="H361" s="14"/>
      <c r="I361" s="15" t="s">
        <v>686</v>
      </c>
    </row>
    <row r="362" spans="1:9" ht="15" customHeight="1">
      <c r="A362" s="123">
        <v>46043</v>
      </c>
      <c r="B362" s="94"/>
      <c r="C362" s="125" t="s">
        <v>666</v>
      </c>
      <c r="D362" s="15" t="s">
        <v>144</v>
      </c>
      <c r="E362" s="17">
        <v>3</v>
      </c>
      <c r="F362" s="17">
        <v>1000</v>
      </c>
      <c r="G362" s="124">
        <v>6</v>
      </c>
      <c r="H362" s="14"/>
      <c r="I362" s="15" t="s">
        <v>672</v>
      </c>
    </row>
    <row r="363" spans="1:9" ht="15" customHeight="1">
      <c r="A363" s="123">
        <v>46043</v>
      </c>
      <c r="B363" s="94"/>
      <c r="C363" s="125" t="s">
        <v>666</v>
      </c>
      <c r="D363" s="15" t="s">
        <v>155</v>
      </c>
      <c r="E363" s="17">
        <v>1</v>
      </c>
      <c r="F363" s="17">
        <v>80</v>
      </c>
      <c r="G363" s="124">
        <v>1.6</v>
      </c>
      <c r="H363" s="14"/>
      <c r="I363" s="94" t="s">
        <v>673</v>
      </c>
    </row>
    <row r="364" spans="1:9" ht="15" customHeight="1">
      <c r="A364" s="123">
        <v>46043</v>
      </c>
      <c r="B364" s="94"/>
      <c r="C364" s="125" t="s">
        <v>666</v>
      </c>
      <c r="D364" s="15" t="s">
        <v>174</v>
      </c>
      <c r="E364" s="17">
        <v>2</v>
      </c>
      <c r="F364" s="17">
        <v>1000</v>
      </c>
      <c r="G364" s="124">
        <v>2</v>
      </c>
      <c r="H364" s="14"/>
      <c r="I364" s="15" t="s">
        <v>674</v>
      </c>
    </row>
    <row r="365" spans="1:9" ht="15" customHeight="1">
      <c r="A365" s="123">
        <v>46043</v>
      </c>
      <c r="B365" s="94"/>
      <c r="C365" s="125" t="s">
        <v>666</v>
      </c>
      <c r="D365" s="15" t="s">
        <v>179</v>
      </c>
      <c r="E365" s="17">
        <v>2</v>
      </c>
      <c r="F365" s="17">
        <v>1000</v>
      </c>
      <c r="G365" s="124">
        <v>2</v>
      </c>
      <c r="H365" s="14"/>
      <c r="I365" s="15" t="s">
        <v>702</v>
      </c>
    </row>
    <row r="366" spans="1:9" ht="15" customHeight="1">
      <c r="A366" s="123">
        <v>46043</v>
      </c>
      <c r="B366" s="94"/>
      <c r="C366" s="125" t="s">
        <v>666</v>
      </c>
      <c r="D366" s="15" t="s">
        <v>181</v>
      </c>
      <c r="E366" s="17">
        <v>2</v>
      </c>
      <c r="F366" s="17">
        <v>1000</v>
      </c>
      <c r="G366" s="124">
        <v>2</v>
      </c>
      <c r="H366" s="14"/>
      <c r="I366" s="94" t="s">
        <v>705</v>
      </c>
    </row>
    <row r="367" spans="1:9" ht="15" customHeight="1">
      <c r="A367" s="123">
        <v>46043</v>
      </c>
      <c r="B367" s="94"/>
      <c r="C367" s="125" t="s">
        <v>666</v>
      </c>
      <c r="D367" s="15" t="s">
        <v>183</v>
      </c>
      <c r="E367" s="17">
        <v>10</v>
      </c>
      <c r="F367" s="17">
        <v>60</v>
      </c>
      <c r="G367" s="124">
        <v>18</v>
      </c>
      <c r="H367" s="14"/>
      <c r="I367" s="15" t="s">
        <v>676</v>
      </c>
    </row>
    <row r="368" spans="1:9" ht="15" customHeight="1">
      <c r="A368" s="123">
        <v>46043</v>
      </c>
      <c r="B368" s="94"/>
      <c r="C368" s="125" t="s">
        <v>666</v>
      </c>
      <c r="D368" s="15" t="s">
        <v>222</v>
      </c>
      <c r="E368" s="17">
        <v>4</v>
      </c>
      <c r="F368" s="17">
        <v>40</v>
      </c>
      <c r="G368" s="124">
        <v>3.2</v>
      </c>
      <c r="H368" s="14"/>
      <c r="I368" s="15" t="s">
        <v>679</v>
      </c>
    </row>
    <row r="369" spans="1:9" ht="15" customHeight="1">
      <c r="A369" s="123">
        <v>46043</v>
      </c>
      <c r="B369" s="94"/>
      <c r="C369" s="125" t="s">
        <v>666</v>
      </c>
      <c r="D369" s="15" t="s">
        <v>221</v>
      </c>
      <c r="E369" s="17">
        <v>1</v>
      </c>
      <c r="F369" s="17">
        <v>40</v>
      </c>
      <c r="G369" s="124">
        <v>0.8</v>
      </c>
      <c r="H369" s="14"/>
      <c r="I369" s="15" t="s">
        <v>680</v>
      </c>
    </row>
    <row r="370" spans="1:9" ht="15" customHeight="1">
      <c r="A370" s="123">
        <v>46043</v>
      </c>
      <c r="B370" s="94"/>
      <c r="C370" s="125" t="s">
        <v>666</v>
      </c>
      <c r="D370" s="15" t="s">
        <v>204</v>
      </c>
      <c r="E370" s="17">
        <v>19</v>
      </c>
      <c r="F370" s="17">
        <v>60</v>
      </c>
      <c r="G370" s="124">
        <v>34.200000000000003</v>
      </c>
      <c r="H370" s="14"/>
      <c r="I370" s="15" t="s">
        <v>681</v>
      </c>
    </row>
    <row r="371" spans="1:9" ht="15" customHeight="1">
      <c r="A371" s="123">
        <v>46043</v>
      </c>
      <c r="B371" s="94"/>
      <c r="C371" s="125" t="s">
        <v>666</v>
      </c>
      <c r="D371" s="15" t="s">
        <v>205</v>
      </c>
      <c r="E371" s="17">
        <v>14</v>
      </c>
      <c r="F371" s="17">
        <v>60</v>
      </c>
      <c r="G371" s="124">
        <v>25.2</v>
      </c>
      <c r="H371" s="14"/>
      <c r="I371" s="15" t="s">
        <v>682</v>
      </c>
    </row>
    <row r="372" spans="1:9" ht="15" customHeight="1">
      <c r="A372" s="123">
        <v>46043</v>
      </c>
      <c r="B372" s="94"/>
      <c r="C372" s="125" t="s">
        <v>666</v>
      </c>
      <c r="D372" s="15" t="s">
        <v>206</v>
      </c>
      <c r="E372" s="17">
        <v>2</v>
      </c>
      <c r="F372" s="17">
        <v>30</v>
      </c>
      <c r="G372" s="124">
        <v>3.6</v>
      </c>
      <c r="H372" s="14"/>
      <c r="I372" s="15" t="s">
        <v>683</v>
      </c>
    </row>
    <row r="373" spans="1:9" ht="15" customHeight="1">
      <c r="A373" s="123">
        <v>46044</v>
      </c>
      <c r="B373" s="15" t="s">
        <v>719</v>
      </c>
      <c r="C373" s="14" t="s">
        <v>657</v>
      </c>
      <c r="D373" s="15" t="s">
        <v>149</v>
      </c>
      <c r="E373" s="17">
        <v>224</v>
      </c>
      <c r="F373" s="17">
        <v>360</v>
      </c>
      <c r="G373" s="124">
        <v>80.64</v>
      </c>
      <c r="H373" s="14"/>
      <c r="I373" s="15" t="s">
        <v>720</v>
      </c>
    </row>
    <row r="374" spans="1:9" ht="15" customHeight="1">
      <c r="A374" s="123">
        <v>46044</v>
      </c>
      <c r="B374" s="15" t="s">
        <v>719</v>
      </c>
      <c r="C374" s="14" t="s">
        <v>657</v>
      </c>
      <c r="D374" s="15" t="s">
        <v>150</v>
      </c>
      <c r="E374" s="17">
        <v>269</v>
      </c>
      <c r="F374" s="17">
        <v>360</v>
      </c>
      <c r="G374" s="124">
        <v>96.84</v>
      </c>
      <c r="H374" s="14"/>
      <c r="I374" s="15" t="s">
        <v>721</v>
      </c>
    </row>
    <row r="375" spans="1:9" ht="15" customHeight="1">
      <c r="A375" s="123">
        <v>46044</v>
      </c>
      <c r="B375" s="15" t="s">
        <v>719</v>
      </c>
      <c r="C375" s="14" t="s">
        <v>657</v>
      </c>
      <c r="D375" s="15" t="s">
        <v>151</v>
      </c>
      <c r="E375" s="17">
        <v>140</v>
      </c>
      <c r="F375" s="17">
        <v>360</v>
      </c>
      <c r="G375" s="124">
        <v>50.4</v>
      </c>
      <c r="H375" s="14"/>
      <c r="I375" s="15" t="s">
        <v>722</v>
      </c>
    </row>
    <row r="376" spans="1:9" ht="15" customHeight="1">
      <c r="A376" s="123">
        <v>46044</v>
      </c>
      <c r="B376" s="15" t="s">
        <v>719</v>
      </c>
      <c r="C376" s="14" t="s">
        <v>657</v>
      </c>
      <c r="D376" s="15" t="s">
        <v>152</v>
      </c>
      <c r="E376" s="17">
        <v>247</v>
      </c>
      <c r="F376" s="17">
        <v>360</v>
      </c>
      <c r="G376" s="124">
        <v>88.92</v>
      </c>
      <c r="H376" s="14"/>
      <c r="I376" s="15" t="s">
        <v>723</v>
      </c>
    </row>
    <row r="377" spans="1:9" ht="15" customHeight="1">
      <c r="A377" s="123">
        <v>46044</v>
      </c>
      <c r="B377" s="15" t="s">
        <v>719</v>
      </c>
      <c r="C377" s="14" t="s">
        <v>657</v>
      </c>
      <c r="D377" s="15" t="s">
        <v>153</v>
      </c>
      <c r="E377" s="17">
        <v>174</v>
      </c>
      <c r="F377" s="17">
        <v>360</v>
      </c>
      <c r="G377" s="124">
        <v>62.64</v>
      </c>
      <c r="H377" s="14"/>
      <c r="I377" s="15" t="s">
        <v>724</v>
      </c>
    </row>
    <row r="378" spans="1:9" ht="15" customHeight="1">
      <c r="A378" s="123">
        <v>46044</v>
      </c>
      <c r="B378" s="15" t="s">
        <v>719</v>
      </c>
      <c r="C378" s="14" t="s">
        <v>657</v>
      </c>
      <c r="D378" s="15" t="s">
        <v>154</v>
      </c>
      <c r="E378" s="17">
        <v>226</v>
      </c>
      <c r="F378" s="17">
        <v>360</v>
      </c>
      <c r="G378" s="124">
        <v>81.36</v>
      </c>
      <c r="H378" s="14"/>
      <c r="I378" s="15" t="s">
        <v>725</v>
      </c>
    </row>
    <row r="379" spans="1:9" ht="15" customHeight="1">
      <c r="A379" s="123">
        <v>46044</v>
      </c>
      <c r="B379" s="15" t="s">
        <v>656</v>
      </c>
      <c r="C379" s="14" t="s">
        <v>657</v>
      </c>
      <c r="D379" s="15" t="s">
        <v>155</v>
      </c>
      <c r="E379" s="17">
        <v>15</v>
      </c>
      <c r="F379" s="17">
        <v>80</v>
      </c>
      <c r="G379" s="124">
        <v>1.2</v>
      </c>
      <c r="H379" s="14"/>
      <c r="I379" s="94" t="s">
        <v>726</v>
      </c>
    </row>
    <row r="380" spans="1:9" ht="15" customHeight="1">
      <c r="A380" s="123">
        <v>46045</v>
      </c>
      <c r="B380" s="94"/>
      <c r="C380" s="125" t="s">
        <v>666</v>
      </c>
      <c r="D380" s="94" t="s">
        <v>141</v>
      </c>
      <c r="E380" s="17">
        <v>1</v>
      </c>
      <c r="F380" s="17">
        <v>60</v>
      </c>
      <c r="G380" s="124">
        <v>1.2</v>
      </c>
      <c r="H380" s="14"/>
      <c r="I380" s="94" t="s">
        <v>692</v>
      </c>
    </row>
    <row r="381" spans="1:9" ht="15" customHeight="1">
      <c r="A381" s="123">
        <v>46045</v>
      </c>
      <c r="B381" s="94"/>
      <c r="C381" s="125" t="s">
        <v>666</v>
      </c>
      <c r="D381" s="15" t="s">
        <v>142</v>
      </c>
      <c r="E381" s="17">
        <v>5</v>
      </c>
      <c r="F381" s="17">
        <v>50</v>
      </c>
      <c r="G381" s="124">
        <v>0.25</v>
      </c>
      <c r="H381" s="14"/>
      <c r="I381" s="15" t="s">
        <v>693</v>
      </c>
    </row>
    <row r="382" spans="1:9" ht="15" customHeight="1">
      <c r="A382" s="123">
        <v>46045</v>
      </c>
      <c r="B382" s="94"/>
      <c r="C382" s="125" t="s">
        <v>666</v>
      </c>
      <c r="D382" s="15" t="s">
        <v>143</v>
      </c>
      <c r="E382" s="17">
        <v>2</v>
      </c>
      <c r="F382" s="17">
        <v>50</v>
      </c>
      <c r="G382" s="124">
        <v>2</v>
      </c>
      <c r="H382" s="14"/>
      <c r="I382" s="15" t="s">
        <v>669</v>
      </c>
    </row>
    <row r="383" spans="1:9" ht="15" customHeight="1">
      <c r="A383" s="123">
        <v>46045</v>
      </c>
      <c r="B383" s="94"/>
      <c r="C383" s="125" t="s">
        <v>666</v>
      </c>
      <c r="D383" s="15" t="s">
        <v>143</v>
      </c>
      <c r="E383" s="17">
        <v>1</v>
      </c>
      <c r="F383" s="17">
        <v>50</v>
      </c>
      <c r="G383" s="124">
        <v>2</v>
      </c>
      <c r="H383" s="14"/>
      <c r="I383" s="15" t="s">
        <v>670</v>
      </c>
    </row>
    <row r="384" spans="1:9" ht="15" customHeight="1">
      <c r="A384" s="123">
        <v>46045</v>
      </c>
      <c r="B384" s="94"/>
      <c r="C384" s="125" t="s">
        <v>666</v>
      </c>
      <c r="D384" s="15" t="s">
        <v>144</v>
      </c>
      <c r="E384" s="17">
        <v>1</v>
      </c>
      <c r="F384" s="17">
        <v>1000</v>
      </c>
      <c r="G384" s="124">
        <v>1</v>
      </c>
      <c r="H384" s="14"/>
      <c r="I384" s="15" t="s">
        <v>686</v>
      </c>
    </row>
    <row r="385" spans="1:9" ht="15" customHeight="1">
      <c r="A385" s="123">
        <v>46045</v>
      </c>
      <c r="B385" s="94"/>
      <c r="C385" s="125" t="s">
        <v>666</v>
      </c>
      <c r="D385" s="15" t="s">
        <v>144</v>
      </c>
      <c r="E385" s="17">
        <v>1</v>
      </c>
      <c r="F385" s="17">
        <v>1000</v>
      </c>
      <c r="G385" s="124">
        <v>2</v>
      </c>
      <c r="H385" s="14"/>
      <c r="I385" s="15" t="s">
        <v>672</v>
      </c>
    </row>
    <row r="386" spans="1:9" ht="15" customHeight="1">
      <c r="A386" s="123">
        <v>46045</v>
      </c>
      <c r="B386" s="94"/>
      <c r="C386" s="125" t="s">
        <v>666</v>
      </c>
      <c r="D386" s="15" t="s">
        <v>146</v>
      </c>
      <c r="E386" s="17">
        <v>1</v>
      </c>
      <c r="F386" s="17">
        <v>50</v>
      </c>
      <c r="G386" s="124">
        <v>1</v>
      </c>
      <c r="H386" s="14"/>
      <c r="I386" s="15" t="s">
        <v>704</v>
      </c>
    </row>
    <row r="387" spans="1:9" ht="15" customHeight="1">
      <c r="A387" s="123">
        <v>46045</v>
      </c>
      <c r="B387" s="94"/>
      <c r="C387" s="125" t="s">
        <v>666</v>
      </c>
      <c r="D387" s="15" t="s">
        <v>146</v>
      </c>
      <c r="E387" s="17">
        <v>5</v>
      </c>
      <c r="F387" s="17">
        <v>50</v>
      </c>
      <c r="G387" s="124">
        <v>0.25</v>
      </c>
      <c r="H387" s="14"/>
      <c r="I387" s="15" t="s">
        <v>693</v>
      </c>
    </row>
    <row r="388" spans="1:9" ht="15" customHeight="1">
      <c r="A388" s="123">
        <v>46045</v>
      </c>
      <c r="B388" s="94"/>
      <c r="C388" s="125" t="s">
        <v>666</v>
      </c>
      <c r="D388" s="15" t="s">
        <v>147</v>
      </c>
      <c r="E388" s="17">
        <v>2</v>
      </c>
      <c r="F388" s="17">
        <v>50</v>
      </c>
      <c r="G388" s="124">
        <v>2</v>
      </c>
      <c r="H388" s="14"/>
      <c r="I388" s="15" t="s">
        <v>687</v>
      </c>
    </row>
    <row r="389" spans="1:9" ht="15" customHeight="1">
      <c r="A389" s="123">
        <v>46045</v>
      </c>
      <c r="B389" s="94"/>
      <c r="C389" s="125" t="s">
        <v>666</v>
      </c>
      <c r="D389" s="15" t="s">
        <v>147</v>
      </c>
      <c r="E389" s="17">
        <v>5</v>
      </c>
      <c r="F389" s="17">
        <v>50</v>
      </c>
      <c r="G389" s="124">
        <v>0.25</v>
      </c>
      <c r="H389" s="14"/>
      <c r="I389" s="15" t="s">
        <v>693</v>
      </c>
    </row>
    <row r="390" spans="1:9" ht="15" customHeight="1">
      <c r="A390" s="123">
        <v>46045</v>
      </c>
      <c r="B390" s="94"/>
      <c r="C390" s="125" t="s">
        <v>666</v>
      </c>
      <c r="D390" s="15" t="s">
        <v>155</v>
      </c>
      <c r="E390" s="17">
        <v>5</v>
      </c>
      <c r="F390" s="17">
        <v>80</v>
      </c>
      <c r="G390" s="124">
        <v>8</v>
      </c>
      <c r="H390" s="14"/>
      <c r="I390" s="94" t="s">
        <v>673</v>
      </c>
    </row>
    <row r="391" spans="1:9" ht="15" customHeight="1">
      <c r="A391" s="123">
        <v>46045</v>
      </c>
      <c r="B391" s="94"/>
      <c r="C391" s="125" t="s">
        <v>666</v>
      </c>
      <c r="D391" s="15" t="s">
        <v>174</v>
      </c>
      <c r="E391" s="17">
        <v>2</v>
      </c>
      <c r="F391" s="17">
        <v>1000</v>
      </c>
      <c r="G391" s="124">
        <v>2</v>
      </c>
      <c r="H391" s="14"/>
      <c r="I391" s="15" t="s">
        <v>674</v>
      </c>
    </row>
    <row r="392" spans="1:9" ht="15" customHeight="1">
      <c r="A392" s="123">
        <v>46045</v>
      </c>
      <c r="B392" s="94"/>
      <c r="C392" s="125" t="s">
        <v>666</v>
      </c>
      <c r="D392" s="15" t="s">
        <v>179</v>
      </c>
      <c r="E392" s="17">
        <v>1</v>
      </c>
      <c r="F392" s="17">
        <v>1000</v>
      </c>
      <c r="G392" s="124">
        <v>1</v>
      </c>
      <c r="H392" s="14"/>
      <c r="I392" s="15" t="s">
        <v>702</v>
      </c>
    </row>
    <row r="393" spans="1:9" ht="15" customHeight="1">
      <c r="A393" s="123">
        <v>46045</v>
      </c>
      <c r="B393" s="94"/>
      <c r="C393" s="125" t="s">
        <v>666</v>
      </c>
      <c r="D393" s="15" t="s">
        <v>179</v>
      </c>
      <c r="E393" s="17">
        <v>1</v>
      </c>
      <c r="F393" s="17">
        <v>40</v>
      </c>
      <c r="G393" s="124">
        <v>0.8</v>
      </c>
      <c r="H393" s="14"/>
      <c r="I393" s="15" t="s">
        <v>675</v>
      </c>
    </row>
    <row r="394" spans="1:9" ht="15" customHeight="1">
      <c r="A394" s="123">
        <v>46045</v>
      </c>
      <c r="B394" s="94"/>
      <c r="C394" s="125" t="s">
        <v>666</v>
      </c>
      <c r="D394" s="15" t="s">
        <v>183</v>
      </c>
      <c r="E394" s="17">
        <v>1</v>
      </c>
      <c r="F394" s="17">
        <v>60</v>
      </c>
      <c r="G394" s="124">
        <v>0.6</v>
      </c>
      <c r="H394" s="14"/>
      <c r="I394" s="94" t="s">
        <v>709</v>
      </c>
    </row>
    <row r="395" spans="1:9" ht="15" customHeight="1">
      <c r="A395" s="123">
        <v>46045</v>
      </c>
      <c r="B395" s="94"/>
      <c r="C395" s="125" t="s">
        <v>666</v>
      </c>
      <c r="D395" s="15" t="s">
        <v>183</v>
      </c>
      <c r="E395" s="17">
        <v>9</v>
      </c>
      <c r="F395" s="17">
        <v>60</v>
      </c>
      <c r="G395" s="124">
        <v>16.2</v>
      </c>
      <c r="H395" s="14"/>
      <c r="I395" s="15" t="s">
        <v>676</v>
      </c>
    </row>
    <row r="396" spans="1:9" ht="15" customHeight="1">
      <c r="A396" s="123">
        <v>46045</v>
      </c>
      <c r="B396" s="94"/>
      <c r="C396" s="125" t="s">
        <v>666</v>
      </c>
      <c r="D396" s="15" t="s">
        <v>184</v>
      </c>
      <c r="E396" s="17">
        <v>4</v>
      </c>
      <c r="F396" s="17">
        <v>50</v>
      </c>
      <c r="G396" s="124">
        <v>4</v>
      </c>
      <c r="H396" s="14"/>
      <c r="I396" s="15" t="s">
        <v>677</v>
      </c>
    </row>
    <row r="397" spans="1:9" ht="15" customHeight="1">
      <c r="A397" s="123">
        <v>46045</v>
      </c>
      <c r="B397" s="94"/>
      <c r="C397" s="125" t="s">
        <v>666</v>
      </c>
      <c r="D397" s="15" t="s">
        <v>222</v>
      </c>
      <c r="E397" s="17">
        <v>1</v>
      </c>
      <c r="F397" s="17">
        <v>40</v>
      </c>
      <c r="G397" s="124">
        <v>0.2</v>
      </c>
      <c r="H397" s="14"/>
      <c r="I397" s="94" t="s">
        <v>709</v>
      </c>
    </row>
    <row r="398" spans="1:9" ht="15" customHeight="1">
      <c r="A398" s="123">
        <v>46045</v>
      </c>
      <c r="B398" s="94"/>
      <c r="C398" s="125" t="s">
        <v>666</v>
      </c>
      <c r="D398" s="15" t="s">
        <v>222</v>
      </c>
      <c r="E398" s="17">
        <v>1</v>
      </c>
      <c r="F398" s="17">
        <v>40</v>
      </c>
      <c r="G398" s="124">
        <v>0.8</v>
      </c>
      <c r="H398" s="14"/>
      <c r="I398" s="15" t="s">
        <v>679</v>
      </c>
    </row>
    <row r="399" spans="1:9" ht="15" customHeight="1">
      <c r="A399" s="123">
        <v>46045</v>
      </c>
      <c r="B399" s="94"/>
      <c r="C399" s="125" t="s">
        <v>666</v>
      </c>
      <c r="D399" s="15" t="s">
        <v>221</v>
      </c>
      <c r="E399" s="17">
        <v>1</v>
      </c>
      <c r="F399" s="17">
        <v>40</v>
      </c>
      <c r="G399" s="124">
        <v>0.2</v>
      </c>
      <c r="H399" s="14"/>
      <c r="I399" s="94" t="s">
        <v>709</v>
      </c>
    </row>
    <row r="400" spans="1:9" ht="15" customHeight="1">
      <c r="A400" s="123">
        <v>46045</v>
      </c>
      <c r="B400" s="94"/>
      <c r="C400" s="125" t="s">
        <v>666</v>
      </c>
      <c r="D400" s="15" t="s">
        <v>204</v>
      </c>
      <c r="E400" s="17">
        <v>1</v>
      </c>
      <c r="F400" s="17">
        <v>60</v>
      </c>
      <c r="G400" s="124">
        <v>0.3</v>
      </c>
      <c r="H400" s="14"/>
      <c r="I400" s="94" t="s">
        <v>709</v>
      </c>
    </row>
    <row r="401" spans="1:9" ht="15" customHeight="1">
      <c r="A401" s="123">
        <v>46045</v>
      </c>
      <c r="B401" s="94"/>
      <c r="C401" s="125" t="s">
        <v>666</v>
      </c>
      <c r="D401" s="15" t="s">
        <v>204</v>
      </c>
      <c r="E401" s="17">
        <v>2</v>
      </c>
      <c r="F401" s="17">
        <v>60</v>
      </c>
      <c r="G401" s="124">
        <v>1.8</v>
      </c>
      <c r="H401" s="14"/>
      <c r="I401" s="15" t="s">
        <v>695</v>
      </c>
    </row>
    <row r="402" spans="1:9" ht="15" customHeight="1">
      <c r="A402" s="123">
        <v>46045</v>
      </c>
      <c r="B402" s="94"/>
      <c r="C402" s="125" t="s">
        <v>666</v>
      </c>
      <c r="D402" s="15" t="s">
        <v>204</v>
      </c>
      <c r="E402" s="17">
        <v>30</v>
      </c>
      <c r="F402" s="17">
        <v>60</v>
      </c>
      <c r="G402" s="124">
        <v>54</v>
      </c>
      <c r="H402" s="14"/>
      <c r="I402" s="15" t="s">
        <v>681</v>
      </c>
    </row>
    <row r="403" spans="1:9" ht="15" customHeight="1">
      <c r="A403" s="123">
        <v>46045</v>
      </c>
      <c r="B403" s="94"/>
      <c r="C403" s="125" t="s">
        <v>666</v>
      </c>
      <c r="D403" s="15" t="s">
        <v>205</v>
      </c>
      <c r="E403" s="17">
        <v>1</v>
      </c>
      <c r="F403" s="17">
        <v>60</v>
      </c>
      <c r="G403" s="124">
        <v>0.3</v>
      </c>
      <c r="H403" s="14"/>
      <c r="I403" s="94" t="s">
        <v>709</v>
      </c>
    </row>
    <row r="404" spans="1:9" ht="15" customHeight="1">
      <c r="A404" s="123">
        <v>46045</v>
      </c>
      <c r="B404" s="94"/>
      <c r="C404" s="125" t="s">
        <v>666</v>
      </c>
      <c r="D404" s="15" t="s">
        <v>205</v>
      </c>
      <c r="E404" s="17">
        <v>2</v>
      </c>
      <c r="F404" s="17">
        <v>60</v>
      </c>
      <c r="G404" s="124">
        <v>1.8</v>
      </c>
      <c r="H404" s="14"/>
      <c r="I404" s="15" t="s">
        <v>696</v>
      </c>
    </row>
    <row r="405" spans="1:9" ht="15" customHeight="1">
      <c r="A405" s="123">
        <v>46045</v>
      </c>
      <c r="B405" s="94"/>
      <c r="C405" s="125" t="s">
        <v>666</v>
      </c>
      <c r="D405" s="15" t="s">
        <v>205</v>
      </c>
      <c r="E405" s="17">
        <v>12</v>
      </c>
      <c r="F405" s="17">
        <v>60</v>
      </c>
      <c r="G405" s="124">
        <v>21.6</v>
      </c>
      <c r="H405" s="14"/>
      <c r="I405" s="15" t="s">
        <v>682</v>
      </c>
    </row>
    <row r="406" spans="1:9" ht="15" customHeight="1">
      <c r="A406" s="123">
        <v>46045</v>
      </c>
      <c r="B406" s="94"/>
      <c r="C406" s="125" t="s">
        <v>666</v>
      </c>
      <c r="D406" s="15" t="s">
        <v>206</v>
      </c>
      <c r="E406" s="17">
        <v>1</v>
      </c>
      <c r="F406" s="17">
        <v>30</v>
      </c>
      <c r="G406" s="124">
        <v>1.8</v>
      </c>
      <c r="H406" s="14"/>
      <c r="I406" s="15" t="s">
        <v>683</v>
      </c>
    </row>
    <row r="407" spans="1:9" ht="15" customHeight="1">
      <c r="A407" s="123">
        <v>46045</v>
      </c>
      <c r="B407" s="94"/>
      <c r="C407" s="125" t="s">
        <v>666</v>
      </c>
      <c r="D407" s="15" t="s">
        <v>212</v>
      </c>
      <c r="E407" s="17">
        <v>2</v>
      </c>
      <c r="F407" s="17">
        <v>50</v>
      </c>
      <c r="G407" s="124">
        <v>1</v>
      </c>
      <c r="H407" s="14"/>
      <c r="I407" s="15" t="s">
        <v>698</v>
      </c>
    </row>
    <row r="408" spans="1:9" ht="15" customHeight="1">
      <c r="A408" s="123">
        <v>46045</v>
      </c>
      <c r="B408" s="94"/>
      <c r="C408" s="125" t="s">
        <v>666</v>
      </c>
      <c r="D408" s="15" t="s">
        <v>220</v>
      </c>
      <c r="E408" s="17">
        <v>5</v>
      </c>
      <c r="F408" s="17">
        <v>50</v>
      </c>
      <c r="G408" s="124">
        <v>0.25</v>
      </c>
      <c r="H408" s="14"/>
      <c r="I408" s="15" t="s">
        <v>693</v>
      </c>
    </row>
    <row r="409" spans="1:9" ht="15" customHeight="1">
      <c r="A409" s="123">
        <v>46045</v>
      </c>
      <c r="B409" s="15" t="s">
        <v>719</v>
      </c>
      <c r="C409" s="14" t="s">
        <v>657</v>
      </c>
      <c r="D409" s="15" t="s">
        <v>149</v>
      </c>
      <c r="E409" s="17">
        <v>37</v>
      </c>
      <c r="F409" s="17">
        <v>360</v>
      </c>
      <c r="G409" s="124">
        <v>13.32</v>
      </c>
      <c r="H409" s="14"/>
      <c r="I409" s="15" t="s">
        <v>720</v>
      </c>
    </row>
    <row r="410" spans="1:9" ht="15" customHeight="1">
      <c r="A410" s="123">
        <v>46045</v>
      </c>
      <c r="B410" s="15" t="s">
        <v>719</v>
      </c>
      <c r="C410" s="14" t="s">
        <v>657</v>
      </c>
      <c r="D410" s="15" t="s">
        <v>150</v>
      </c>
      <c r="E410" s="17">
        <v>43</v>
      </c>
      <c r="F410" s="17">
        <v>360</v>
      </c>
      <c r="G410" s="124">
        <v>15.48</v>
      </c>
      <c r="H410" s="14"/>
      <c r="I410" s="15" t="s">
        <v>721</v>
      </c>
    </row>
    <row r="411" spans="1:9" ht="15" customHeight="1">
      <c r="A411" s="123">
        <v>46045</v>
      </c>
      <c r="B411" s="15" t="s">
        <v>719</v>
      </c>
      <c r="C411" s="14" t="s">
        <v>657</v>
      </c>
      <c r="D411" s="15" t="s">
        <v>151</v>
      </c>
      <c r="E411" s="17">
        <v>30</v>
      </c>
      <c r="F411" s="17">
        <v>360</v>
      </c>
      <c r="G411" s="124">
        <v>10.8</v>
      </c>
      <c r="H411" s="14"/>
      <c r="I411" s="15" t="s">
        <v>722</v>
      </c>
    </row>
    <row r="412" spans="1:9" ht="15" customHeight="1">
      <c r="A412" s="123">
        <v>46045</v>
      </c>
      <c r="B412" s="15" t="s">
        <v>719</v>
      </c>
      <c r="C412" s="14" t="s">
        <v>657</v>
      </c>
      <c r="D412" s="15" t="s">
        <v>152</v>
      </c>
      <c r="E412" s="17">
        <v>53</v>
      </c>
      <c r="F412" s="17">
        <v>360</v>
      </c>
      <c r="G412" s="124">
        <v>19.079999999999998</v>
      </c>
      <c r="H412" s="14"/>
      <c r="I412" s="15" t="s">
        <v>723</v>
      </c>
    </row>
    <row r="413" spans="1:9" ht="15" customHeight="1">
      <c r="A413" s="123">
        <v>46045</v>
      </c>
      <c r="B413" s="15" t="s">
        <v>719</v>
      </c>
      <c r="C413" s="14" t="s">
        <v>657</v>
      </c>
      <c r="D413" s="15" t="s">
        <v>153</v>
      </c>
      <c r="E413" s="17">
        <v>45</v>
      </c>
      <c r="F413" s="17">
        <v>360</v>
      </c>
      <c r="G413" s="124">
        <v>16.2</v>
      </c>
      <c r="H413" s="14"/>
      <c r="I413" s="15" t="s">
        <v>724</v>
      </c>
    </row>
    <row r="414" spans="1:9" ht="15" customHeight="1">
      <c r="A414" s="123">
        <v>46045</v>
      </c>
      <c r="B414" s="15" t="s">
        <v>719</v>
      </c>
      <c r="C414" s="14" t="s">
        <v>657</v>
      </c>
      <c r="D414" s="15" t="s">
        <v>154</v>
      </c>
      <c r="E414" s="17">
        <v>45</v>
      </c>
      <c r="F414" s="17">
        <v>360</v>
      </c>
      <c r="G414" s="124">
        <v>16.2</v>
      </c>
      <c r="H414" s="14"/>
      <c r="I414" s="15" t="s">
        <v>725</v>
      </c>
    </row>
    <row r="415" spans="1:9" ht="15" customHeight="1">
      <c r="A415" s="123">
        <v>46048</v>
      </c>
      <c r="B415" s="94"/>
      <c r="C415" s="125" t="s">
        <v>666</v>
      </c>
      <c r="D415" s="94" t="s">
        <v>141</v>
      </c>
      <c r="E415" s="17">
        <v>1</v>
      </c>
      <c r="F415" s="17">
        <v>60</v>
      </c>
      <c r="G415" s="124">
        <v>1.2</v>
      </c>
      <c r="H415" s="14"/>
      <c r="I415" s="94" t="s">
        <v>692</v>
      </c>
    </row>
    <row r="416" spans="1:9" ht="15" customHeight="1">
      <c r="A416" s="123">
        <v>46048</v>
      </c>
      <c r="B416" s="94"/>
      <c r="C416" s="125" t="s">
        <v>666</v>
      </c>
      <c r="D416" s="94" t="s">
        <v>141</v>
      </c>
      <c r="E416" s="17">
        <v>2</v>
      </c>
      <c r="F416" s="17">
        <v>60</v>
      </c>
      <c r="G416" s="124">
        <v>2.4</v>
      </c>
      <c r="H416" s="14"/>
      <c r="I416" s="15" t="s">
        <v>684</v>
      </c>
    </row>
    <row r="417" spans="1:9" ht="15" customHeight="1">
      <c r="A417" s="123">
        <v>46048</v>
      </c>
      <c r="B417" s="94"/>
      <c r="C417" s="125" t="s">
        <v>666</v>
      </c>
      <c r="D417" s="15" t="s">
        <v>142</v>
      </c>
      <c r="E417" s="17">
        <v>5</v>
      </c>
      <c r="F417" s="17">
        <v>50</v>
      </c>
      <c r="G417" s="124">
        <v>0.25</v>
      </c>
      <c r="H417" s="14"/>
      <c r="I417" s="15" t="s">
        <v>693</v>
      </c>
    </row>
    <row r="418" spans="1:9" ht="15" customHeight="1">
      <c r="A418" s="123">
        <v>46048</v>
      </c>
      <c r="B418" s="94"/>
      <c r="C418" s="125" t="s">
        <v>666</v>
      </c>
      <c r="D418" s="15" t="s">
        <v>143</v>
      </c>
      <c r="E418" s="17">
        <v>6</v>
      </c>
      <c r="F418" s="17">
        <v>50</v>
      </c>
      <c r="G418" s="124">
        <v>6</v>
      </c>
      <c r="H418" s="14"/>
      <c r="I418" s="15" t="s">
        <v>669</v>
      </c>
    </row>
    <row r="419" spans="1:9" ht="15" customHeight="1">
      <c r="A419" s="123">
        <v>46048</v>
      </c>
      <c r="B419" s="94"/>
      <c r="C419" s="125" t="s">
        <v>666</v>
      </c>
      <c r="D419" s="15" t="s">
        <v>143</v>
      </c>
      <c r="E419" s="17">
        <v>1</v>
      </c>
      <c r="F419" s="17">
        <v>50</v>
      </c>
      <c r="G419" s="124">
        <v>2</v>
      </c>
      <c r="H419" s="14"/>
      <c r="I419" s="15" t="s">
        <v>670</v>
      </c>
    </row>
    <row r="420" spans="1:9" ht="15" customHeight="1">
      <c r="A420" s="123">
        <v>46048</v>
      </c>
      <c r="B420" s="94"/>
      <c r="C420" s="125" t="s">
        <v>666</v>
      </c>
      <c r="D420" s="15" t="s">
        <v>143</v>
      </c>
      <c r="E420" s="17">
        <v>10</v>
      </c>
      <c r="F420" s="17">
        <v>50</v>
      </c>
      <c r="G420" s="124">
        <v>0.5</v>
      </c>
      <c r="H420" s="14"/>
      <c r="I420" s="15" t="s">
        <v>727</v>
      </c>
    </row>
    <row r="421" spans="1:9" ht="15" customHeight="1">
      <c r="A421" s="123">
        <v>46048</v>
      </c>
      <c r="B421" s="94"/>
      <c r="C421" s="125" t="s">
        <v>666</v>
      </c>
      <c r="D421" s="15" t="s">
        <v>144</v>
      </c>
      <c r="E421" s="17">
        <v>8</v>
      </c>
      <c r="F421" s="17">
        <v>1000</v>
      </c>
      <c r="G421" s="124">
        <v>16</v>
      </c>
      <c r="H421" s="14"/>
      <c r="I421" s="15" t="s">
        <v>672</v>
      </c>
    </row>
    <row r="422" spans="1:9" ht="15" customHeight="1">
      <c r="A422" s="123">
        <v>46048</v>
      </c>
      <c r="B422" s="94"/>
      <c r="C422" s="125" t="s">
        <v>666</v>
      </c>
      <c r="D422" s="15" t="s">
        <v>145</v>
      </c>
      <c r="E422" s="17">
        <v>10</v>
      </c>
      <c r="F422" s="17">
        <v>50</v>
      </c>
      <c r="G422" s="124">
        <v>0.5</v>
      </c>
      <c r="H422" s="14"/>
      <c r="I422" s="15" t="s">
        <v>727</v>
      </c>
    </row>
    <row r="423" spans="1:9" ht="15" customHeight="1">
      <c r="A423" s="123">
        <v>46048</v>
      </c>
      <c r="B423" s="94"/>
      <c r="C423" s="125" t="s">
        <v>666</v>
      </c>
      <c r="D423" s="15" t="s">
        <v>146</v>
      </c>
      <c r="E423" s="17">
        <v>1</v>
      </c>
      <c r="F423" s="17">
        <v>50</v>
      </c>
      <c r="G423" s="124">
        <v>1</v>
      </c>
      <c r="H423" s="14"/>
      <c r="I423" s="15" t="s">
        <v>704</v>
      </c>
    </row>
    <row r="424" spans="1:9" ht="15" customHeight="1">
      <c r="A424" s="123">
        <v>46048</v>
      </c>
      <c r="B424" s="94"/>
      <c r="C424" s="125" t="s">
        <v>666</v>
      </c>
      <c r="D424" s="15" t="s">
        <v>146</v>
      </c>
      <c r="E424" s="17">
        <v>5</v>
      </c>
      <c r="F424" s="17">
        <v>50</v>
      </c>
      <c r="G424" s="124">
        <v>0.25</v>
      </c>
      <c r="H424" s="14"/>
      <c r="I424" s="15" t="s">
        <v>693</v>
      </c>
    </row>
    <row r="425" spans="1:9" ht="15" customHeight="1">
      <c r="A425" s="123">
        <v>46048</v>
      </c>
      <c r="B425" s="94"/>
      <c r="C425" s="125" t="s">
        <v>666</v>
      </c>
      <c r="D425" s="15" t="s">
        <v>147</v>
      </c>
      <c r="E425" s="17">
        <v>1</v>
      </c>
      <c r="F425" s="17">
        <v>50</v>
      </c>
      <c r="G425" s="124">
        <v>1</v>
      </c>
      <c r="H425" s="14"/>
      <c r="I425" s="15" t="s">
        <v>687</v>
      </c>
    </row>
    <row r="426" spans="1:9" ht="15" customHeight="1">
      <c r="A426" s="123">
        <v>46048</v>
      </c>
      <c r="B426" s="94"/>
      <c r="C426" s="125" t="s">
        <v>666</v>
      </c>
      <c r="D426" s="15" t="s">
        <v>147</v>
      </c>
      <c r="E426" s="17">
        <v>5</v>
      </c>
      <c r="F426" s="17">
        <v>50</v>
      </c>
      <c r="G426" s="124">
        <v>0.25</v>
      </c>
      <c r="H426" s="14"/>
      <c r="I426" s="15" t="s">
        <v>693</v>
      </c>
    </row>
    <row r="427" spans="1:9" ht="15" customHeight="1">
      <c r="A427" s="123">
        <v>46048</v>
      </c>
      <c r="B427" s="94"/>
      <c r="C427" s="125" t="s">
        <v>666</v>
      </c>
      <c r="D427" s="15" t="s">
        <v>148</v>
      </c>
      <c r="E427" s="17">
        <v>8</v>
      </c>
      <c r="F427" s="17">
        <v>50</v>
      </c>
      <c r="G427" s="124">
        <v>0.4</v>
      </c>
      <c r="H427" s="14"/>
      <c r="I427" s="15" t="s">
        <v>727</v>
      </c>
    </row>
    <row r="428" spans="1:9" ht="15" customHeight="1">
      <c r="A428" s="123">
        <v>46048</v>
      </c>
      <c r="B428" s="94"/>
      <c r="C428" s="125" t="s">
        <v>666</v>
      </c>
      <c r="D428" s="15" t="s">
        <v>155</v>
      </c>
      <c r="E428" s="17">
        <v>7</v>
      </c>
      <c r="F428" s="17">
        <v>80</v>
      </c>
      <c r="G428" s="124">
        <v>11.2</v>
      </c>
      <c r="H428" s="14"/>
      <c r="I428" s="94" t="s">
        <v>673</v>
      </c>
    </row>
    <row r="429" spans="1:9" ht="15" customHeight="1">
      <c r="A429" s="123">
        <v>46048</v>
      </c>
      <c r="B429" s="94"/>
      <c r="C429" s="125" t="s">
        <v>666</v>
      </c>
      <c r="D429" s="15" t="s">
        <v>159</v>
      </c>
      <c r="E429" s="17">
        <v>8</v>
      </c>
      <c r="F429" s="17">
        <v>50</v>
      </c>
      <c r="G429" s="124">
        <v>0.4</v>
      </c>
      <c r="H429" s="14"/>
      <c r="I429" s="15" t="s">
        <v>727</v>
      </c>
    </row>
    <row r="430" spans="1:9" ht="15" customHeight="1">
      <c r="A430" s="123">
        <v>46048</v>
      </c>
      <c r="B430" s="94"/>
      <c r="C430" s="125" t="s">
        <v>666</v>
      </c>
      <c r="D430" s="15" t="s">
        <v>174</v>
      </c>
      <c r="E430" s="17">
        <v>2</v>
      </c>
      <c r="F430" s="17">
        <v>1000</v>
      </c>
      <c r="G430" s="124">
        <v>2</v>
      </c>
      <c r="H430" s="14"/>
      <c r="I430" s="15" t="s">
        <v>674</v>
      </c>
    </row>
    <row r="431" spans="1:9" ht="15" customHeight="1">
      <c r="A431" s="123">
        <v>46048</v>
      </c>
      <c r="B431" s="94"/>
      <c r="C431" s="125" t="s">
        <v>666</v>
      </c>
      <c r="D431" s="15" t="s">
        <v>179</v>
      </c>
      <c r="E431" s="17">
        <v>1</v>
      </c>
      <c r="F431" s="17">
        <v>1000</v>
      </c>
      <c r="G431" s="124">
        <v>1</v>
      </c>
      <c r="H431" s="14"/>
      <c r="I431" s="15" t="s">
        <v>702</v>
      </c>
    </row>
    <row r="432" spans="1:9" ht="15" customHeight="1">
      <c r="A432" s="123">
        <v>46048</v>
      </c>
      <c r="B432" s="94"/>
      <c r="C432" s="125" t="s">
        <v>666</v>
      </c>
      <c r="D432" s="15" t="s">
        <v>181</v>
      </c>
      <c r="E432" s="17">
        <v>8</v>
      </c>
      <c r="F432" s="17">
        <v>1000</v>
      </c>
      <c r="G432" s="124">
        <v>8</v>
      </c>
      <c r="H432" s="14"/>
      <c r="I432" s="94" t="s">
        <v>705</v>
      </c>
    </row>
    <row r="433" spans="1:9" ht="15" customHeight="1">
      <c r="A433" s="123">
        <v>46048</v>
      </c>
      <c r="B433" s="94"/>
      <c r="C433" s="125" t="s">
        <v>666</v>
      </c>
      <c r="D433" s="15" t="s">
        <v>183</v>
      </c>
      <c r="E433" s="17">
        <v>1</v>
      </c>
      <c r="F433" s="17">
        <v>60</v>
      </c>
      <c r="G433" s="124">
        <v>0.6</v>
      </c>
      <c r="H433" s="14"/>
      <c r="I433" s="94" t="s">
        <v>709</v>
      </c>
    </row>
    <row r="434" spans="1:9" ht="15" customHeight="1">
      <c r="A434" s="123">
        <v>46048</v>
      </c>
      <c r="B434" s="94"/>
      <c r="C434" s="125" t="s">
        <v>666</v>
      </c>
      <c r="D434" s="15" t="s">
        <v>183</v>
      </c>
      <c r="E434" s="17">
        <v>19</v>
      </c>
      <c r="F434" s="17">
        <v>60</v>
      </c>
      <c r="G434" s="124">
        <v>34.200000000000003</v>
      </c>
      <c r="H434" s="14"/>
      <c r="I434" s="15" t="s">
        <v>676</v>
      </c>
    </row>
    <row r="435" spans="1:9" ht="15" customHeight="1">
      <c r="A435" s="123">
        <v>46048</v>
      </c>
      <c r="B435" s="94"/>
      <c r="C435" s="125" t="s">
        <v>666</v>
      </c>
      <c r="D435" s="15" t="s">
        <v>184</v>
      </c>
      <c r="E435" s="17">
        <v>4</v>
      </c>
      <c r="F435" s="17">
        <v>50</v>
      </c>
      <c r="G435" s="124">
        <v>4</v>
      </c>
      <c r="H435" s="14"/>
      <c r="I435" s="15" t="s">
        <v>677</v>
      </c>
    </row>
    <row r="436" spans="1:9" ht="15" customHeight="1">
      <c r="A436" s="123">
        <v>46048</v>
      </c>
      <c r="B436" s="94"/>
      <c r="C436" s="125" t="s">
        <v>666</v>
      </c>
      <c r="D436" s="15" t="s">
        <v>184</v>
      </c>
      <c r="E436" s="17">
        <v>10</v>
      </c>
      <c r="F436" s="17">
        <v>50</v>
      </c>
      <c r="G436" s="124">
        <v>0.5</v>
      </c>
      <c r="H436" s="14"/>
      <c r="I436" s="15" t="s">
        <v>727</v>
      </c>
    </row>
    <row r="437" spans="1:9" ht="15" customHeight="1">
      <c r="A437" s="123">
        <v>46048</v>
      </c>
      <c r="B437" s="94"/>
      <c r="C437" s="125" t="s">
        <v>666</v>
      </c>
      <c r="D437" s="15" t="s">
        <v>186</v>
      </c>
      <c r="E437" s="17">
        <v>8</v>
      </c>
      <c r="F437" s="17">
        <v>50</v>
      </c>
      <c r="G437" s="124">
        <v>0.4</v>
      </c>
      <c r="H437" s="14"/>
      <c r="I437" s="15" t="s">
        <v>727</v>
      </c>
    </row>
    <row r="438" spans="1:9" ht="15" customHeight="1">
      <c r="A438" s="123">
        <v>46048</v>
      </c>
      <c r="B438" s="94"/>
      <c r="C438" s="125" t="s">
        <v>666</v>
      </c>
      <c r="D438" s="15" t="s">
        <v>192</v>
      </c>
      <c r="E438" s="17">
        <v>10</v>
      </c>
      <c r="F438" s="17">
        <v>50</v>
      </c>
      <c r="G438" s="124">
        <v>0.5</v>
      </c>
      <c r="H438" s="14"/>
      <c r="I438" s="15" t="s">
        <v>727</v>
      </c>
    </row>
    <row r="439" spans="1:9" ht="15" customHeight="1">
      <c r="A439" s="123">
        <v>46048</v>
      </c>
      <c r="B439" s="94"/>
      <c r="C439" s="125" t="s">
        <v>666</v>
      </c>
      <c r="D439" s="15" t="s">
        <v>195</v>
      </c>
      <c r="E439" s="17">
        <v>8</v>
      </c>
      <c r="F439" s="17">
        <v>50</v>
      </c>
      <c r="G439" s="124">
        <v>0.4</v>
      </c>
      <c r="H439" s="14"/>
      <c r="I439" s="15" t="s">
        <v>727</v>
      </c>
    </row>
    <row r="440" spans="1:9" ht="15" customHeight="1">
      <c r="A440" s="123">
        <v>46048</v>
      </c>
      <c r="B440" s="94"/>
      <c r="C440" s="125" t="s">
        <v>666</v>
      </c>
      <c r="D440" s="15" t="s">
        <v>222</v>
      </c>
      <c r="E440" s="17">
        <v>1</v>
      </c>
      <c r="F440" s="17">
        <v>40</v>
      </c>
      <c r="G440" s="124">
        <v>0.2</v>
      </c>
      <c r="H440" s="14"/>
      <c r="I440" s="94" t="s">
        <v>709</v>
      </c>
    </row>
    <row r="441" spans="1:9" ht="15" customHeight="1">
      <c r="A441" s="123">
        <v>46048</v>
      </c>
      <c r="B441" s="94"/>
      <c r="C441" s="125" t="s">
        <v>666</v>
      </c>
      <c r="D441" s="15" t="s">
        <v>222</v>
      </c>
      <c r="E441" s="17">
        <v>4</v>
      </c>
      <c r="F441" s="17">
        <v>40</v>
      </c>
      <c r="G441" s="124">
        <v>3.2</v>
      </c>
      <c r="H441" s="14"/>
      <c r="I441" s="15" t="s">
        <v>679</v>
      </c>
    </row>
    <row r="442" spans="1:9" ht="15" customHeight="1">
      <c r="A442" s="123">
        <v>46048</v>
      </c>
      <c r="B442" s="94"/>
      <c r="C442" s="125" t="s">
        <v>666</v>
      </c>
      <c r="D442" s="15" t="s">
        <v>221</v>
      </c>
      <c r="E442" s="17">
        <v>1</v>
      </c>
      <c r="F442" s="17">
        <v>40</v>
      </c>
      <c r="G442" s="124">
        <v>0.2</v>
      </c>
      <c r="H442" s="14"/>
      <c r="I442" s="94" t="s">
        <v>709</v>
      </c>
    </row>
    <row r="443" spans="1:9" ht="15" customHeight="1">
      <c r="A443" s="123">
        <v>46048</v>
      </c>
      <c r="B443" s="94"/>
      <c r="C443" s="125" t="s">
        <v>666</v>
      </c>
      <c r="D443" s="15" t="s">
        <v>221</v>
      </c>
      <c r="E443" s="17">
        <v>2</v>
      </c>
      <c r="F443" s="17">
        <v>40</v>
      </c>
      <c r="G443" s="124">
        <v>1.6</v>
      </c>
      <c r="H443" s="14"/>
      <c r="I443" s="15" t="s">
        <v>680</v>
      </c>
    </row>
    <row r="444" spans="1:9" ht="15" customHeight="1">
      <c r="A444" s="123">
        <v>46048</v>
      </c>
      <c r="B444" s="94"/>
      <c r="C444" s="125" t="s">
        <v>666</v>
      </c>
      <c r="D444" s="15" t="s">
        <v>204</v>
      </c>
      <c r="E444" s="17">
        <v>1</v>
      </c>
      <c r="F444" s="17">
        <v>60</v>
      </c>
      <c r="G444" s="124">
        <v>0.3</v>
      </c>
      <c r="H444" s="14"/>
      <c r="I444" s="94" t="s">
        <v>709</v>
      </c>
    </row>
    <row r="445" spans="1:9" ht="15" customHeight="1">
      <c r="A445" s="123">
        <v>46048</v>
      </c>
      <c r="B445" s="94"/>
      <c r="C445" s="125" t="s">
        <v>666</v>
      </c>
      <c r="D445" s="15" t="s">
        <v>204</v>
      </c>
      <c r="E445" s="17">
        <v>38</v>
      </c>
      <c r="F445" s="17">
        <v>60</v>
      </c>
      <c r="G445" s="124">
        <v>68.400000000000006</v>
      </c>
      <c r="H445" s="14"/>
      <c r="I445" s="15" t="s">
        <v>681</v>
      </c>
    </row>
    <row r="446" spans="1:9" ht="15" customHeight="1">
      <c r="A446" s="123">
        <v>46048</v>
      </c>
      <c r="B446" s="94"/>
      <c r="C446" s="125" t="s">
        <v>666</v>
      </c>
      <c r="D446" s="15" t="s">
        <v>204</v>
      </c>
      <c r="E446" s="17">
        <v>1</v>
      </c>
      <c r="F446" s="17">
        <v>60</v>
      </c>
      <c r="G446" s="124">
        <v>3.6</v>
      </c>
      <c r="H446" s="14"/>
      <c r="I446" s="15" t="s">
        <v>728</v>
      </c>
    </row>
    <row r="447" spans="1:9" ht="15" customHeight="1">
      <c r="A447" s="123">
        <v>46048</v>
      </c>
      <c r="B447" s="94"/>
      <c r="C447" s="125" t="s">
        <v>666</v>
      </c>
      <c r="D447" s="15" t="s">
        <v>205</v>
      </c>
      <c r="E447" s="17">
        <v>1</v>
      </c>
      <c r="F447" s="17">
        <v>60</v>
      </c>
      <c r="G447" s="124">
        <v>0.3</v>
      </c>
      <c r="H447" s="14"/>
      <c r="I447" s="94" t="s">
        <v>709</v>
      </c>
    </row>
    <row r="448" spans="1:9" ht="15" customHeight="1">
      <c r="A448" s="123">
        <v>46048</v>
      </c>
      <c r="B448" s="94"/>
      <c r="C448" s="125" t="s">
        <v>666</v>
      </c>
      <c r="D448" s="15" t="s">
        <v>205</v>
      </c>
      <c r="E448" s="17">
        <v>16</v>
      </c>
      <c r="F448" s="17">
        <v>60</v>
      </c>
      <c r="G448" s="124">
        <v>28.8</v>
      </c>
      <c r="H448" s="14"/>
      <c r="I448" s="15" t="s">
        <v>682</v>
      </c>
    </row>
    <row r="449" spans="1:9" ht="15" customHeight="1">
      <c r="A449" s="123">
        <v>46048</v>
      </c>
      <c r="B449" s="94"/>
      <c r="C449" s="125" t="s">
        <v>666</v>
      </c>
      <c r="D449" s="15" t="s">
        <v>206</v>
      </c>
      <c r="E449" s="17">
        <v>2</v>
      </c>
      <c r="F449" s="17">
        <v>30</v>
      </c>
      <c r="G449" s="124">
        <v>1.8</v>
      </c>
      <c r="H449" s="14"/>
      <c r="I449" s="15" t="s">
        <v>718</v>
      </c>
    </row>
    <row r="450" spans="1:9" ht="15" customHeight="1">
      <c r="A450" s="123">
        <v>46048</v>
      </c>
      <c r="B450" s="94"/>
      <c r="C450" s="125" t="s">
        <v>666</v>
      </c>
      <c r="D450" s="15" t="s">
        <v>219</v>
      </c>
      <c r="E450" s="17">
        <v>8</v>
      </c>
      <c r="F450" s="17">
        <v>50</v>
      </c>
      <c r="G450" s="124">
        <v>0.4</v>
      </c>
      <c r="H450" s="14"/>
      <c r="I450" s="15" t="s">
        <v>727</v>
      </c>
    </row>
    <row r="451" spans="1:9" ht="15" customHeight="1">
      <c r="A451" s="123">
        <v>46048</v>
      </c>
      <c r="B451" s="94"/>
      <c r="C451" s="125" t="s">
        <v>666</v>
      </c>
      <c r="D451" s="15" t="s">
        <v>220</v>
      </c>
      <c r="E451" s="17">
        <v>5</v>
      </c>
      <c r="F451" s="17">
        <v>50</v>
      </c>
      <c r="G451" s="124">
        <v>0.25</v>
      </c>
      <c r="H451" s="14"/>
      <c r="I451" s="15" t="s">
        <v>693</v>
      </c>
    </row>
    <row r="452" spans="1:9" ht="15" customHeight="1">
      <c r="A452" s="123">
        <v>46048</v>
      </c>
      <c r="B452" s="94"/>
      <c r="C452" s="125" t="s">
        <v>666</v>
      </c>
      <c r="D452" s="15" t="s">
        <v>220</v>
      </c>
      <c r="E452" s="17">
        <v>1</v>
      </c>
      <c r="F452" s="17">
        <v>50</v>
      </c>
      <c r="G452" s="124">
        <v>1</v>
      </c>
      <c r="H452" s="14"/>
      <c r="I452" s="15" t="s">
        <v>699</v>
      </c>
    </row>
    <row r="453" spans="1:9" ht="15" customHeight="1">
      <c r="A453" s="123">
        <v>46048</v>
      </c>
      <c r="B453" s="15" t="s">
        <v>719</v>
      </c>
      <c r="C453" s="14" t="s">
        <v>657</v>
      </c>
      <c r="D453" s="15" t="s">
        <v>149</v>
      </c>
      <c r="E453" s="17">
        <v>42</v>
      </c>
      <c r="F453" s="17">
        <v>360</v>
      </c>
      <c r="G453" s="124">
        <v>15.12</v>
      </c>
      <c r="H453" s="14"/>
      <c r="I453" s="15" t="s">
        <v>720</v>
      </c>
    </row>
    <row r="454" spans="1:9" ht="15" customHeight="1">
      <c r="A454" s="123">
        <v>46048</v>
      </c>
      <c r="B454" s="15" t="s">
        <v>719</v>
      </c>
      <c r="C454" s="14" t="s">
        <v>657</v>
      </c>
      <c r="D454" s="15" t="s">
        <v>150</v>
      </c>
      <c r="E454" s="17">
        <v>74</v>
      </c>
      <c r="F454" s="17">
        <v>360</v>
      </c>
      <c r="G454" s="124">
        <v>26.64</v>
      </c>
      <c r="H454" s="14"/>
      <c r="I454" s="15" t="s">
        <v>721</v>
      </c>
    </row>
    <row r="455" spans="1:9" ht="15" customHeight="1">
      <c r="A455" s="123">
        <v>46048</v>
      </c>
      <c r="B455" s="15" t="s">
        <v>719</v>
      </c>
      <c r="C455" s="14" t="s">
        <v>657</v>
      </c>
      <c r="D455" s="15" t="s">
        <v>151</v>
      </c>
      <c r="E455" s="17">
        <v>25</v>
      </c>
      <c r="F455" s="17">
        <v>360</v>
      </c>
      <c r="G455" s="124">
        <v>9</v>
      </c>
      <c r="H455" s="14"/>
      <c r="I455" s="15" t="s">
        <v>722</v>
      </c>
    </row>
    <row r="456" spans="1:9" ht="15" customHeight="1">
      <c r="A456" s="123">
        <v>46048</v>
      </c>
      <c r="B456" s="15" t="s">
        <v>719</v>
      </c>
      <c r="C456" s="14" t="s">
        <v>657</v>
      </c>
      <c r="D456" s="15" t="s">
        <v>152</v>
      </c>
      <c r="E456" s="17">
        <v>58</v>
      </c>
      <c r="F456" s="17">
        <v>360</v>
      </c>
      <c r="G456" s="124">
        <v>20.88</v>
      </c>
      <c r="H456" s="14"/>
      <c r="I456" s="15" t="s">
        <v>723</v>
      </c>
    </row>
    <row r="457" spans="1:9" ht="15" customHeight="1">
      <c r="A457" s="123">
        <v>46048</v>
      </c>
      <c r="B457" s="15" t="s">
        <v>719</v>
      </c>
      <c r="C457" s="14" t="s">
        <v>657</v>
      </c>
      <c r="D457" s="15" t="s">
        <v>153</v>
      </c>
      <c r="E457" s="17">
        <v>54</v>
      </c>
      <c r="F457" s="17">
        <v>360</v>
      </c>
      <c r="G457" s="124">
        <v>19.440000000000001</v>
      </c>
      <c r="H457" s="14"/>
      <c r="I457" s="15" t="s">
        <v>724</v>
      </c>
    </row>
    <row r="458" spans="1:9" ht="15" customHeight="1">
      <c r="A458" s="123">
        <v>46048</v>
      </c>
      <c r="B458" s="15" t="s">
        <v>719</v>
      </c>
      <c r="C458" s="14" t="s">
        <v>657</v>
      </c>
      <c r="D458" s="15" t="s">
        <v>154</v>
      </c>
      <c r="E458" s="17">
        <v>46</v>
      </c>
      <c r="F458" s="17">
        <v>360</v>
      </c>
      <c r="G458" s="124">
        <v>16.559999999999999</v>
      </c>
      <c r="H458" s="14"/>
      <c r="I458" s="15" t="s">
        <v>725</v>
      </c>
    </row>
    <row r="459" spans="1:9" ht="15" customHeight="1">
      <c r="A459" s="123">
        <v>46049</v>
      </c>
      <c r="B459" s="94"/>
      <c r="C459" s="125" t="s">
        <v>666</v>
      </c>
      <c r="D459" s="94" t="s">
        <v>141</v>
      </c>
      <c r="E459" s="17">
        <v>1</v>
      </c>
      <c r="F459" s="17">
        <v>60</v>
      </c>
      <c r="G459" s="124">
        <v>1.2</v>
      </c>
      <c r="H459" s="14"/>
      <c r="I459" s="94" t="s">
        <v>692</v>
      </c>
    </row>
    <row r="460" spans="1:9" ht="15" customHeight="1">
      <c r="A460" s="123">
        <v>46049</v>
      </c>
      <c r="B460" s="94"/>
      <c r="C460" s="125" t="s">
        <v>666</v>
      </c>
      <c r="D460" s="15" t="s">
        <v>142</v>
      </c>
      <c r="E460" s="17">
        <v>5</v>
      </c>
      <c r="F460" s="17">
        <v>50</v>
      </c>
      <c r="G460" s="124">
        <v>0.25</v>
      </c>
      <c r="H460" s="14"/>
      <c r="I460" s="15" t="s">
        <v>693</v>
      </c>
    </row>
    <row r="461" spans="1:9" ht="15" customHeight="1">
      <c r="A461" s="123">
        <v>46049</v>
      </c>
      <c r="B461" s="94"/>
      <c r="C461" s="125" t="s">
        <v>666</v>
      </c>
      <c r="D461" s="15" t="s">
        <v>143</v>
      </c>
      <c r="E461" s="17">
        <v>6</v>
      </c>
      <c r="F461" s="17">
        <v>50</v>
      </c>
      <c r="G461" s="124">
        <v>6</v>
      </c>
      <c r="H461" s="14"/>
      <c r="I461" s="15" t="s">
        <v>669</v>
      </c>
    </row>
    <row r="462" spans="1:9" ht="15" customHeight="1">
      <c r="A462" s="123">
        <v>46049</v>
      </c>
      <c r="B462" s="94"/>
      <c r="C462" s="125" t="s">
        <v>666</v>
      </c>
      <c r="D462" s="15" t="s">
        <v>143</v>
      </c>
      <c r="E462" s="17">
        <v>2</v>
      </c>
      <c r="F462" s="17">
        <v>50</v>
      </c>
      <c r="G462" s="124">
        <v>4</v>
      </c>
      <c r="H462" s="14"/>
      <c r="I462" s="15" t="s">
        <v>670</v>
      </c>
    </row>
    <row r="463" spans="1:9" ht="15" customHeight="1">
      <c r="A463" s="123">
        <v>46049</v>
      </c>
      <c r="B463" s="94"/>
      <c r="C463" s="125" t="s">
        <v>666</v>
      </c>
      <c r="D463" s="15" t="s">
        <v>143</v>
      </c>
      <c r="E463" s="17">
        <v>1</v>
      </c>
      <c r="F463" s="17">
        <v>50</v>
      </c>
      <c r="G463" s="124">
        <v>2</v>
      </c>
      <c r="H463" s="14"/>
      <c r="I463" s="15" t="s">
        <v>712</v>
      </c>
    </row>
    <row r="464" spans="1:9" ht="15" customHeight="1">
      <c r="A464" s="123">
        <v>46049</v>
      </c>
      <c r="B464" s="94"/>
      <c r="C464" s="125" t="s">
        <v>666</v>
      </c>
      <c r="D464" s="15" t="s">
        <v>144</v>
      </c>
      <c r="E464" s="17">
        <v>4</v>
      </c>
      <c r="F464" s="17">
        <v>1000</v>
      </c>
      <c r="G464" s="124">
        <v>8</v>
      </c>
      <c r="H464" s="14"/>
      <c r="I464" s="15" t="s">
        <v>672</v>
      </c>
    </row>
    <row r="465" spans="1:9" ht="15" customHeight="1">
      <c r="A465" s="123">
        <v>46049</v>
      </c>
      <c r="B465" s="94"/>
      <c r="C465" s="125" t="s">
        <v>666</v>
      </c>
      <c r="D465" s="15" t="s">
        <v>146</v>
      </c>
      <c r="E465" s="17">
        <v>5</v>
      </c>
      <c r="F465" s="17">
        <v>50</v>
      </c>
      <c r="G465" s="124">
        <v>0.25</v>
      </c>
      <c r="H465" s="14"/>
      <c r="I465" s="15" t="s">
        <v>693</v>
      </c>
    </row>
    <row r="466" spans="1:9" ht="15" customHeight="1">
      <c r="A466" s="123">
        <v>46049</v>
      </c>
      <c r="B466" s="94"/>
      <c r="C466" s="125" t="s">
        <v>666</v>
      </c>
      <c r="D466" s="15" t="s">
        <v>147</v>
      </c>
      <c r="E466" s="17">
        <v>5</v>
      </c>
      <c r="F466" s="17">
        <v>50</v>
      </c>
      <c r="G466" s="124">
        <v>0.25</v>
      </c>
      <c r="H466" s="14"/>
      <c r="I466" s="15" t="s">
        <v>693</v>
      </c>
    </row>
    <row r="467" spans="1:9" ht="15" customHeight="1">
      <c r="A467" s="123">
        <v>46049</v>
      </c>
      <c r="B467" s="94"/>
      <c r="C467" s="125" t="s">
        <v>666</v>
      </c>
      <c r="D467" s="15" t="s">
        <v>161</v>
      </c>
      <c r="E467" s="17">
        <v>2</v>
      </c>
      <c r="F467" s="17">
        <v>1000</v>
      </c>
      <c r="G467" s="124">
        <v>2</v>
      </c>
      <c r="H467" s="14"/>
      <c r="I467" s="15" t="s">
        <v>694</v>
      </c>
    </row>
    <row r="468" spans="1:9" ht="15" customHeight="1">
      <c r="A468" s="123">
        <v>46049</v>
      </c>
      <c r="B468" s="94"/>
      <c r="C468" s="125" t="s">
        <v>666</v>
      </c>
      <c r="D468" s="15" t="s">
        <v>169</v>
      </c>
      <c r="E468" s="17">
        <v>2</v>
      </c>
      <c r="F468" s="17">
        <v>1000</v>
      </c>
      <c r="G468" s="124">
        <v>2</v>
      </c>
      <c r="H468" s="14"/>
      <c r="I468" s="15" t="s">
        <v>706</v>
      </c>
    </row>
    <row r="469" spans="1:9" ht="15" customHeight="1">
      <c r="A469" s="123">
        <v>46049</v>
      </c>
      <c r="B469" s="94"/>
      <c r="C469" s="125" t="s">
        <v>666</v>
      </c>
      <c r="D469" s="15" t="s">
        <v>174</v>
      </c>
      <c r="E469" s="17">
        <v>4</v>
      </c>
      <c r="F469" s="17">
        <v>1000</v>
      </c>
      <c r="G469" s="124">
        <v>4</v>
      </c>
      <c r="H469" s="14"/>
      <c r="I469" s="15" t="s">
        <v>674</v>
      </c>
    </row>
    <row r="470" spans="1:9" ht="15" customHeight="1">
      <c r="A470" s="123">
        <v>46049</v>
      </c>
      <c r="B470" s="94"/>
      <c r="C470" s="125" t="s">
        <v>666</v>
      </c>
      <c r="D470" s="15" t="s">
        <v>181</v>
      </c>
      <c r="E470" s="17">
        <v>4</v>
      </c>
      <c r="F470" s="17">
        <v>1000</v>
      </c>
      <c r="G470" s="124">
        <v>4</v>
      </c>
      <c r="H470" s="14"/>
      <c r="I470" s="94" t="s">
        <v>705</v>
      </c>
    </row>
    <row r="471" spans="1:9" ht="15" customHeight="1">
      <c r="A471" s="123">
        <v>46049</v>
      </c>
      <c r="B471" s="94"/>
      <c r="C471" s="125" t="s">
        <v>666</v>
      </c>
      <c r="D471" s="15" t="s">
        <v>183</v>
      </c>
      <c r="E471" s="17">
        <v>15</v>
      </c>
      <c r="F471" s="17">
        <v>60</v>
      </c>
      <c r="G471" s="124">
        <v>27</v>
      </c>
      <c r="H471" s="14"/>
      <c r="I471" s="15" t="s">
        <v>676</v>
      </c>
    </row>
    <row r="472" spans="1:9" ht="15" customHeight="1">
      <c r="A472" s="123">
        <v>46049</v>
      </c>
      <c r="B472" s="94"/>
      <c r="C472" s="125" t="s">
        <v>666</v>
      </c>
      <c r="D472" s="15" t="s">
        <v>184</v>
      </c>
      <c r="E472" s="17">
        <v>4</v>
      </c>
      <c r="F472" s="17">
        <v>50</v>
      </c>
      <c r="G472" s="124">
        <v>4</v>
      </c>
      <c r="H472" s="14"/>
      <c r="I472" s="15" t="s">
        <v>677</v>
      </c>
    </row>
    <row r="473" spans="1:9" ht="15" customHeight="1">
      <c r="A473" s="123">
        <v>46049</v>
      </c>
      <c r="B473" s="94"/>
      <c r="C473" s="125" t="s">
        <v>666</v>
      </c>
      <c r="D473" s="15" t="s">
        <v>222</v>
      </c>
      <c r="E473" s="17">
        <v>1</v>
      </c>
      <c r="F473" s="17">
        <v>40</v>
      </c>
      <c r="G473" s="124">
        <v>0.8</v>
      </c>
      <c r="H473" s="14"/>
      <c r="I473" s="15" t="s">
        <v>679</v>
      </c>
    </row>
    <row r="474" spans="1:9" ht="15" customHeight="1">
      <c r="A474" s="123">
        <v>46049</v>
      </c>
      <c r="B474" s="94"/>
      <c r="C474" s="125" t="s">
        <v>666</v>
      </c>
      <c r="D474" s="15" t="s">
        <v>221</v>
      </c>
      <c r="E474" s="17">
        <v>1</v>
      </c>
      <c r="F474" s="17">
        <v>40</v>
      </c>
      <c r="G474" s="124">
        <v>0.8</v>
      </c>
      <c r="H474" s="14"/>
      <c r="I474" s="15" t="s">
        <v>680</v>
      </c>
    </row>
    <row r="475" spans="1:9" ht="15" customHeight="1">
      <c r="A475" s="123">
        <v>46049</v>
      </c>
      <c r="B475" s="94"/>
      <c r="C475" s="125" t="s">
        <v>666</v>
      </c>
      <c r="D475" s="15" t="s">
        <v>204</v>
      </c>
      <c r="E475" s="17">
        <v>25</v>
      </c>
      <c r="F475" s="17">
        <v>60</v>
      </c>
      <c r="G475" s="124">
        <v>45</v>
      </c>
      <c r="H475" s="14"/>
      <c r="I475" s="15" t="s">
        <v>681</v>
      </c>
    </row>
    <row r="476" spans="1:9" ht="15" customHeight="1">
      <c r="A476" s="123">
        <v>46049</v>
      </c>
      <c r="B476" s="94"/>
      <c r="C476" s="125" t="s">
        <v>666</v>
      </c>
      <c r="D476" s="15" t="s">
        <v>205</v>
      </c>
      <c r="E476" s="17">
        <v>23</v>
      </c>
      <c r="F476" s="17">
        <v>60</v>
      </c>
      <c r="G476" s="124">
        <v>41.4</v>
      </c>
      <c r="H476" s="14"/>
      <c r="I476" s="15" t="s">
        <v>682</v>
      </c>
    </row>
    <row r="477" spans="1:9" ht="15" customHeight="1">
      <c r="A477" s="123">
        <v>46049</v>
      </c>
      <c r="B477" s="94"/>
      <c r="C477" s="125" t="s">
        <v>666</v>
      </c>
      <c r="D477" s="15" t="s">
        <v>220</v>
      </c>
      <c r="E477" s="17">
        <v>5</v>
      </c>
      <c r="F477" s="17">
        <v>50</v>
      </c>
      <c r="G477" s="124">
        <v>0.25</v>
      </c>
      <c r="H477" s="14"/>
      <c r="I477" s="15" t="s">
        <v>693</v>
      </c>
    </row>
    <row r="478" spans="1:9" ht="15" customHeight="1">
      <c r="A478" s="123">
        <v>46049</v>
      </c>
      <c r="B478" s="15" t="s">
        <v>719</v>
      </c>
      <c r="C478" s="14" t="s">
        <v>657</v>
      </c>
      <c r="D478" s="15" t="s">
        <v>149</v>
      </c>
      <c r="E478" s="17">
        <v>20</v>
      </c>
      <c r="F478" s="17">
        <v>360</v>
      </c>
      <c r="G478" s="124">
        <v>7.2</v>
      </c>
      <c r="H478" s="14"/>
      <c r="I478" s="15" t="s">
        <v>720</v>
      </c>
    </row>
    <row r="479" spans="1:9" ht="15" customHeight="1">
      <c r="A479" s="123">
        <v>46049</v>
      </c>
      <c r="B479" s="15" t="s">
        <v>719</v>
      </c>
      <c r="C479" s="14" t="s">
        <v>657</v>
      </c>
      <c r="D479" s="15" t="s">
        <v>150</v>
      </c>
      <c r="E479" s="17">
        <v>20</v>
      </c>
      <c r="F479" s="17">
        <v>360</v>
      </c>
      <c r="G479" s="124">
        <v>7.2</v>
      </c>
      <c r="H479" s="14"/>
      <c r="I479" s="15" t="s">
        <v>721</v>
      </c>
    </row>
    <row r="480" spans="1:9" ht="15" customHeight="1">
      <c r="A480" s="123">
        <v>46049</v>
      </c>
      <c r="B480" s="15" t="s">
        <v>719</v>
      </c>
      <c r="C480" s="14" t="s">
        <v>657</v>
      </c>
      <c r="D480" s="15" t="s">
        <v>151</v>
      </c>
      <c r="E480" s="17">
        <v>16</v>
      </c>
      <c r="F480" s="17">
        <v>360</v>
      </c>
      <c r="G480" s="124">
        <v>5.76</v>
      </c>
      <c r="H480" s="14"/>
      <c r="I480" s="15" t="s">
        <v>722</v>
      </c>
    </row>
    <row r="481" spans="1:9" ht="15" customHeight="1">
      <c r="A481" s="123">
        <v>46049</v>
      </c>
      <c r="B481" s="15" t="s">
        <v>719</v>
      </c>
      <c r="C481" s="14" t="s">
        <v>657</v>
      </c>
      <c r="D481" s="15" t="s">
        <v>152</v>
      </c>
      <c r="E481" s="17">
        <v>34</v>
      </c>
      <c r="F481" s="17">
        <v>360</v>
      </c>
      <c r="G481" s="124">
        <v>12.24</v>
      </c>
      <c r="H481" s="14"/>
      <c r="I481" s="15" t="s">
        <v>723</v>
      </c>
    </row>
    <row r="482" spans="1:9" ht="15" customHeight="1">
      <c r="A482" s="123">
        <v>46049</v>
      </c>
      <c r="B482" s="15" t="s">
        <v>719</v>
      </c>
      <c r="C482" s="14" t="s">
        <v>657</v>
      </c>
      <c r="D482" s="15" t="s">
        <v>153</v>
      </c>
      <c r="E482" s="17">
        <v>30</v>
      </c>
      <c r="F482" s="17">
        <v>360</v>
      </c>
      <c r="G482" s="124">
        <v>10.8</v>
      </c>
      <c r="H482" s="14"/>
      <c r="I482" s="15" t="s">
        <v>724</v>
      </c>
    </row>
    <row r="483" spans="1:9" ht="15" customHeight="1">
      <c r="A483" s="123">
        <v>46049</v>
      </c>
      <c r="B483" s="15" t="s">
        <v>719</v>
      </c>
      <c r="C483" s="14" t="s">
        <v>657</v>
      </c>
      <c r="D483" s="15" t="s">
        <v>154</v>
      </c>
      <c r="E483" s="17">
        <v>24</v>
      </c>
      <c r="F483" s="17">
        <v>360</v>
      </c>
      <c r="G483" s="124">
        <v>8.64</v>
      </c>
      <c r="H483" s="14"/>
      <c r="I483" s="15" t="s">
        <v>725</v>
      </c>
    </row>
    <row r="484" spans="1:9" ht="15" customHeight="1">
      <c r="A484" s="123">
        <v>46049</v>
      </c>
      <c r="B484" s="15" t="s">
        <v>656</v>
      </c>
      <c r="C484" s="14" t="s">
        <v>657</v>
      </c>
      <c r="D484" s="15" t="s">
        <v>206</v>
      </c>
      <c r="E484" s="17">
        <v>1</v>
      </c>
      <c r="F484" s="17">
        <v>15000</v>
      </c>
      <c r="G484" s="124">
        <v>15</v>
      </c>
      <c r="H484" s="14"/>
      <c r="I484" s="15" t="s">
        <v>662</v>
      </c>
    </row>
    <row r="485" spans="1:9" ht="15" customHeight="1">
      <c r="A485" s="123">
        <v>46050</v>
      </c>
      <c r="B485" s="94"/>
      <c r="C485" s="125" t="s">
        <v>666</v>
      </c>
      <c r="D485" s="15" t="s">
        <v>142</v>
      </c>
      <c r="E485" s="17">
        <v>5</v>
      </c>
      <c r="F485" s="17">
        <v>50</v>
      </c>
      <c r="G485" s="124">
        <v>0.25</v>
      </c>
      <c r="H485" s="14"/>
      <c r="I485" s="15" t="s">
        <v>693</v>
      </c>
    </row>
    <row r="486" spans="1:9" ht="15" customHeight="1">
      <c r="A486" s="123">
        <v>46050</v>
      </c>
      <c r="B486" s="94"/>
      <c r="C486" s="125" t="s">
        <v>666</v>
      </c>
      <c r="D486" s="15" t="s">
        <v>143</v>
      </c>
      <c r="E486" s="17">
        <v>6</v>
      </c>
      <c r="F486" s="17">
        <v>50</v>
      </c>
      <c r="G486" s="124">
        <v>6</v>
      </c>
      <c r="H486" s="14"/>
      <c r="I486" s="15" t="s">
        <v>669</v>
      </c>
    </row>
    <row r="487" spans="1:9" ht="15" customHeight="1">
      <c r="A487" s="123">
        <v>46050</v>
      </c>
      <c r="B487" s="94"/>
      <c r="C487" s="125" t="s">
        <v>666</v>
      </c>
      <c r="D487" s="15" t="s">
        <v>143</v>
      </c>
      <c r="E487" s="17">
        <v>1</v>
      </c>
      <c r="F487" s="17">
        <v>50</v>
      </c>
      <c r="G487" s="124">
        <v>2</v>
      </c>
      <c r="H487" s="14"/>
      <c r="I487" s="15" t="s">
        <v>670</v>
      </c>
    </row>
    <row r="488" spans="1:9" ht="15" customHeight="1">
      <c r="A488" s="123">
        <v>46050</v>
      </c>
      <c r="B488" s="94"/>
      <c r="C488" s="125" t="s">
        <v>666</v>
      </c>
      <c r="D488" s="15" t="s">
        <v>143</v>
      </c>
      <c r="E488" s="17">
        <v>5</v>
      </c>
      <c r="F488" s="17">
        <v>50</v>
      </c>
      <c r="G488" s="124">
        <v>0.25</v>
      </c>
      <c r="H488" s="14"/>
      <c r="I488" s="15" t="s">
        <v>671</v>
      </c>
    </row>
    <row r="489" spans="1:9" ht="15" customHeight="1">
      <c r="A489" s="123">
        <v>46050</v>
      </c>
      <c r="B489" s="94"/>
      <c r="C489" s="125" t="s">
        <v>666</v>
      </c>
      <c r="D489" s="15" t="s">
        <v>144</v>
      </c>
      <c r="E489" s="17">
        <v>9</v>
      </c>
      <c r="F489" s="17">
        <v>1000</v>
      </c>
      <c r="G489" s="124">
        <v>18</v>
      </c>
      <c r="H489" s="14"/>
      <c r="I489" s="15" t="s">
        <v>672</v>
      </c>
    </row>
    <row r="490" spans="1:9" ht="15" customHeight="1">
      <c r="A490" s="123">
        <v>46050</v>
      </c>
      <c r="B490" s="94"/>
      <c r="C490" s="125" t="s">
        <v>666</v>
      </c>
      <c r="D490" s="15" t="s">
        <v>145</v>
      </c>
      <c r="E490" s="17">
        <v>5</v>
      </c>
      <c r="F490" s="17">
        <v>50</v>
      </c>
      <c r="G490" s="124">
        <v>0.25</v>
      </c>
      <c r="H490" s="14"/>
      <c r="I490" s="15" t="s">
        <v>671</v>
      </c>
    </row>
    <row r="491" spans="1:9" ht="15" customHeight="1">
      <c r="A491" s="123">
        <v>46050</v>
      </c>
      <c r="B491" s="94"/>
      <c r="C491" s="125" t="s">
        <v>666</v>
      </c>
      <c r="D491" s="15" t="s">
        <v>146</v>
      </c>
      <c r="E491" s="17">
        <v>5</v>
      </c>
      <c r="F491" s="17">
        <v>50</v>
      </c>
      <c r="G491" s="124">
        <v>0.25</v>
      </c>
      <c r="H491" s="14"/>
      <c r="I491" s="15" t="s">
        <v>693</v>
      </c>
    </row>
    <row r="492" spans="1:9" ht="15" customHeight="1">
      <c r="A492" s="123">
        <v>46050</v>
      </c>
      <c r="B492" s="94"/>
      <c r="C492" s="125" t="s">
        <v>666</v>
      </c>
      <c r="D492" s="15" t="s">
        <v>147</v>
      </c>
      <c r="E492" s="17">
        <v>5</v>
      </c>
      <c r="F492" s="17">
        <v>50</v>
      </c>
      <c r="G492" s="124">
        <v>0.25</v>
      </c>
      <c r="H492" s="14"/>
      <c r="I492" s="15" t="s">
        <v>693</v>
      </c>
    </row>
    <row r="493" spans="1:9" ht="15" customHeight="1">
      <c r="A493" s="123">
        <v>46050</v>
      </c>
      <c r="B493" s="94"/>
      <c r="C493" s="125" t="s">
        <v>666</v>
      </c>
      <c r="D493" s="15" t="s">
        <v>148</v>
      </c>
      <c r="E493" s="17">
        <v>4</v>
      </c>
      <c r="F493" s="17">
        <v>50</v>
      </c>
      <c r="G493" s="124">
        <v>0.2</v>
      </c>
      <c r="H493" s="14"/>
      <c r="I493" s="15" t="s">
        <v>671</v>
      </c>
    </row>
    <row r="494" spans="1:9" ht="15" customHeight="1">
      <c r="A494" s="123">
        <v>46050</v>
      </c>
      <c r="B494" s="94"/>
      <c r="C494" s="125" t="s">
        <v>666</v>
      </c>
      <c r="D494" s="15" t="s">
        <v>155</v>
      </c>
      <c r="E494" s="17">
        <v>1</v>
      </c>
      <c r="F494" s="17">
        <v>80</v>
      </c>
      <c r="G494" s="124">
        <v>1.6</v>
      </c>
      <c r="H494" s="14"/>
      <c r="I494" s="94" t="s">
        <v>673</v>
      </c>
    </row>
    <row r="495" spans="1:9" ht="15" customHeight="1">
      <c r="A495" s="123">
        <v>46050</v>
      </c>
      <c r="B495" s="94"/>
      <c r="C495" s="125" t="s">
        <v>666</v>
      </c>
      <c r="D495" s="15" t="s">
        <v>159</v>
      </c>
      <c r="E495" s="17">
        <v>4</v>
      </c>
      <c r="F495" s="17">
        <v>50</v>
      </c>
      <c r="G495" s="124">
        <v>0.2</v>
      </c>
      <c r="H495" s="14"/>
      <c r="I495" s="15" t="s">
        <v>671</v>
      </c>
    </row>
    <row r="496" spans="1:9" ht="15" customHeight="1">
      <c r="A496" s="123">
        <v>46050</v>
      </c>
      <c r="B496" s="94"/>
      <c r="C496" s="125" t="s">
        <v>666</v>
      </c>
      <c r="D496" s="15" t="s">
        <v>161</v>
      </c>
      <c r="E496" s="17">
        <v>2</v>
      </c>
      <c r="F496" s="17">
        <v>1000</v>
      </c>
      <c r="G496" s="124">
        <v>2</v>
      </c>
      <c r="H496" s="14"/>
      <c r="I496" s="15" t="s">
        <v>694</v>
      </c>
    </row>
    <row r="497" spans="1:9" ht="15" customHeight="1">
      <c r="A497" s="123">
        <v>46050</v>
      </c>
      <c r="B497" s="94"/>
      <c r="C497" s="125" t="s">
        <v>666</v>
      </c>
      <c r="D497" s="15" t="s">
        <v>169</v>
      </c>
      <c r="E497" s="17">
        <v>2</v>
      </c>
      <c r="F497" s="17">
        <v>1000</v>
      </c>
      <c r="G497" s="124">
        <v>2</v>
      </c>
      <c r="H497" s="14"/>
      <c r="I497" s="15" t="s">
        <v>706</v>
      </c>
    </row>
    <row r="498" spans="1:9" ht="15" customHeight="1">
      <c r="A498" s="123">
        <v>46050</v>
      </c>
      <c r="B498" s="94"/>
      <c r="C498" s="125" t="s">
        <v>666</v>
      </c>
      <c r="D498" s="15" t="s">
        <v>174</v>
      </c>
      <c r="E498" s="17">
        <v>2</v>
      </c>
      <c r="F498" s="17">
        <v>1000</v>
      </c>
      <c r="G498" s="124">
        <v>2</v>
      </c>
      <c r="H498" s="14"/>
      <c r="I498" s="15" t="s">
        <v>674</v>
      </c>
    </row>
    <row r="499" spans="1:9" ht="15" customHeight="1">
      <c r="A499" s="123">
        <v>46050</v>
      </c>
      <c r="B499" s="94"/>
      <c r="C499" s="125" t="s">
        <v>666</v>
      </c>
      <c r="D499" s="15" t="s">
        <v>174</v>
      </c>
      <c r="E499" s="17">
        <v>1</v>
      </c>
      <c r="F499" s="17">
        <v>1000</v>
      </c>
      <c r="G499" s="124">
        <v>1</v>
      </c>
      <c r="H499" s="14"/>
      <c r="I499" s="15" t="s">
        <v>729</v>
      </c>
    </row>
    <row r="500" spans="1:9" ht="15" customHeight="1">
      <c r="A500" s="123">
        <v>46050</v>
      </c>
      <c r="B500" s="94"/>
      <c r="C500" s="125" t="s">
        <v>666</v>
      </c>
      <c r="D500" s="15" t="s">
        <v>179</v>
      </c>
      <c r="E500" s="17">
        <v>1</v>
      </c>
      <c r="F500" s="17">
        <v>40</v>
      </c>
      <c r="G500" s="124">
        <v>0.8</v>
      </c>
      <c r="H500" s="14"/>
      <c r="I500" s="15" t="s">
        <v>675</v>
      </c>
    </row>
    <row r="501" spans="1:9" ht="15" customHeight="1">
      <c r="A501" s="123">
        <v>46050</v>
      </c>
      <c r="B501" s="94"/>
      <c r="C501" s="125" t="s">
        <v>666</v>
      </c>
      <c r="D501" s="15" t="s">
        <v>183</v>
      </c>
      <c r="E501" s="17">
        <v>7</v>
      </c>
      <c r="F501" s="17">
        <v>60</v>
      </c>
      <c r="G501" s="124">
        <v>12.6</v>
      </c>
      <c r="H501" s="14"/>
      <c r="I501" s="15" t="s">
        <v>676</v>
      </c>
    </row>
    <row r="502" spans="1:9" ht="15" customHeight="1">
      <c r="A502" s="123">
        <v>46050</v>
      </c>
      <c r="B502" s="94"/>
      <c r="C502" s="125" t="s">
        <v>666</v>
      </c>
      <c r="D502" s="15" t="s">
        <v>184</v>
      </c>
      <c r="E502" s="17">
        <v>2</v>
      </c>
      <c r="F502" s="17">
        <v>50</v>
      </c>
      <c r="G502" s="124">
        <v>2</v>
      </c>
      <c r="H502" s="14"/>
      <c r="I502" s="15" t="s">
        <v>677</v>
      </c>
    </row>
    <row r="503" spans="1:9" ht="15" customHeight="1">
      <c r="A503" s="123">
        <v>46050</v>
      </c>
      <c r="B503" s="94"/>
      <c r="C503" s="125" t="s">
        <v>666</v>
      </c>
      <c r="D503" s="15" t="s">
        <v>184</v>
      </c>
      <c r="E503" s="17">
        <v>5</v>
      </c>
      <c r="F503" s="17">
        <v>50</v>
      </c>
      <c r="G503" s="124">
        <v>0.25</v>
      </c>
      <c r="H503" s="14"/>
      <c r="I503" s="15" t="s">
        <v>671</v>
      </c>
    </row>
    <row r="504" spans="1:9" ht="15" customHeight="1">
      <c r="A504" s="123">
        <v>46050</v>
      </c>
      <c r="B504" s="94"/>
      <c r="C504" s="125" t="s">
        <v>666</v>
      </c>
      <c r="D504" s="15" t="s">
        <v>186</v>
      </c>
      <c r="E504" s="17">
        <v>4</v>
      </c>
      <c r="F504" s="17">
        <v>50</v>
      </c>
      <c r="G504" s="124">
        <v>0.2</v>
      </c>
      <c r="H504" s="14"/>
      <c r="I504" s="15" t="s">
        <v>671</v>
      </c>
    </row>
    <row r="505" spans="1:9" ht="15" customHeight="1">
      <c r="A505" s="123">
        <v>46050</v>
      </c>
      <c r="B505" s="94"/>
      <c r="C505" s="125" t="s">
        <v>666</v>
      </c>
      <c r="D505" s="15" t="s">
        <v>192</v>
      </c>
      <c r="E505" s="17">
        <v>5</v>
      </c>
      <c r="F505" s="17">
        <v>50</v>
      </c>
      <c r="G505" s="124">
        <v>0.25</v>
      </c>
      <c r="H505" s="14"/>
      <c r="I505" s="15" t="s">
        <v>671</v>
      </c>
    </row>
    <row r="506" spans="1:9" ht="15" customHeight="1">
      <c r="A506" s="123">
        <v>46050</v>
      </c>
      <c r="B506" s="94"/>
      <c r="C506" s="125" t="s">
        <v>666</v>
      </c>
      <c r="D506" s="15" t="s">
        <v>195</v>
      </c>
      <c r="E506" s="17">
        <v>4</v>
      </c>
      <c r="F506" s="17">
        <v>50</v>
      </c>
      <c r="G506" s="124">
        <v>0.2</v>
      </c>
      <c r="H506" s="14"/>
      <c r="I506" s="15" t="s">
        <v>671</v>
      </c>
    </row>
    <row r="507" spans="1:9" ht="15" customHeight="1">
      <c r="A507" s="123">
        <v>46050</v>
      </c>
      <c r="B507" s="94"/>
      <c r="C507" s="125" t="s">
        <v>666</v>
      </c>
      <c r="D507" s="15" t="s">
        <v>222</v>
      </c>
      <c r="E507" s="17">
        <v>3</v>
      </c>
      <c r="F507" s="17">
        <v>40</v>
      </c>
      <c r="G507" s="124">
        <v>2.4</v>
      </c>
      <c r="H507" s="14"/>
      <c r="I507" s="15" t="s">
        <v>679</v>
      </c>
    </row>
    <row r="508" spans="1:9" ht="15" customHeight="1">
      <c r="A508" s="123">
        <v>46050</v>
      </c>
      <c r="B508" s="94"/>
      <c r="C508" s="125" t="s">
        <v>666</v>
      </c>
      <c r="D508" s="15" t="s">
        <v>221</v>
      </c>
      <c r="E508" s="17">
        <v>1</v>
      </c>
      <c r="F508" s="17">
        <v>40</v>
      </c>
      <c r="G508" s="124">
        <v>0.8</v>
      </c>
      <c r="H508" s="14"/>
      <c r="I508" s="15" t="s">
        <v>680</v>
      </c>
    </row>
    <row r="509" spans="1:9" ht="15" customHeight="1">
      <c r="A509" s="123">
        <v>46050</v>
      </c>
      <c r="B509" s="94"/>
      <c r="C509" s="125" t="s">
        <v>666</v>
      </c>
      <c r="D509" s="15" t="s">
        <v>204</v>
      </c>
      <c r="E509" s="17">
        <v>1</v>
      </c>
      <c r="F509" s="17">
        <v>60</v>
      </c>
      <c r="G509" s="124">
        <v>0.9</v>
      </c>
      <c r="H509" s="14"/>
      <c r="I509" s="15" t="s">
        <v>729</v>
      </c>
    </row>
    <row r="510" spans="1:9" ht="15" customHeight="1">
      <c r="A510" s="123">
        <v>46050</v>
      </c>
      <c r="B510" s="94"/>
      <c r="C510" s="125" t="s">
        <v>666</v>
      </c>
      <c r="D510" s="15" t="s">
        <v>204</v>
      </c>
      <c r="E510" s="17">
        <v>36</v>
      </c>
      <c r="F510" s="17">
        <v>60</v>
      </c>
      <c r="G510" s="124">
        <v>64.8</v>
      </c>
      <c r="H510" s="14"/>
      <c r="I510" s="15" t="s">
        <v>681</v>
      </c>
    </row>
    <row r="511" spans="1:9" ht="15" customHeight="1">
      <c r="A511" s="123">
        <v>46050</v>
      </c>
      <c r="B511" s="94"/>
      <c r="C511" s="125" t="s">
        <v>666</v>
      </c>
      <c r="D511" s="15" t="s">
        <v>205</v>
      </c>
      <c r="E511" s="17">
        <v>1</v>
      </c>
      <c r="F511" s="17">
        <v>60</v>
      </c>
      <c r="G511" s="124">
        <v>0.9</v>
      </c>
      <c r="H511" s="14"/>
      <c r="I511" s="15" t="s">
        <v>729</v>
      </c>
    </row>
    <row r="512" spans="1:9" ht="15" customHeight="1">
      <c r="A512" s="123">
        <v>46050</v>
      </c>
      <c r="B512" s="94"/>
      <c r="C512" s="125" t="s">
        <v>666</v>
      </c>
      <c r="D512" s="15" t="s">
        <v>205</v>
      </c>
      <c r="E512" s="17">
        <v>27</v>
      </c>
      <c r="F512" s="17">
        <v>60</v>
      </c>
      <c r="G512" s="124">
        <v>48.6</v>
      </c>
      <c r="H512" s="14"/>
      <c r="I512" s="15" t="s">
        <v>682</v>
      </c>
    </row>
    <row r="513" spans="1:9" ht="15" customHeight="1">
      <c r="A513" s="123">
        <v>46050</v>
      </c>
      <c r="B513" s="94"/>
      <c r="C513" s="125" t="s">
        <v>666</v>
      </c>
      <c r="D513" s="15" t="s">
        <v>206</v>
      </c>
      <c r="E513" s="17">
        <v>1</v>
      </c>
      <c r="F513" s="17">
        <v>30</v>
      </c>
      <c r="G513" s="124">
        <v>1.8</v>
      </c>
      <c r="H513" s="14"/>
      <c r="I513" s="15" t="s">
        <v>683</v>
      </c>
    </row>
    <row r="514" spans="1:9" ht="15" customHeight="1">
      <c r="A514" s="123">
        <v>46050</v>
      </c>
      <c r="B514" s="94"/>
      <c r="C514" s="125" t="s">
        <v>666</v>
      </c>
      <c r="D514" s="15" t="s">
        <v>219</v>
      </c>
      <c r="E514" s="17">
        <v>4</v>
      </c>
      <c r="F514" s="17">
        <v>50</v>
      </c>
      <c r="G514" s="124">
        <v>0.2</v>
      </c>
      <c r="H514" s="14"/>
      <c r="I514" s="15" t="s">
        <v>671</v>
      </c>
    </row>
    <row r="515" spans="1:9" ht="15" customHeight="1">
      <c r="A515" s="123">
        <v>46050</v>
      </c>
      <c r="B515" s="94"/>
      <c r="C515" s="125" t="s">
        <v>666</v>
      </c>
      <c r="D515" s="15" t="s">
        <v>220</v>
      </c>
      <c r="E515" s="17">
        <v>5</v>
      </c>
      <c r="F515" s="17">
        <v>50</v>
      </c>
      <c r="G515" s="124">
        <v>0.25</v>
      </c>
      <c r="H515" s="14"/>
      <c r="I515" s="15" t="s">
        <v>693</v>
      </c>
    </row>
    <row r="516" spans="1:9" ht="15" customHeight="1">
      <c r="A516" s="123">
        <v>46050</v>
      </c>
      <c r="B516" s="15" t="s">
        <v>719</v>
      </c>
      <c r="C516" s="14" t="s">
        <v>657</v>
      </c>
      <c r="D516" s="15" t="s">
        <v>149</v>
      </c>
      <c r="E516" s="17">
        <v>7</v>
      </c>
      <c r="F516" s="17">
        <v>360</v>
      </c>
      <c r="G516" s="124">
        <v>2.52</v>
      </c>
      <c r="H516" s="14"/>
      <c r="I516" s="15" t="s">
        <v>720</v>
      </c>
    </row>
    <row r="517" spans="1:9" ht="15" customHeight="1">
      <c r="A517" s="123">
        <v>46050</v>
      </c>
      <c r="B517" s="15" t="s">
        <v>719</v>
      </c>
      <c r="C517" s="14" t="s">
        <v>657</v>
      </c>
      <c r="D517" s="15" t="s">
        <v>150</v>
      </c>
      <c r="E517" s="17">
        <v>8</v>
      </c>
      <c r="F517" s="17">
        <v>360</v>
      </c>
      <c r="G517" s="124">
        <v>2.88</v>
      </c>
      <c r="H517" s="14"/>
      <c r="I517" s="15" t="s">
        <v>721</v>
      </c>
    </row>
    <row r="518" spans="1:9" ht="15" customHeight="1">
      <c r="A518" s="123">
        <v>46050</v>
      </c>
      <c r="B518" s="15" t="s">
        <v>719</v>
      </c>
      <c r="C518" s="14" t="s">
        <v>657</v>
      </c>
      <c r="D518" s="15" t="s">
        <v>151</v>
      </c>
      <c r="E518" s="17">
        <v>7</v>
      </c>
      <c r="F518" s="17">
        <v>360</v>
      </c>
      <c r="G518" s="124">
        <v>2.52</v>
      </c>
      <c r="H518" s="14"/>
      <c r="I518" s="15" t="s">
        <v>722</v>
      </c>
    </row>
    <row r="519" spans="1:9" ht="15" customHeight="1">
      <c r="A519" s="123">
        <v>46050</v>
      </c>
      <c r="B519" s="15" t="s">
        <v>719</v>
      </c>
      <c r="C519" s="14" t="s">
        <v>657</v>
      </c>
      <c r="D519" s="15" t="s">
        <v>153</v>
      </c>
      <c r="E519" s="17">
        <v>18</v>
      </c>
      <c r="F519" s="17">
        <v>360</v>
      </c>
      <c r="G519" s="124">
        <v>6.48</v>
      </c>
      <c r="H519" s="14"/>
      <c r="I519" s="15" t="s">
        <v>724</v>
      </c>
    </row>
    <row r="520" spans="1:9" ht="15" customHeight="1">
      <c r="A520" s="123">
        <v>46050</v>
      </c>
      <c r="B520" s="15" t="s">
        <v>719</v>
      </c>
      <c r="C520" s="14" t="s">
        <v>657</v>
      </c>
      <c r="D520" s="15" t="s">
        <v>154</v>
      </c>
      <c r="E520" s="17">
        <v>2</v>
      </c>
      <c r="F520" s="17">
        <v>360</v>
      </c>
      <c r="G520" s="124">
        <v>0.72</v>
      </c>
      <c r="H520" s="14"/>
      <c r="I520" s="15" t="s">
        <v>725</v>
      </c>
    </row>
    <row r="521" spans="1:9" ht="15" customHeight="1">
      <c r="A521" s="123">
        <v>46050</v>
      </c>
      <c r="B521" s="15" t="s">
        <v>730</v>
      </c>
      <c r="C521" s="14" t="s">
        <v>657</v>
      </c>
      <c r="D521" s="15" t="s">
        <v>149</v>
      </c>
      <c r="E521" s="17">
        <v>39</v>
      </c>
      <c r="F521" s="17">
        <v>360</v>
      </c>
      <c r="G521" s="124">
        <v>14.04</v>
      </c>
      <c r="H521" s="14"/>
      <c r="I521" s="15" t="s">
        <v>731</v>
      </c>
    </row>
    <row r="522" spans="1:9" ht="15" customHeight="1">
      <c r="A522" s="123">
        <v>46050</v>
      </c>
      <c r="B522" s="15" t="s">
        <v>730</v>
      </c>
      <c r="C522" s="14" t="s">
        <v>657</v>
      </c>
      <c r="D522" s="15" t="s">
        <v>150</v>
      </c>
      <c r="E522" s="17">
        <v>57</v>
      </c>
      <c r="F522" s="17">
        <v>360</v>
      </c>
      <c r="G522" s="124">
        <v>20.52</v>
      </c>
      <c r="H522" s="14"/>
      <c r="I522" s="15" t="s">
        <v>732</v>
      </c>
    </row>
    <row r="523" spans="1:9" ht="15" customHeight="1">
      <c r="A523" s="123">
        <v>46050</v>
      </c>
      <c r="B523" s="15" t="s">
        <v>730</v>
      </c>
      <c r="C523" s="14" t="s">
        <v>657</v>
      </c>
      <c r="D523" s="15" t="s">
        <v>151</v>
      </c>
      <c r="E523" s="17">
        <v>37</v>
      </c>
      <c r="F523" s="17">
        <v>360</v>
      </c>
      <c r="G523" s="124">
        <v>13.32</v>
      </c>
      <c r="H523" s="14"/>
      <c r="I523" s="15" t="s">
        <v>733</v>
      </c>
    </row>
    <row r="524" spans="1:9" ht="15" customHeight="1">
      <c r="A524" s="123">
        <v>46050</v>
      </c>
      <c r="B524" s="15" t="s">
        <v>730</v>
      </c>
      <c r="C524" s="14" t="s">
        <v>657</v>
      </c>
      <c r="D524" s="15" t="s">
        <v>152</v>
      </c>
      <c r="E524" s="17">
        <v>41</v>
      </c>
      <c r="F524" s="17">
        <v>360</v>
      </c>
      <c r="G524" s="124">
        <v>14.76</v>
      </c>
      <c r="H524" s="14"/>
      <c r="I524" s="15" t="s">
        <v>734</v>
      </c>
    </row>
    <row r="525" spans="1:9" ht="15" customHeight="1">
      <c r="A525" s="123">
        <v>46050</v>
      </c>
      <c r="B525" s="15" t="s">
        <v>730</v>
      </c>
      <c r="C525" s="14" t="s">
        <v>657</v>
      </c>
      <c r="D525" s="15" t="s">
        <v>153</v>
      </c>
      <c r="E525" s="17">
        <v>35</v>
      </c>
      <c r="F525" s="17">
        <v>360</v>
      </c>
      <c r="G525" s="124">
        <v>12.6</v>
      </c>
      <c r="H525" s="14"/>
      <c r="I525" s="15" t="s">
        <v>735</v>
      </c>
    </row>
    <row r="526" spans="1:9" ht="15" customHeight="1">
      <c r="A526" s="123">
        <v>46050</v>
      </c>
      <c r="B526" s="15" t="s">
        <v>730</v>
      </c>
      <c r="C526" s="14" t="s">
        <v>657</v>
      </c>
      <c r="D526" s="15" t="s">
        <v>154</v>
      </c>
      <c r="E526" s="17">
        <v>38</v>
      </c>
      <c r="F526" s="17">
        <v>360</v>
      </c>
      <c r="G526" s="124">
        <v>13.68</v>
      </c>
      <c r="H526" s="14"/>
      <c r="I526" s="15" t="s">
        <v>736</v>
      </c>
    </row>
    <row r="527" spans="1:9" ht="15" customHeight="1">
      <c r="A527" s="123">
        <v>46051</v>
      </c>
      <c r="B527" s="94"/>
      <c r="C527" s="125" t="s">
        <v>666</v>
      </c>
      <c r="D527" s="94" t="s">
        <v>141</v>
      </c>
      <c r="E527" s="17">
        <v>1</v>
      </c>
      <c r="F527" s="17">
        <v>60</v>
      </c>
      <c r="G527" s="124">
        <v>1.2</v>
      </c>
      <c r="H527" s="14"/>
      <c r="I527" s="94" t="s">
        <v>692</v>
      </c>
    </row>
    <row r="528" spans="1:9" ht="15" customHeight="1">
      <c r="A528" s="123">
        <v>46051</v>
      </c>
      <c r="B528" s="94"/>
      <c r="C528" s="125" t="s">
        <v>666</v>
      </c>
      <c r="D528" s="15" t="s">
        <v>142</v>
      </c>
      <c r="E528" s="17">
        <v>2</v>
      </c>
      <c r="F528" s="17">
        <v>50</v>
      </c>
      <c r="G528" s="124">
        <v>2</v>
      </c>
      <c r="H528" s="14"/>
      <c r="I528" s="15" t="s">
        <v>667</v>
      </c>
    </row>
    <row r="529" spans="1:9" ht="15" customHeight="1">
      <c r="A529" s="123">
        <v>46051</v>
      </c>
      <c r="B529" s="94"/>
      <c r="C529" s="125" t="s">
        <v>666</v>
      </c>
      <c r="D529" s="15" t="s">
        <v>143</v>
      </c>
      <c r="E529" s="17">
        <v>10</v>
      </c>
      <c r="F529" s="17">
        <v>50</v>
      </c>
      <c r="G529" s="124">
        <v>10</v>
      </c>
      <c r="H529" s="14"/>
      <c r="I529" s="15" t="s">
        <v>669</v>
      </c>
    </row>
    <row r="530" spans="1:9" ht="15" customHeight="1">
      <c r="A530" s="123">
        <v>46051</v>
      </c>
      <c r="B530" s="94"/>
      <c r="C530" s="125" t="s">
        <v>666</v>
      </c>
      <c r="D530" s="15" t="s">
        <v>143</v>
      </c>
      <c r="E530" s="17">
        <v>2</v>
      </c>
      <c r="F530" s="17">
        <v>50</v>
      </c>
      <c r="G530" s="124">
        <v>4</v>
      </c>
      <c r="H530" s="14"/>
      <c r="I530" s="15" t="s">
        <v>670</v>
      </c>
    </row>
    <row r="531" spans="1:9" ht="15" customHeight="1">
      <c r="A531" s="123">
        <v>46051</v>
      </c>
      <c r="B531" s="94"/>
      <c r="C531" s="125" t="s">
        <v>666</v>
      </c>
      <c r="D531" s="15" t="s">
        <v>143</v>
      </c>
      <c r="E531" s="17">
        <v>3</v>
      </c>
      <c r="F531" s="17">
        <v>50</v>
      </c>
      <c r="G531" s="124">
        <v>0.15</v>
      </c>
      <c r="H531" s="14"/>
      <c r="I531" s="15" t="s">
        <v>700</v>
      </c>
    </row>
    <row r="532" spans="1:9" ht="15" customHeight="1">
      <c r="A532" s="123">
        <v>46051</v>
      </c>
      <c r="B532" s="94"/>
      <c r="C532" s="125" t="s">
        <v>666</v>
      </c>
      <c r="D532" s="15" t="s">
        <v>144</v>
      </c>
      <c r="E532" s="17">
        <v>7</v>
      </c>
      <c r="F532" s="17">
        <v>1000</v>
      </c>
      <c r="G532" s="124">
        <v>14</v>
      </c>
      <c r="H532" s="14"/>
      <c r="I532" s="15" t="s">
        <v>672</v>
      </c>
    </row>
    <row r="533" spans="1:9" ht="15" customHeight="1">
      <c r="A533" s="123">
        <v>46051</v>
      </c>
      <c r="B533" s="94"/>
      <c r="C533" s="125" t="s">
        <v>666</v>
      </c>
      <c r="D533" s="15" t="s">
        <v>145</v>
      </c>
      <c r="E533" s="17">
        <v>2</v>
      </c>
      <c r="F533" s="17">
        <v>50</v>
      </c>
      <c r="G533" s="124">
        <v>0.1</v>
      </c>
      <c r="H533" s="14"/>
      <c r="I533" s="15" t="s">
        <v>700</v>
      </c>
    </row>
    <row r="534" spans="1:9" ht="15" customHeight="1">
      <c r="A534" s="123">
        <v>46051</v>
      </c>
      <c r="B534" s="94"/>
      <c r="C534" s="125" t="s">
        <v>666</v>
      </c>
      <c r="D534" s="15" t="s">
        <v>148</v>
      </c>
      <c r="E534" s="17">
        <v>2</v>
      </c>
      <c r="F534" s="17">
        <v>50</v>
      </c>
      <c r="G534" s="124">
        <v>0.1</v>
      </c>
      <c r="H534" s="14"/>
      <c r="I534" s="15" t="s">
        <v>700</v>
      </c>
    </row>
    <row r="535" spans="1:9" ht="15" customHeight="1">
      <c r="A535" s="123">
        <v>46051</v>
      </c>
      <c r="B535" s="94"/>
      <c r="C535" s="125" t="s">
        <v>666</v>
      </c>
      <c r="D535" s="15" t="s">
        <v>155</v>
      </c>
      <c r="E535" s="17">
        <v>5</v>
      </c>
      <c r="F535" s="17">
        <v>80</v>
      </c>
      <c r="G535" s="124">
        <v>8</v>
      </c>
      <c r="H535" s="14"/>
      <c r="I535" s="94" t="s">
        <v>673</v>
      </c>
    </row>
    <row r="536" spans="1:9" ht="15" customHeight="1">
      <c r="A536" s="123">
        <v>46051</v>
      </c>
      <c r="B536" s="94"/>
      <c r="C536" s="125" t="s">
        <v>666</v>
      </c>
      <c r="D536" s="15" t="s">
        <v>159</v>
      </c>
      <c r="E536" s="17">
        <v>2</v>
      </c>
      <c r="F536" s="17">
        <v>50</v>
      </c>
      <c r="G536" s="124">
        <v>0.1</v>
      </c>
      <c r="H536" s="14"/>
      <c r="I536" s="15" t="s">
        <v>700</v>
      </c>
    </row>
    <row r="537" spans="1:9" ht="15" customHeight="1">
      <c r="A537" s="123">
        <v>46051</v>
      </c>
      <c r="B537" s="94"/>
      <c r="C537" s="125" t="s">
        <v>666</v>
      </c>
      <c r="D537" s="15" t="s">
        <v>169</v>
      </c>
      <c r="E537" s="17">
        <v>2</v>
      </c>
      <c r="F537" s="17">
        <v>1000</v>
      </c>
      <c r="G537" s="124">
        <v>2</v>
      </c>
      <c r="H537" s="14"/>
      <c r="I537" s="15" t="s">
        <v>706</v>
      </c>
    </row>
    <row r="538" spans="1:9" ht="15" customHeight="1">
      <c r="A538" s="123">
        <v>46051</v>
      </c>
      <c r="B538" s="94"/>
      <c r="C538" s="125" t="s">
        <v>666</v>
      </c>
      <c r="D538" s="15" t="s">
        <v>173</v>
      </c>
      <c r="E538" s="17">
        <v>2</v>
      </c>
      <c r="F538" s="17">
        <v>50</v>
      </c>
      <c r="G538" s="124">
        <v>1</v>
      </c>
      <c r="H538" s="14"/>
      <c r="I538" s="15" t="s">
        <v>715</v>
      </c>
    </row>
    <row r="539" spans="1:9" ht="15" customHeight="1">
      <c r="A539" s="123">
        <v>46051</v>
      </c>
      <c r="B539" s="94"/>
      <c r="C539" s="125" t="s">
        <v>666</v>
      </c>
      <c r="D539" s="15" t="s">
        <v>174</v>
      </c>
      <c r="E539" s="17">
        <v>4</v>
      </c>
      <c r="F539" s="17">
        <v>1000</v>
      </c>
      <c r="G539" s="124">
        <v>4</v>
      </c>
      <c r="H539" s="14"/>
      <c r="I539" s="15" t="s">
        <v>674</v>
      </c>
    </row>
    <row r="540" spans="1:9" ht="15" customHeight="1">
      <c r="A540" s="123">
        <v>46051</v>
      </c>
      <c r="B540" s="94"/>
      <c r="C540" s="125" t="s">
        <v>666</v>
      </c>
      <c r="D540" s="15" t="s">
        <v>179</v>
      </c>
      <c r="E540" s="17">
        <v>1</v>
      </c>
      <c r="F540" s="17">
        <v>40</v>
      </c>
      <c r="G540" s="124">
        <v>0.8</v>
      </c>
      <c r="H540" s="14"/>
      <c r="I540" s="15" t="s">
        <v>675</v>
      </c>
    </row>
    <row r="541" spans="1:9" ht="15" customHeight="1">
      <c r="A541" s="123">
        <v>46051</v>
      </c>
      <c r="B541" s="94"/>
      <c r="C541" s="125" t="s">
        <v>666</v>
      </c>
      <c r="D541" s="15" t="s">
        <v>181</v>
      </c>
      <c r="E541" s="17">
        <v>8</v>
      </c>
      <c r="F541" s="17">
        <v>1000</v>
      </c>
      <c r="G541" s="124">
        <v>8</v>
      </c>
      <c r="H541" s="14"/>
      <c r="I541" s="94" t="s">
        <v>705</v>
      </c>
    </row>
    <row r="542" spans="1:9" ht="15" customHeight="1">
      <c r="A542" s="123">
        <v>46051</v>
      </c>
      <c r="B542" s="94"/>
      <c r="C542" s="125" t="s">
        <v>666</v>
      </c>
      <c r="D542" s="15" t="s">
        <v>183</v>
      </c>
      <c r="E542" s="17">
        <v>4</v>
      </c>
      <c r="F542" s="17">
        <v>60</v>
      </c>
      <c r="G542" s="124">
        <v>7.2</v>
      </c>
      <c r="H542" s="14"/>
      <c r="I542" s="15" t="s">
        <v>676</v>
      </c>
    </row>
    <row r="543" spans="1:9" ht="15" customHeight="1">
      <c r="A543" s="123">
        <v>46051</v>
      </c>
      <c r="B543" s="94"/>
      <c r="C543" s="125" t="s">
        <v>666</v>
      </c>
      <c r="D543" s="15" t="s">
        <v>184</v>
      </c>
      <c r="E543" s="17">
        <v>3</v>
      </c>
      <c r="F543" s="17">
        <v>50</v>
      </c>
      <c r="G543" s="124">
        <v>0.15</v>
      </c>
      <c r="H543" s="14"/>
      <c r="I543" s="15" t="s">
        <v>700</v>
      </c>
    </row>
    <row r="544" spans="1:9" ht="15" customHeight="1">
      <c r="A544" s="123">
        <v>46051</v>
      </c>
      <c r="B544" s="94"/>
      <c r="C544" s="125" t="s">
        <v>666</v>
      </c>
      <c r="D544" s="15" t="s">
        <v>186</v>
      </c>
      <c r="E544" s="17">
        <v>2</v>
      </c>
      <c r="F544" s="17">
        <v>50</v>
      </c>
      <c r="G544" s="124">
        <v>0.1</v>
      </c>
      <c r="H544" s="14"/>
      <c r="I544" s="15" t="s">
        <v>700</v>
      </c>
    </row>
    <row r="545" spans="1:9" ht="15" customHeight="1">
      <c r="A545" s="123">
        <v>46051</v>
      </c>
      <c r="B545" s="94"/>
      <c r="C545" s="125" t="s">
        <v>666</v>
      </c>
      <c r="D545" s="15" t="s">
        <v>192</v>
      </c>
      <c r="E545" s="17">
        <v>2</v>
      </c>
      <c r="F545" s="17">
        <v>50</v>
      </c>
      <c r="G545" s="124">
        <v>0.1</v>
      </c>
      <c r="H545" s="14"/>
      <c r="I545" s="15" t="s">
        <v>700</v>
      </c>
    </row>
    <row r="546" spans="1:9" ht="15" customHeight="1">
      <c r="A546" s="123">
        <v>46051</v>
      </c>
      <c r="B546" s="94"/>
      <c r="C546" s="125" t="s">
        <v>666</v>
      </c>
      <c r="D546" s="15" t="s">
        <v>195</v>
      </c>
      <c r="E546" s="17">
        <v>2</v>
      </c>
      <c r="F546" s="17">
        <v>50</v>
      </c>
      <c r="G546" s="124">
        <v>0.1</v>
      </c>
      <c r="H546" s="14"/>
      <c r="I546" s="15" t="s">
        <v>700</v>
      </c>
    </row>
    <row r="547" spans="1:9" ht="15" customHeight="1">
      <c r="A547" s="123">
        <v>46051</v>
      </c>
      <c r="B547" s="94"/>
      <c r="C547" s="125" t="s">
        <v>666</v>
      </c>
      <c r="D547" s="15" t="s">
        <v>222</v>
      </c>
      <c r="E547" s="17">
        <v>4</v>
      </c>
      <c r="F547" s="17">
        <v>40</v>
      </c>
      <c r="G547" s="124">
        <v>3.2</v>
      </c>
      <c r="H547" s="14"/>
      <c r="I547" s="15" t="s">
        <v>679</v>
      </c>
    </row>
    <row r="548" spans="1:9" ht="15" customHeight="1">
      <c r="A548" s="123">
        <v>46051</v>
      </c>
      <c r="B548" s="94"/>
      <c r="C548" s="125" t="s">
        <v>666</v>
      </c>
      <c r="D548" s="15" t="s">
        <v>204</v>
      </c>
      <c r="E548" s="17">
        <v>18</v>
      </c>
      <c r="F548" s="17">
        <v>60</v>
      </c>
      <c r="G548" s="124">
        <v>32.4</v>
      </c>
      <c r="H548" s="14"/>
      <c r="I548" s="15" t="s">
        <v>681</v>
      </c>
    </row>
    <row r="549" spans="1:9" ht="15" customHeight="1">
      <c r="A549" s="123">
        <v>46051</v>
      </c>
      <c r="B549" s="94"/>
      <c r="C549" s="125" t="s">
        <v>666</v>
      </c>
      <c r="D549" s="15" t="s">
        <v>205</v>
      </c>
      <c r="E549" s="17">
        <v>6</v>
      </c>
      <c r="F549" s="17">
        <v>60</v>
      </c>
      <c r="G549" s="124">
        <v>10.8</v>
      </c>
      <c r="H549" s="14"/>
      <c r="I549" s="15" t="s">
        <v>682</v>
      </c>
    </row>
    <row r="550" spans="1:9" ht="15" customHeight="1">
      <c r="A550" s="123">
        <v>46051</v>
      </c>
      <c r="B550" s="94"/>
      <c r="C550" s="125" t="s">
        <v>666</v>
      </c>
      <c r="D550" s="15" t="s">
        <v>206</v>
      </c>
      <c r="E550" s="17">
        <v>1</v>
      </c>
      <c r="F550" s="17">
        <v>30</v>
      </c>
      <c r="G550" s="124">
        <v>1.8</v>
      </c>
      <c r="H550" s="14"/>
      <c r="I550" s="15" t="s">
        <v>683</v>
      </c>
    </row>
    <row r="551" spans="1:9" ht="15" customHeight="1">
      <c r="A551" s="123">
        <v>46051</v>
      </c>
      <c r="B551" s="94"/>
      <c r="C551" s="125" t="s">
        <v>666</v>
      </c>
      <c r="D551" s="15" t="s">
        <v>207</v>
      </c>
      <c r="E551" s="17">
        <v>3</v>
      </c>
      <c r="F551" s="17">
        <v>1000</v>
      </c>
      <c r="G551" s="124">
        <v>6</v>
      </c>
      <c r="H551" s="14"/>
      <c r="I551" s="15" t="s">
        <v>697</v>
      </c>
    </row>
    <row r="552" spans="1:9" ht="15" customHeight="1">
      <c r="A552" s="123">
        <v>46051</v>
      </c>
      <c r="B552" s="94"/>
      <c r="C552" s="125" t="s">
        <v>666</v>
      </c>
      <c r="D552" s="15" t="s">
        <v>219</v>
      </c>
      <c r="E552" s="17">
        <v>2</v>
      </c>
      <c r="F552" s="17">
        <v>50</v>
      </c>
      <c r="G552" s="124">
        <v>0.1</v>
      </c>
      <c r="H552" s="14"/>
      <c r="I552" s="15" t="s">
        <v>700</v>
      </c>
    </row>
    <row r="553" spans="1:9" ht="15" customHeight="1">
      <c r="A553" s="123">
        <v>46051</v>
      </c>
      <c r="B553" s="15" t="s">
        <v>719</v>
      </c>
      <c r="C553" s="14" t="s">
        <v>657</v>
      </c>
      <c r="D553" s="15" t="s">
        <v>149</v>
      </c>
      <c r="E553" s="17">
        <v>2</v>
      </c>
      <c r="F553" s="17">
        <v>360</v>
      </c>
      <c r="G553" s="124">
        <v>0.72</v>
      </c>
      <c r="H553" s="14"/>
      <c r="I553" s="15" t="s">
        <v>720</v>
      </c>
    </row>
    <row r="554" spans="1:9" ht="15" customHeight="1">
      <c r="A554" s="123">
        <v>46051</v>
      </c>
      <c r="B554" s="15" t="s">
        <v>719</v>
      </c>
      <c r="C554" s="14" t="s">
        <v>657</v>
      </c>
      <c r="D554" s="15" t="s">
        <v>151</v>
      </c>
      <c r="E554" s="17">
        <v>1</v>
      </c>
      <c r="F554" s="17">
        <v>360</v>
      </c>
      <c r="G554" s="124">
        <v>0.36</v>
      </c>
      <c r="H554" s="14"/>
      <c r="I554" s="15" t="s">
        <v>722</v>
      </c>
    </row>
    <row r="555" spans="1:9" ht="15" customHeight="1">
      <c r="A555" s="123">
        <v>46051</v>
      </c>
      <c r="B555" s="15" t="s">
        <v>719</v>
      </c>
      <c r="C555" s="14" t="s">
        <v>657</v>
      </c>
      <c r="D555" s="15" t="s">
        <v>153</v>
      </c>
      <c r="E555" s="17">
        <v>10</v>
      </c>
      <c r="F555" s="17">
        <v>360</v>
      </c>
      <c r="G555" s="124">
        <v>3.6</v>
      </c>
      <c r="H555" s="14"/>
      <c r="I555" s="15" t="s">
        <v>724</v>
      </c>
    </row>
    <row r="556" spans="1:9" ht="15" customHeight="1">
      <c r="A556" s="123">
        <v>46051</v>
      </c>
      <c r="B556" s="15" t="s">
        <v>719</v>
      </c>
      <c r="C556" s="14" t="s">
        <v>657</v>
      </c>
      <c r="D556" s="15" t="s">
        <v>154</v>
      </c>
      <c r="E556" s="17">
        <v>2</v>
      </c>
      <c r="F556" s="17">
        <v>360</v>
      </c>
      <c r="G556" s="124">
        <v>0.72</v>
      </c>
      <c r="H556" s="14"/>
      <c r="I556" s="15" t="s">
        <v>725</v>
      </c>
    </row>
    <row r="557" spans="1:9" ht="15" customHeight="1">
      <c r="A557" s="123">
        <v>46052</v>
      </c>
      <c r="B557" s="94"/>
      <c r="C557" s="125" t="s">
        <v>666</v>
      </c>
      <c r="D557" s="94" t="s">
        <v>141</v>
      </c>
      <c r="E557" s="17">
        <v>1</v>
      </c>
      <c r="F557" s="17">
        <v>60</v>
      </c>
      <c r="G557" s="124">
        <v>1.2</v>
      </c>
      <c r="H557" s="14"/>
      <c r="I557" s="94" t="s">
        <v>692</v>
      </c>
    </row>
    <row r="558" spans="1:9" ht="15" customHeight="1">
      <c r="A558" s="123">
        <v>46052</v>
      </c>
      <c r="B558" s="94"/>
      <c r="C558" s="125" t="s">
        <v>666</v>
      </c>
      <c r="D558" s="94" t="s">
        <v>141</v>
      </c>
      <c r="E558" s="17">
        <v>11</v>
      </c>
      <c r="F558" s="17">
        <v>60</v>
      </c>
      <c r="G558" s="124">
        <v>13.2</v>
      </c>
      <c r="H558" s="14"/>
      <c r="I558" s="15" t="s">
        <v>684</v>
      </c>
    </row>
    <row r="559" spans="1:9" ht="15" customHeight="1">
      <c r="A559" s="123">
        <v>46052</v>
      </c>
      <c r="B559" s="94"/>
      <c r="C559" s="125" t="s">
        <v>666</v>
      </c>
      <c r="D559" s="15" t="s">
        <v>143</v>
      </c>
      <c r="E559" s="17">
        <v>4</v>
      </c>
      <c r="F559" s="17">
        <v>50</v>
      </c>
      <c r="G559" s="124">
        <v>4</v>
      </c>
      <c r="H559" s="14"/>
      <c r="I559" s="15" t="s">
        <v>669</v>
      </c>
    </row>
    <row r="560" spans="1:9" ht="15" customHeight="1">
      <c r="A560" s="123">
        <v>46052</v>
      </c>
      <c r="B560" s="94"/>
      <c r="C560" s="125" t="s">
        <v>666</v>
      </c>
      <c r="D560" s="15" t="s">
        <v>143</v>
      </c>
      <c r="E560" s="17">
        <v>3</v>
      </c>
      <c r="F560" s="17">
        <v>50</v>
      </c>
      <c r="G560" s="124">
        <v>6</v>
      </c>
      <c r="H560" s="14"/>
      <c r="I560" s="15" t="s">
        <v>670</v>
      </c>
    </row>
    <row r="561" spans="1:9" ht="15" customHeight="1">
      <c r="A561" s="123">
        <v>46052</v>
      </c>
      <c r="B561" s="94"/>
      <c r="C561" s="125" t="s">
        <v>666</v>
      </c>
      <c r="D561" s="15" t="s">
        <v>144</v>
      </c>
      <c r="E561" s="17">
        <v>4</v>
      </c>
      <c r="F561" s="17">
        <v>1000</v>
      </c>
      <c r="G561" s="124">
        <v>8</v>
      </c>
      <c r="H561" s="14"/>
      <c r="I561" s="15" t="s">
        <v>672</v>
      </c>
    </row>
    <row r="562" spans="1:9" ht="15" customHeight="1">
      <c r="A562" s="123">
        <v>46052</v>
      </c>
      <c r="B562" s="94"/>
      <c r="C562" s="125" t="s">
        <v>666</v>
      </c>
      <c r="D562" s="15" t="s">
        <v>147</v>
      </c>
      <c r="E562" s="17">
        <v>1</v>
      </c>
      <c r="F562" s="17">
        <v>50</v>
      </c>
      <c r="G562" s="124">
        <v>1</v>
      </c>
      <c r="H562" s="14"/>
      <c r="I562" s="15" t="s">
        <v>687</v>
      </c>
    </row>
    <row r="563" spans="1:9" ht="15" customHeight="1">
      <c r="A563" s="123">
        <v>46052</v>
      </c>
      <c r="B563" s="94"/>
      <c r="C563" s="125" t="s">
        <v>666</v>
      </c>
      <c r="D563" s="15" t="s">
        <v>181</v>
      </c>
      <c r="E563" s="17">
        <v>2</v>
      </c>
      <c r="F563" s="17">
        <v>1000</v>
      </c>
      <c r="G563" s="124">
        <v>2</v>
      </c>
      <c r="H563" s="14"/>
      <c r="I563" s="94" t="s">
        <v>705</v>
      </c>
    </row>
    <row r="564" spans="1:9" ht="15" customHeight="1">
      <c r="A564" s="123">
        <v>46052</v>
      </c>
      <c r="B564" s="94"/>
      <c r="C564" s="125" t="s">
        <v>666</v>
      </c>
      <c r="D564" s="15" t="s">
        <v>183</v>
      </c>
      <c r="E564" s="17">
        <v>15</v>
      </c>
      <c r="F564" s="17">
        <v>60</v>
      </c>
      <c r="G564" s="124">
        <v>27</v>
      </c>
      <c r="H564" s="14"/>
      <c r="I564" s="15" t="s">
        <v>676</v>
      </c>
    </row>
    <row r="565" spans="1:9" ht="15" customHeight="1">
      <c r="A565" s="123">
        <v>46052</v>
      </c>
      <c r="B565" s="94"/>
      <c r="C565" s="125" t="s">
        <v>666</v>
      </c>
      <c r="D565" s="15" t="s">
        <v>184</v>
      </c>
      <c r="E565" s="17">
        <v>2</v>
      </c>
      <c r="F565" s="17">
        <v>50</v>
      </c>
      <c r="G565" s="124">
        <v>2</v>
      </c>
      <c r="H565" s="14"/>
      <c r="I565" s="15" t="s">
        <v>677</v>
      </c>
    </row>
    <row r="566" spans="1:9" ht="15" customHeight="1">
      <c r="A566" s="123">
        <v>46052</v>
      </c>
      <c r="B566" s="94"/>
      <c r="C566" s="125" t="s">
        <v>666</v>
      </c>
      <c r="D566" s="15" t="s">
        <v>184</v>
      </c>
      <c r="E566" s="17">
        <v>2</v>
      </c>
      <c r="F566" s="17">
        <v>50</v>
      </c>
      <c r="G566" s="124">
        <v>4</v>
      </c>
      <c r="H566" s="14"/>
      <c r="I566" s="15" t="s">
        <v>678</v>
      </c>
    </row>
    <row r="567" spans="1:9" ht="15" customHeight="1">
      <c r="A567" s="123">
        <v>46052</v>
      </c>
      <c r="B567" s="94"/>
      <c r="C567" s="125" t="s">
        <v>666</v>
      </c>
      <c r="D567" s="15" t="s">
        <v>222</v>
      </c>
      <c r="E567" s="17">
        <v>5</v>
      </c>
      <c r="F567" s="17">
        <v>40</v>
      </c>
      <c r="G567" s="124">
        <v>4</v>
      </c>
      <c r="H567" s="14"/>
      <c r="I567" s="15" t="s">
        <v>679</v>
      </c>
    </row>
    <row r="568" spans="1:9" ht="15" customHeight="1">
      <c r="A568" s="123">
        <v>46052</v>
      </c>
      <c r="B568" s="94"/>
      <c r="C568" s="125" t="s">
        <v>666</v>
      </c>
      <c r="D568" s="15" t="s">
        <v>221</v>
      </c>
      <c r="E568" s="17">
        <v>1</v>
      </c>
      <c r="F568" s="17">
        <v>40</v>
      </c>
      <c r="G568" s="124">
        <v>0.8</v>
      </c>
      <c r="H568" s="14"/>
      <c r="I568" s="15" t="s">
        <v>680</v>
      </c>
    </row>
    <row r="569" spans="1:9" ht="15" customHeight="1">
      <c r="A569" s="123">
        <v>46052</v>
      </c>
      <c r="B569" s="94"/>
      <c r="C569" s="125" t="s">
        <v>666</v>
      </c>
      <c r="D569" s="15" t="s">
        <v>204</v>
      </c>
      <c r="E569" s="17">
        <v>25</v>
      </c>
      <c r="F569" s="17">
        <v>60</v>
      </c>
      <c r="G569" s="124">
        <v>45</v>
      </c>
      <c r="H569" s="14"/>
      <c r="I569" s="15" t="s">
        <v>681</v>
      </c>
    </row>
    <row r="570" spans="1:9" ht="15" customHeight="1">
      <c r="A570" s="123">
        <v>46052</v>
      </c>
      <c r="B570" s="94"/>
      <c r="C570" s="125" t="s">
        <v>666</v>
      </c>
      <c r="D570" s="15" t="s">
        <v>205</v>
      </c>
      <c r="E570" s="17">
        <v>15</v>
      </c>
      <c r="F570" s="17">
        <v>60</v>
      </c>
      <c r="G570" s="124">
        <v>27</v>
      </c>
      <c r="H570" s="14"/>
      <c r="I570" s="15" t="s">
        <v>682</v>
      </c>
    </row>
    <row r="571" spans="1:9" ht="15" customHeight="1">
      <c r="A571" s="123">
        <v>46052</v>
      </c>
      <c r="B571" s="94"/>
      <c r="C571" s="125" t="s">
        <v>666</v>
      </c>
      <c r="D571" s="15" t="s">
        <v>206</v>
      </c>
      <c r="E571" s="17">
        <v>1</v>
      </c>
      <c r="F571" s="17">
        <v>30</v>
      </c>
      <c r="G571" s="124">
        <v>1.8</v>
      </c>
      <c r="H571" s="14"/>
      <c r="I571" s="15" t="s">
        <v>683</v>
      </c>
    </row>
    <row r="572" spans="1:9" ht="15" customHeight="1">
      <c r="A572" s="123">
        <v>46052</v>
      </c>
      <c r="B572" s="94"/>
      <c r="C572" s="125" t="s">
        <v>666</v>
      </c>
      <c r="D572" s="15" t="s">
        <v>207</v>
      </c>
      <c r="E572" s="17">
        <v>5</v>
      </c>
      <c r="F572" s="17">
        <v>1000</v>
      </c>
      <c r="G572" s="124">
        <v>5</v>
      </c>
      <c r="H572" s="14"/>
      <c r="I572" s="15" t="s">
        <v>691</v>
      </c>
    </row>
    <row r="573" spans="1:9" ht="15" customHeight="1">
      <c r="A573" s="123">
        <v>46052</v>
      </c>
      <c r="B573" s="15" t="s">
        <v>719</v>
      </c>
      <c r="C573" s="14" t="s">
        <v>657</v>
      </c>
      <c r="D573" s="15" t="s">
        <v>149</v>
      </c>
      <c r="E573" s="17">
        <v>7</v>
      </c>
      <c r="F573" s="17">
        <v>360</v>
      </c>
      <c r="G573" s="124">
        <v>2.52</v>
      </c>
      <c r="H573" s="14"/>
      <c r="I573" s="15" t="s">
        <v>720</v>
      </c>
    </row>
    <row r="574" spans="1:9" ht="15" customHeight="1">
      <c r="A574" s="123">
        <v>46052</v>
      </c>
      <c r="B574" s="15" t="s">
        <v>719</v>
      </c>
      <c r="C574" s="14" t="s">
        <v>657</v>
      </c>
      <c r="D574" s="15" t="s">
        <v>151</v>
      </c>
      <c r="E574" s="17">
        <v>5</v>
      </c>
      <c r="F574" s="17">
        <v>360</v>
      </c>
      <c r="G574" s="124">
        <v>1.8</v>
      </c>
      <c r="H574" s="14"/>
      <c r="I574" s="15" t="s">
        <v>722</v>
      </c>
    </row>
    <row r="575" spans="1:9" ht="15" customHeight="1">
      <c r="A575" s="123">
        <v>46052</v>
      </c>
      <c r="B575" s="15" t="s">
        <v>719</v>
      </c>
      <c r="C575" s="14" t="s">
        <v>657</v>
      </c>
      <c r="D575" s="15" t="s">
        <v>152</v>
      </c>
      <c r="E575" s="17">
        <v>1</v>
      </c>
      <c r="F575" s="17">
        <v>360</v>
      </c>
      <c r="G575" s="124">
        <v>0.36</v>
      </c>
      <c r="H575" s="14"/>
      <c r="I575" s="15" t="s">
        <v>723</v>
      </c>
    </row>
    <row r="576" spans="1:9" ht="15" customHeight="1">
      <c r="A576" s="123">
        <v>46052</v>
      </c>
      <c r="B576" s="15" t="s">
        <v>719</v>
      </c>
      <c r="C576" s="14" t="s">
        <v>657</v>
      </c>
      <c r="D576" s="15" t="s">
        <v>153</v>
      </c>
      <c r="E576" s="17">
        <v>7</v>
      </c>
      <c r="F576" s="17">
        <v>360</v>
      </c>
      <c r="G576" s="124">
        <v>2.52</v>
      </c>
      <c r="H576" s="14"/>
      <c r="I576" s="15" t="s">
        <v>724</v>
      </c>
    </row>
    <row r="577" spans="1:9" ht="15" customHeight="1">
      <c r="A577" s="123">
        <v>46052</v>
      </c>
      <c r="B577" s="15" t="s">
        <v>719</v>
      </c>
      <c r="C577" s="14" t="s">
        <v>657</v>
      </c>
      <c r="D577" s="15" t="s">
        <v>154</v>
      </c>
      <c r="E577" s="17">
        <v>7</v>
      </c>
      <c r="F577" s="17">
        <v>360</v>
      </c>
      <c r="G577" s="124">
        <v>2.52</v>
      </c>
      <c r="H577" s="14"/>
      <c r="I577" s="15" t="s">
        <v>725</v>
      </c>
    </row>
    <row r="578" spans="1:9" ht="15" customHeight="1">
      <c r="A578" s="123">
        <v>46054</v>
      </c>
      <c r="B578" s="15" t="s">
        <v>656</v>
      </c>
      <c r="C578" s="14" t="s">
        <v>657</v>
      </c>
      <c r="D578" s="15" t="s">
        <v>155</v>
      </c>
      <c r="E578" s="17">
        <v>1160</v>
      </c>
      <c r="F578" s="17">
        <v>80</v>
      </c>
      <c r="G578" s="124">
        <v>92.8</v>
      </c>
      <c r="H578" s="14"/>
      <c r="I578" s="94" t="s">
        <v>737</v>
      </c>
    </row>
    <row r="579" spans="1:9" ht="15" customHeight="1">
      <c r="A579" s="123">
        <v>46055</v>
      </c>
      <c r="B579" s="94"/>
      <c r="C579" s="125" t="s">
        <v>666</v>
      </c>
      <c r="D579" s="94" t="s">
        <v>141</v>
      </c>
      <c r="E579" s="17">
        <v>8</v>
      </c>
      <c r="F579" s="17">
        <v>60</v>
      </c>
      <c r="G579" s="124">
        <v>9.6</v>
      </c>
      <c r="H579" s="14"/>
      <c r="I579" s="94" t="s">
        <v>692</v>
      </c>
    </row>
    <row r="580" spans="1:9" ht="15" customHeight="1">
      <c r="A580" s="123">
        <v>46055</v>
      </c>
      <c r="B580" s="94"/>
      <c r="C580" s="125" t="s">
        <v>666</v>
      </c>
      <c r="D580" s="94" t="s">
        <v>141</v>
      </c>
      <c r="E580" s="17">
        <v>5</v>
      </c>
      <c r="F580" s="17">
        <v>60</v>
      </c>
      <c r="G580" s="124">
        <v>6</v>
      </c>
      <c r="H580" s="14"/>
      <c r="I580" s="15" t="s">
        <v>684</v>
      </c>
    </row>
    <row r="581" spans="1:9" ht="15" customHeight="1">
      <c r="A581" s="123">
        <v>46055</v>
      </c>
      <c r="B581" s="94"/>
      <c r="C581" s="125" t="s">
        <v>666</v>
      </c>
      <c r="D581" s="15" t="s">
        <v>142</v>
      </c>
      <c r="E581" s="17">
        <v>70</v>
      </c>
      <c r="F581" s="17">
        <v>50</v>
      </c>
      <c r="G581" s="124">
        <v>3.5</v>
      </c>
      <c r="H581" s="14"/>
      <c r="I581" s="15" t="s">
        <v>738</v>
      </c>
    </row>
    <row r="582" spans="1:9" ht="15" customHeight="1">
      <c r="A582" s="123">
        <v>46055</v>
      </c>
      <c r="B582" s="94"/>
      <c r="C582" s="125" t="s">
        <v>666</v>
      </c>
      <c r="D582" s="15" t="s">
        <v>143</v>
      </c>
      <c r="E582" s="17">
        <v>8</v>
      </c>
      <c r="F582" s="17">
        <v>50</v>
      </c>
      <c r="G582" s="124">
        <v>8</v>
      </c>
      <c r="H582" s="14"/>
      <c r="I582" s="15" t="s">
        <v>669</v>
      </c>
    </row>
    <row r="583" spans="1:9" ht="15" customHeight="1">
      <c r="A583" s="123">
        <v>46055</v>
      </c>
      <c r="B583" s="94"/>
      <c r="C583" s="125" t="s">
        <v>666</v>
      </c>
      <c r="D583" s="15" t="s">
        <v>143</v>
      </c>
      <c r="E583" s="17">
        <v>5</v>
      </c>
      <c r="F583" s="17">
        <v>50</v>
      </c>
      <c r="G583" s="124">
        <v>10</v>
      </c>
      <c r="H583" s="14"/>
      <c r="I583" s="15" t="s">
        <v>670</v>
      </c>
    </row>
    <row r="584" spans="1:9" ht="15" customHeight="1">
      <c r="A584" s="123">
        <v>46055</v>
      </c>
      <c r="B584" s="94"/>
      <c r="C584" s="125" t="s">
        <v>666</v>
      </c>
      <c r="D584" s="15" t="s">
        <v>143</v>
      </c>
      <c r="E584" s="17">
        <v>2</v>
      </c>
      <c r="F584" s="17">
        <v>50</v>
      </c>
      <c r="G584" s="124">
        <v>0.5</v>
      </c>
      <c r="H584" s="14"/>
      <c r="I584" s="15" t="s">
        <v>739</v>
      </c>
    </row>
    <row r="585" spans="1:9" ht="15" customHeight="1">
      <c r="A585" s="123">
        <v>46055</v>
      </c>
      <c r="B585" s="94"/>
      <c r="C585" s="125" t="s">
        <v>666</v>
      </c>
      <c r="D585" s="15" t="s">
        <v>143</v>
      </c>
      <c r="E585" s="17">
        <v>3</v>
      </c>
      <c r="F585" s="17">
        <v>50</v>
      </c>
      <c r="G585" s="124">
        <v>0.15</v>
      </c>
      <c r="H585" s="14"/>
      <c r="I585" s="15" t="s">
        <v>700</v>
      </c>
    </row>
    <row r="586" spans="1:9" ht="15" customHeight="1">
      <c r="A586" s="123">
        <v>46055</v>
      </c>
      <c r="B586" s="94"/>
      <c r="C586" s="125" t="s">
        <v>666</v>
      </c>
      <c r="D586" s="15" t="s">
        <v>143</v>
      </c>
      <c r="E586" s="17">
        <v>5</v>
      </c>
      <c r="F586" s="17">
        <v>50</v>
      </c>
      <c r="G586" s="124">
        <v>0.25</v>
      </c>
      <c r="H586" s="14"/>
      <c r="I586" s="15" t="s">
        <v>671</v>
      </c>
    </row>
    <row r="587" spans="1:9" ht="15" customHeight="1">
      <c r="A587" s="123">
        <v>46055</v>
      </c>
      <c r="B587" s="94"/>
      <c r="C587" s="125" t="s">
        <v>666</v>
      </c>
      <c r="D587" s="15" t="s">
        <v>144</v>
      </c>
      <c r="E587" s="17">
        <v>7</v>
      </c>
      <c r="F587" s="17">
        <v>1000</v>
      </c>
      <c r="G587" s="124">
        <v>14</v>
      </c>
      <c r="H587" s="14"/>
      <c r="I587" s="15" t="s">
        <v>672</v>
      </c>
    </row>
    <row r="588" spans="1:9" ht="15" customHeight="1">
      <c r="A588" s="123">
        <v>46055</v>
      </c>
      <c r="B588" s="94"/>
      <c r="C588" s="125" t="s">
        <v>666</v>
      </c>
      <c r="D588" s="15" t="s">
        <v>145</v>
      </c>
      <c r="E588" s="17">
        <v>2</v>
      </c>
      <c r="F588" s="17">
        <v>50</v>
      </c>
      <c r="G588" s="124">
        <v>0.1</v>
      </c>
      <c r="H588" s="14"/>
      <c r="I588" s="15" t="s">
        <v>700</v>
      </c>
    </row>
    <row r="589" spans="1:9" ht="15" customHeight="1">
      <c r="A589" s="123">
        <v>46055</v>
      </c>
      <c r="B589" s="94"/>
      <c r="C589" s="125" t="s">
        <v>666</v>
      </c>
      <c r="D589" s="15" t="s">
        <v>145</v>
      </c>
      <c r="E589" s="17">
        <v>5</v>
      </c>
      <c r="F589" s="17">
        <v>50</v>
      </c>
      <c r="G589" s="124">
        <v>0.25</v>
      </c>
      <c r="H589" s="14"/>
      <c r="I589" s="15" t="s">
        <v>671</v>
      </c>
    </row>
    <row r="590" spans="1:9" ht="15" customHeight="1">
      <c r="A590" s="123">
        <v>46055</v>
      </c>
      <c r="B590" s="94"/>
      <c r="C590" s="125" t="s">
        <v>666</v>
      </c>
      <c r="D590" s="15" t="s">
        <v>146</v>
      </c>
      <c r="E590" s="17">
        <v>70</v>
      </c>
      <c r="F590" s="17">
        <v>50</v>
      </c>
      <c r="G590" s="124">
        <v>3.5</v>
      </c>
      <c r="H590" s="14"/>
      <c r="I590" s="15" t="s">
        <v>738</v>
      </c>
    </row>
    <row r="591" spans="1:9" ht="15" customHeight="1">
      <c r="A591" s="123">
        <v>46055</v>
      </c>
      <c r="B591" s="94"/>
      <c r="C591" s="125" t="s">
        <v>666</v>
      </c>
      <c r="D591" s="15" t="s">
        <v>147</v>
      </c>
      <c r="E591" s="17">
        <v>1</v>
      </c>
      <c r="F591" s="17">
        <v>50</v>
      </c>
      <c r="G591" s="124">
        <v>2</v>
      </c>
      <c r="H591" s="14"/>
      <c r="I591" s="15" t="s">
        <v>740</v>
      </c>
    </row>
    <row r="592" spans="1:9" ht="15" customHeight="1">
      <c r="A592" s="123">
        <v>46055</v>
      </c>
      <c r="B592" s="94"/>
      <c r="C592" s="125" t="s">
        <v>666</v>
      </c>
      <c r="D592" s="15" t="s">
        <v>147</v>
      </c>
      <c r="E592" s="17">
        <v>7</v>
      </c>
      <c r="F592" s="17">
        <v>50</v>
      </c>
      <c r="G592" s="124">
        <v>7</v>
      </c>
      <c r="H592" s="14"/>
      <c r="I592" s="15" t="s">
        <v>687</v>
      </c>
    </row>
    <row r="593" spans="1:9" ht="15" customHeight="1">
      <c r="A593" s="123">
        <v>46055</v>
      </c>
      <c r="B593" s="94"/>
      <c r="C593" s="125" t="s">
        <v>666</v>
      </c>
      <c r="D593" s="15" t="s">
        <v>147</v>
      </c>
      <c r="E593" s="17">
        <v>70</v>
      </c>
      <c r="F593" s="17">
        <v>50</v>
      </c>
      <c r="G593" s="124">
        <v>3.5</v>
      </c>
      <c r="H593" s="14"/>
      <c r="I593" s="15" t="s">
        <v>738</v>
      </c>
    </row>
    <row r="594" spans="1:9" ht="15" customHeight="1">
      <c r="A594" s="123">
        <v>46055</v>
      </c>
      <c r="B594" s="94"/>
      <c r="C594" s="125" t="s">
        <v>666</v>
      </c>
      <c r="D594" s="15" t="s">
        <v>148</v>
      </c>
      <c r="E594" s="17">
        <v>2</v>
      </c>
      <c r="F594" s="17">
        <v>50</v>
      </c>
      <c r="G594" s="124">
        <v>0.1</v>
      </c>
      <c r="H594" s="14"/>
      <c r="I594" s="15" t="s">
        <v>700</v>
      </c>
    </row>
    <row r="595" spans="1:9" ht="15" customHeight="1">
      <c r="A595" s="123">
        <v>46055</v>
      </c>
      <c r="B595" s="94"/>
      <c r="C595" s="125" t="s">
        <v>666</v>
      </c>
      <c r="D595" s="15" t="s">
        <v>148</v>
      </c>
      <c r="E595" s="17">
        <v>4</v>
      </c>
      <c r="F595" s="17">
        <v>50</v>
      </c>
      <c r="G595" s="124">
        <v>0.2</v>
      </c>
      <c r="H595" s="14"/>
      <c r="I595" s="15" t="s">
        <v>671</v>
      </c>
    </row>
    <row r="596" spans="1:9" ht="15" customHeight="1">
      <c r="A596" s="123">
        <v>46055</v>
      </c>
      <c r="B596" s="94"/>
      <c r="C596" s="125" t="s">
        <v>666</v>
      </c>
      <c r="D596" s="15" t="s">
        <v>155</v>
      </c>
      <c r="E596" s="17">
        <v>12</v>
      </c>
      <c r="F596" s="17">
        <v>80</v>
      </c>
      <c r="G596" s="124">
        <v>14.4</v>
      </c>
      <c r="H596" s="14"/>
      <c r="I596" s="94" t="s">
        <v>741</v>
      </c>
    </row>
    <row r="597" spans="1:9" ht="15" customHeight="1">
      <c r="A597" s="123">
        <v>46055</v>
      </c>
      <c r="B597" s="94"/>
      <c r="C597" s="125" t="s">
        <v>666</v>
      </c>
      <c r="D597" s="15" t="s">
        <v>155</v>
      </c>
      <c r="E597" s="17">
        <v>10</v>
      </c>
      <c r="F597" s="17">
        <v>80</v>
      </c>
      <c r="G597" s="124">
        <v>16</v>
      </c>
      <c r="H597" s="14"/>
      <c r="I597" s="94" t="s">
        <v>673</v>
      </c>
    </row>
    <row r="598" spans="1:9" ht="15" customHeight="1">
      <c r="A598" s="123">
        <v>46055</v>
      </c>
      <c r="B598" s="94"/>
      <c r="C598" s="125" t="s">
        <v>666</v>
      </c>
      <c r="D598" s="15" t="s">
        <v>155</v>
      </c>
      <c r="E598" s="17">
        <v>38</v>
      </c>
      <c r="F598" s="17">
        <v>80</v>
      </c>
      <c r="G598" s="124">
        <v>45.6</v>
      </c>
      <c r="H598" s="14"/>
      <c r="I598" s="15" t="s">
        <v>742</v>
      </c>
    </row>
    <row r="599" spans="1:9" ht="15" customHeight="1">
      <c r="A599" s="123">
        <v>46055</v>
      </c>
      <c r="B599" s="94"/>
      <c r="C599" s="125" t="s">
        <v>666</v>
      </c>
      <c r="D599" s="15" t="s">
        <v>155</v>
      </c>
      <c r="E599" s="17">
        <v>8</v>
      </c>
      <c r="F599" s="17">
        <v>80</v>
      </c>
      <c r="G599" s="124">
        <v>12.8</v>
      </c>
      <c r="H599" s="14"/>
      <c r="I599" s="15" t="s">
        <v>743</v>
      </c>
    </row>
    <row r="600" spans="1:9" ht="15" customHeight="1">
      <c r="A600" s="123">
        <v>46055</v>
      </c>
      <c r="B600" s="94"/>
      <c r="C600" s="125" t="s">
        <v>666</v>
      </c>
      <c r="D600" s="15" t="s">
        <v>159</v>
      </c>
      <c r="E600" s="17">
        <v>2</v>
      </c>
      <c r="F600" s="17">
        <v>50</v>
      </c>
      <c r="G600" s="124">
        <v>0.1</v>
      </c>
      <c r="H600" s="14"/>
      <c r="I600" s="15" t="s">
        <v>700</v>
      </c>
    </row>
    <row r="601" spans="1:9" ht="15" customHeight="1">
      <c r="A601" s="123">
        <v>46055</v>
      </c>
      <c r="B601" s="94"/>
      <c r="C601" s="125" t="s">
        <v>666</v>
      </c>
      <c r="D601" s="15" t="s">
        <v>159</v>
      </c>
      <c r="E601" s="17">
        <v>4</v>
      </c>
      <c r="F601" s="17">
        <v>50</v>
      </c>
      <c r="G601" s="124">
        <v>0.2</v>
      </c>
      <c r="H601" s="14"/>
      <c r="I601" s="15" t="s">
        <v>671</v>
      </c>
    </row>
    <row r="602" spans="1:9" ht="15" customHeight="1">
      <c r="A602" s="123">
        <v>46055</v>
      </c>
      <c r="B602" s="94"/>
      <c r="C602" s="125" t="s">
        <v>666</v>
      </c>
      <c r="D602" s="15" t="s">
        <v>161</v>
      </c>
      <c r="E602" s="17">
        <v>8</v>
      </c>
      <c r="F602" s="17">
        <v>1000</v>
      </c>
      <c r="G602" s="124">
        <v>8</v>
      </c>
      <c r="H602" s="14"/>
      <c r="I602" s="15" t="s">
        <v>701</v>
      </c>
    </row>
    <row r="603" spans="1:9" ht="15" customHeight="1">
      <c r="A603" s="123">
        <v>46055</v>
      </c>
      <c r="B603" s="94"/>
      <c r="C603" s="125" t="s">
        <v>666</v>
      </c>
      <c r="D603" s="15" t="s">
        <v>169</v>
      </c>
      <c r="E603" s="17">
        <v>2</v>
      </c>
      <c r="F603" s="17">
        <v>1000</v>
      </c>
      <c r="G603" s="124">
        <v>2</v>
      </c>
      <c r="H603" s="14"/>
      <c r="I603" s="15" t="s">
        <v>706</v>
      </c>
    </row>
    <row r="604" spans="1:9" ht="15" customHeight="1">
      <c r="A604" s="123">
        <v>46055</v>
      </c>
      <c r="B604" s="94"/>
      <c r="C604" s="125" t="s">
        <v>666</v>
      </c>
      <c r="D604" s="15" t="s">
        <v>173</v>
      </c>
      <c r="E604" s="17">
        <v>2</v>
      </c>
      <c r="F604" s="17">
        <v>50</v>
      </c>
      <c r="G604" s="124">
        <v>0.5</v>
      </c>
      <c r="H604" s="14"/>
      <c r="I604" s="15" t="s">
        <v>739</v>
      </c>
    </row>
    <row r="605" spans="1:9" ht="15" customHeight="1">
      <c r="A605" s="123">
        <v>46055</v>
      </c>
      <c r="B605" s="94"/>
      <c r="C605" s="125" t="s">
        <v>666</v>
      </c>
      <c r="D605" s="15" t="s">
        <v>173</v>
      </c>
      <c r="E605" s="17">
        <v>2</v>
      </c>
      <c r="F605" s="17">
        <v>50</v>
      </c>
      <c r="G605" s="124">
        <v>1</v>
      </c>
      <c r="H605" s="14"/>
      <c r="I605" s="15" t="s">
        <v>715</v>
      </c>
    </row>
    <row r="606" spans="1:9" ht="15" customHeight="1">
      <c r="A606" s="123">
        <v>46055</v>
      </c>
      <c r="B606" s="94"/>
      <c r="C606" s="125" t="s">
        <v>666</v>
      </c>
      <c r="D606" s="15" t="s">
        <v>174</v>
      </c>
      <c r="E606" s="17">
        <v>8</v>
      </c>
      <c r="F606" s="17">
        <v>1000</v>
      </c>
      <c r="G606" s="124">
        <v>8</v>
      </c>
      <c r="H606" s="14"/>
      <c r="I606" s="15" t="s">
        <v>701</v>
      </c>
    </row>
    <row r="607" spans="1:9" ht="15" customHeight="1">
      <c r="A607" s="123">
        <v>46055</v>
      </c>
      <c r="B607" s="94"/>
      <c r="C607" s="125" t="s">
        <v>666</v>
      </c>
      <c r="D607" s="15" t="s">
        <v>174</v>
      </c>
      <c r="E607" s="17">
        <v>16</v>
      </c>
      <c r="F607" s="17">
        <v>1000</v>
      </c>
      <c r="G607" s="124">
        <v>32</v>
      </c>
      <c r="H607" s="14"/>
      <c r="I607" s="15" t="s">
        <v>717</v>
      </c>
    </row>
    <row r="608" spans="1:9" ht="15" customHeight="1">
      <c r="A608" s="123">
        <v>46055</v>
      </c>
      <c r="B608" s="94"/>
      <c r="C608" s="125" t="s">
        <v>666</v>
      </c>
      <c r="D608" s="15" t="s">
        <v>174</v>
      </c>
      <c r="E608" s="17">
        <v>1</v>
      </c>
      <c r="F608" s="17">
        <v>1000</v>
      </c>
      <c r="G608" s="124">
        <v>1</v>
      </c>
      <c r="H608" s="14"/>
      <c r="I608" s="15" t="s">
        <v>729</v>
      </c>
    </row>
    <row r="609" spans="1:9" ht="15" customHeight="1">
      <c r="A609" s="123">
        <v>46055</v>
      </c>
      <c r="B609" s="94"/>
      <c r="C609" s="125" t="s">
        <v>666</v>
      </c>
      <c r="D609" s="15" t="s">
        <v>179</v>
      </c>
      <c r="E609" s="17">
        <v>3</v>
      </c>
      <c r="F609" s="17">
        <v>1000</v>
      </c>
      <c r="G609" s="124">
        <v>3</v>
      </c>
      <c r="H609" s="14"/>
      <c r="I609" s="15" t="s">
        <v>702</v>
      </c>
    </row>
    <row r="610" spans="1:9" ht="15" customHeight="1">
      <c r="A610" s="123">
        <v>46055</v>
      </c>
      <c r="B610" s="94"/>
      <c r="C610" s="125" t="s">
        <v>666</v>
      </c>
      <c r="D610" s="15" t="s">
        <v>179</v>
      </c>
      <c r="E610" s="17">
        <v>1</v>
      </c>
      <c r="F610" s="17">
        <v>40</v>
      </c>
      <c r="G610" s="124">
        <v>0.8</v>
      </c>
      <c r="H610" s="14"/>
      <c r="I610" s="15" t="s">
        <v>675</v>
      </c>
    </row>
    <row r="611" spans="1:9" ht="15" customHeight="1">
      <c r="A611" s="123">
        <v>46055</v>
      </c>
      <c r="B611" s="94"/>
      <c r="C611" s="125" t="s">
        <v>666</v>
      </c>
      <c r="D611" s="15" t="s">
        <v>183</v>
      </c>
      <c r="E611" s="17">
        <v>55</v>
      </c>
      <c r="F611" s="17">
        <v>60</v>
      </c>
      <c r="G611" s="124">
        <v>99</v>
      </c>
      <c r="H611" s="14"/>
      <c r="I611" s="15" t="s">
        <v>676</v>
      </c>
    </row>
    <row r="612" spans="1:9" ht="15" customHeight="1">
      <c r="A612" s="123">
        <v>46055</v>
      </c>
      <c r="B612" s="94"/>
      <c r="C612" s="125" t="s">
        <v>666</v>
      </c>
      <c r="D612" s="15" t="s">
        <v>184</v>
      </c>
      <c r="E612" s="17">
        <v>1</v>
      </c>
      <c r="F612" s="17">
        <v>50</v>
      </c>
      <c r="G612" s="124">
        <v>1</v>
      </c>
      <c r="H612" s="14"/>
      <c r="I612" s="15" t="s">
        <v>688</v>
      </c>
    </row>
    <row r="613" spans="1:9" ht="15" customHeight="1">
      <c r="A613" s="123">
        <v>46055</v>
      </c>
      <c r="B613" s="94"/>
      <c r="C613" s="125" t="s">
        <v>666</v>
      </c>
      <c r="D613" s="15" t="s">
        <v>184</v>
      </c>
      <c r="E613" s="17">
        <v>6</v>
      </c>
      <c r="F613" s="17">
        <v>50</v>
      </c>
      <c r="G613" s="124">
        <v>12</v>
      </c>
      <c r="H613" s="14"/>
      <c r="I613" s="15" t="s">
        <v>678</v>
      </c>
    </row>
    <row r="614" spans="1:9" ht="15" customHeight="1">
      <c r="A614" s="123">
        <v>46055</v>
      </c>
      <c r="B614" s="94"/>
      <c r="C614" s="125" t="s">
        <v>666</v>
      </c>
      <c r="D614" s="15" t="s">
        <v>184</v>
      </c>
      <c r="E614" s="17">
        <v>3</v>
      </c>
      <c r="F614" s="17">
        <v>50</v>
      </c>
      <c r="G614" s="124">
        <v>0.15</v>
      </c>
      <c r="H614" s="14"/>
      <c r="I614" s="15" t="s">
        <v>700</v>
      </c>
    </row>
    <row r="615" spans="1:9" ht="15" customHeight="1">
      <c r="A615" s="123">
        <v>46055</v>
      </c>
      <c r="B615" s="94"/>
      <c r="C615" s="125" t="s">
        <v>666</v>
      </c>
      <c r="D615" s="15" t="s">
        <v>184</v>
      </c>
      <c r="E615" s="17">
        <v>5</v>
      </c>
      <c r="F615" s="17">
        <v>50</v>
      </c>
      <c r="G615" s="124">
        <v>0.25</v>
      </c>
      <c r="H615" s="14"/>
      <c r="I615" s="15" t="s">
        <v>671</v>
      </c>
    </row>
    <row r="616" spans="1:9" ht="15" customHeight="1">
      <c r="A616" s="123">
        <v>46055</v>
      </c>
      <c r="B616" s="94"/>
      <c r="C616" s="125" t="s">
        <v>666</v>
      </c>
      <c r="D616" s="15" t="s">
        <v>186</v>
      </c>
      <c r="E616" s="17">
        <v>2</v>
      </c>
      <c r="F616" s="17">
        <v>50</v>
      </c>
      <c r="G616" s="124">
        <v>0.1</v>
      </c>
      <c r="H616" s="14"/>
      <c r="I616" s="15" t="s">
        <v>700</v>
      </c>
    </row>
    <row r="617" spans="1:9" ht="15" customHeight="1">
      <c r="A617" s="123">
        <v>46055</v>
      </c>
      <c r="B617" s="94"/>
      <c r="C617" s="125" t="s">
        <v>666</v>
      </c>
      <c r="D617" s="15" t="s">
        <v>186</v>
      </c>
      <c r="E617" s="17">
        <v>4</v>
      </c>
      <c r="F617" s="17">
        <v>50</v>
      </c>
      <c r="G617" s="124">
        <v>0.2</v>
      </c>
      <c r="H617" s="14"/>
      <c r="I617" s="15" t="s">
        <v>671</v>
      </c>
    </row>
    <row r="618" spans="1:9" ht="15" customHeight="1">
      <c r="A618" s="123">
        <v>46055</v>
      </c>
      <c r="B618" s="94"/>
      <c r="C618" s="125" t="s">
        <v>666</v>
      </c>
      <c r="D618" s="15" t="s">
        <v>192</v>
      </c>
      <c r="E618" s="17">
        <v>2</v>
      </c>
      <c r="F618" s="17">
        <v>50</v>
      </c>
      <c r="G618" s="124">
        <v>0.1</v>
      </c>
      <c r="H618" s="14"/>
      <c r="I618" s="15" t="s">
        <v>700</v>
      </c>
    </row>
    <row r="619" spans="1:9" ht="15" customHeight="1">
      <c r="A619" s="123">
        <v>46055</v>
      </c>
      <c r="B619" s="94"/>
      <c r="C619" s="125" t="s">
        <v>666</v>
      </c>
      <c r="D619" s="15" t="s">
        <v>192</v>
      </c>
      <c r="E619" s="17">
        <v>5</v>
      </c>
      <c r="F619" s="17">
        <v>50</v>
      </c>
      <c r="G619" s="124">
        <v>0.25</v>
      </c>
      <c r="H619" s="14"/>
      <c r="I619" s="15" t="s">
        <v>671</v>
      </c>
    </row>
    <row r="620" spans="1:9" ht="15" customHeight="1">
      <c r="A620" s="123">
        <v>46055</v>
      </c>
      <c r="B620" s="94"/>
      <c r="C620" s="125" t="s">
        <v>666</v>
      </c>
      <c r="D620" s="15" t="s">
        <v>195</v>
      </c>
      <c r="E620" s="17">
        <v>2</v>
      </c>
      <c r="F620" s="17">
        <v>50</v>
      </c>
      <c r="G620" s="124">
        <v>0.1</v>
      </c>
      <c r="H620" s="14"/>
      <c r="I620" s="15" t="s">
        <v>700</v>
      </c>
    </row>
    <row r="621" spans="1:9" ht="15" customHeight="1">
      <c r="A621" s="123">
        <v>46055</v>
      </c>
      <c r="B621" s="94"/>
      <c r="C621" s="125" t="s">
        <v>666</v>
      </c>
      <c r="D621" s="15" t="s">
        <v>195</v>
      </c>
      <c r="E621" s="17">
        <v>4</v>
      </c>
      <c r="F621" s="17">
        <v>50</v>
      </c>
      <c r="G621" s="124">
        <v>0.2</v>
      </c>
      <c r="H621" s="14"/>
      <c r="I621" s="15" t="s">
        <v>671</v>
      </c>
    </row>
    <row r="622" spans="1:9" ht="15" customHeight="1">
      <c r="A622" s="123">
        <v>46055</v>
      </c>
      <c r="B622" s="94"/>
      <c r="C622" s="125" t="s">
        <v>666</v>
      </c>
      <c r="D622" s="15" t="s">
        <v>222</v>
      </c>
      <c r="E622" s="17">
        <v>6</v>
      </c>
      <c r="F622" s="17">
        <v>40</v>
      </c>
      <c r="G622" s="124">
        <v>4.8</v>
      </c>
      <c r="H622" s="14"/>
      <c r="I622" s="15" t="s">
        <v>679</v>
      </c>
    </row>
    <row r="623" spans="1:9" ht="15" customHeight="1">
      <c r="A623" s="123">
        <v>46055</v>
      </c>
      <c r="B623" s="94"/>
      <c r="C623" s="125" t="s">
        <v>666</v>
      </c>
      <c r="D623" s="15" t="s">
        <v>221</v>
      </c>
      <c r="E623" s="17">
        <v>4</v>
      </c>
      <c r="F623" s="17">
        <v>40</v>
      </c>
      <c r="G623" s="124">
        <v>3.2</v>
      </c>
      <c r="H623" s="14"/>
      <c r="I623" s="15" t="s">
        <v>680</v>
      </c>
    </row>
    <row r="624" spans="1:9" ht="15" customHeight="1">
      <c r="A624" s="123">
        <v>46055</v>
      </c>
      <c r="B624" s="94"/>
      <c r="C624" s="125" t="s">
        <v>666</v>
      </c>
      <c r="D624" s="15" t="s">
        <v>204</v>
      </c>
      <c r="E624" s="17">
        <v>1</v>
      </c>
      <c r="F624" s="17">
        <v>60</v>
      </c>
      <c r="G624" s="124">
        <v>0.9</v>
      </c>
      <c r="H624" s="14"/>
      <c r="I624" s="15" t="s">
        <v>729</v>
      </c>
    </row>
    <row r="625" spans="1:9" ht="15" customHeight="1">
      <c r="A625" s="123">
        <v>46055</v>
      </c>
      <c r="B625" s="94"/>
      <c r="C625" s="125" t="s">
        <v>666</v>
      </c>
      <c r="D625" s="15" t="s">
        <v>204</v>
      </c>
      <c r="E625" s="17">
        <v>8</v>
      </c>
      <c r="F625" s="17">
        <v>1000</v>
      </c>
      <c r="G625" s="124">
        <v>14.4</v>
      </c>
      <c r="H625" s="14"/>
      <c r="I625" s="15" t="s">
        <v>690</v>
      </c>
    </row>
    <row r="626" spans="1:9" ht="15" customHeight="1">
      <c r="A626" s="123">
        <v>46055</v>
      </c>
      <c r="B626" s="94"/>
      <c r="C626" s="125" t="s">
        <v>666</v>
      </c>
      <c r="D626" s="15" t="s">
        <v>204</v>
      </c>
      <c r="E626" s="17">
        <v>648</v>
      </c>
      <c r="F626" s="17">
        <v>60</v>
      </c>
      <c r="G626" s="124">
        <v>583.20000000000005</v>
      </c>
      <c r="H626" s="14"/>
      <c r="I626" s="15" t="s">
        <v>744</v>
      </c>
    </row>
    <row r="627" spans="1:9" ht="15" customHeight="1">
      <c r="A627" s="123">
        <v>46055</v>
      </c>
      <c r="B627" s="94"/>
      <c r="C627" s="125" t="s">
        <v>666</v>
      </c>
      <c r="D627" s="15" t="s">
        <v>204</v>
      </c>
      <c r="E627" s="17">
        <v>8</v>
      </c>
      <c r="F627" s="17">
        <v>60</v>
      </c>
      <c r="G627" s="124">
        <v>14.4</v>
      </c>
      <c r="H627" s="14"/>
      <c r="I627" s="15" t="s">
        <v>681</v>
      </c>
    </row>
    <row r="628" spans="1:9" ht="15" customHeight="1">
      <c r="A628" s="123">
        <v>46055</v>
      </c>
      <c r="B628" s="94"/>
      <c r="C628" s="125" t="s">
        <v>666</v>
      </c>
      <c r="D628" s="15" t="s">
        <v>204</v>
      </c>
      <c r="E628" s="17">
        <v>113</v>
      </c>
      <c r="F628" s="17">
        <v>60</v>
      </c>
      <c r="G628" s="124">
        <v>203.4</v>
      </c>
      <c r="H628" s="14"/>
      <c r="I628" s="15" t="s">
        <v>745</v>
      </c>
    </row>
    <row r="629" spans="1:9" ht="15" customHeight="1">
      <c r="A629" s="123">
        <v>46055</v>
      </c>
      <c r="B629" s="94"/>
      <c r="C629" s="125" t="s">
        <v>666</v>
      </c>
      <c r="D629" s="15" t="s">
        <v>204</v>
      </c>
      <c r="E629" s="17">
        <v>42</v>
      </c>
      <c r="F629" s="17">
        <v>60</v>
      </c>
      <c r="G629" s="124">
        <v>151.19999999999999</v>
      </c>
      <c r="H629" s="14"/>
      <c r="I629" s="15" t="s">
        <v>728</v>
      </c>
    </row>
    <row r="630" spans="1:9" ht="15" customHeight="1">
      <c r="A630" s="123">
        <v>46055</v>
      </c>
      <c r="B630" s="94"/>
      <c r="C630" s="125" t="s">
        <v>666</v>
      </c>
      <c r="D630" s="15" t="s">
        <v>205</v>
      </c>
      <c r="E630" s="17">
        <v>1</v>
      </c>
      <c r="F630" s="17">
        <v>60</v>
      </c>
      <c r="G630" s="124">
        <v>0.9</v>
      </c>
      <c r="H630" s="14"/>
      <c r="I630" s="15" t="s">
        <v>729</v>
      </c>
    </row>
    <row r="631" spans="1:9" ht="15" customHeight="1">
      <c r="A631" s="123">
        <v>46055</v>
      </c>
      <c r="B631" s="94"/>
      <c r="C631" s="125" t="s">
        <v>666</v>
      </c>
      <c r="D631" s="15" t="s">
        <v>205</v>
      </c>
      <c r="E631" s="17">
        <v>9</v>
      </c>
      <c r="F631" s="17">
        <v>60</v>
      </c>
      <c r="G631" s="124">
        <v>16.2</v>
      </c>
      <c r="H631" s="14"/>
      <c r="I631" s="15" t="s">
        <v>682</v>
      </c>
    </row>
    <row r="632" spans="1:9" ht="15" customHeight="1">
      <c r="A632" s="123">
        <v>46055</v>
      </c>
      <c r="B632" s="94"/>
      <c r="C632" s="125" t="s">
        <v>666</v>
      </c>
      <c r="D632" s="15" t="s">
        <v>205</v>
      </c>
      <c r="E632" s="17">
        <v>12</v>
      </c>
      <c r="F632" s="17">
        <v>60</v>
      </c>
      <c r="G632" s="124">
        <v>43.2</v>
      </c>
      <c r="H632" s="14"/>
      <c r="I632" s="15" t="s">
        <v>746</v>
      </c>
    </row>
    <row r="633" spans="1:9" ht="15" customHeight="1">
      <c r="A633" s="123">
        <v>46055</v>
      </c>
      <c r="B633" s="94"/>
      <c r="C633" s="125" t="s">
        <v>666</v>
      </c>
      <c r="D633" s="15" t="s">
        <v>205</v>
      </c>
      <c r="E633" s="17">
        <v>648</v>
      </c>
      <c r="F633" s="17">
        <v>60</v>
      </c>
      <c r="G633" s="124">
        <v>583.20000000000005</v>
      </c>
      <c r="H633" s="14"/>
      <c r="I633" s="15" t="s">
        <v>744</v>
      </c>
    </row>
    <row r="634" spans="1:9" ht="15" customHeight="1">
      <c r="A634" s="123">
        <v>46055</v>
      </c>
      <c r="B634" s="94"/>
      <c r="C634" s="125" t="s">
        <v>666</v>
      </c>
      <c r="D634" s="15" t="s">
        <v>205</v>
      </c>
      <c r="E634" s="17">
        <v>113</v>
      </c>
      <c r="F634" s="17">
        <v>60</v>
      </c>
      <c r="G634" s="124">
        <v>203.4</v>
      </c>
      <c r="H634" s="14"/>
      <c r="I634" s="15" t="s">
        <v>745</v>
      </c>
    </row>
    <row r="635" spans="1:9" ht="15" customHeight="1">
      <c r="A635" s="123">
        <v>46055</v>
      </c>
      <c r="B635" s="94"/>
      <c r="C635" s="125" t="s">
        <v>666</v>
      </c>
      <c r="D635" s="15" t="s">
        <v>206</v>
      </c>
      <c r="E635" s="17">
        <v>3</v>
      </c>
      <c r="F635" s="17">
        <v>30</v>
      </c>
      <c r="G635" s="124">
        <v>5.4</v>
      </c>
      <c r="H635" s="14"/>
      <c r="I635" s="15" t="s">
        <v>683</v>
      </c>
    </row>
    <row r="636" spans="1:9" ht="15" customHeight="1">
      <c r="A636" s="123">
        <v>46055</v>
      </c>
      <c r="B636" s="94"/>
      <c r="C636" s="125" t="s">
        <v>666</v>
      </c>
      <c r="D636" s="15" t="s">
        <v>206</v>
      </c>
      <c r="E636" s="17">
        <v>1</v>
      </c>
      <c r="F636" s="17">
        <v>30</v>
      </c>
      <c r="G636" s="124">
        <v>0.9</v>
      </c>
      <c r="H636" s="14"/>
      <c r="I636" s="15" t="s">
        <v>718</v>
      </c>
    </row>
    <row r="637" spans="1:9" ht="15" customHeight="1">
      <c r="A637" s="123">
        <v>46055</v>
      </c>
      <c r="B637" s="94"/>
      <c r="C637" s="125" t="s">
        <v>666</v>
      </c>
      <c r="D637" s="15" t="s">
        <v>212</v>
      </c>
      <c r="E637" s="17">
        <v>2</v>
      </c>
      <c r="F637" s="17">
        <v>50</v>
      </c>
      <c r="G637" s="124">
        <v>0.5</v>
      </c>
      <c r="H637" s="14"/>
      <c r="I637" s="15" t="s">
        <v>739</v>
      </c>
    </row>
    <row r="638" spans="1:9" ht="15" customHeight="1">
      <c r="A638" s="123">
        <v>46055</v>
      </c>
      <c r="B638" s="94"/>
      <c r="C638" s="125" t="s">
        <v>666</v>
      </c>
      <c r="D638" s="15" t="s">
        <v>219</v>
      </c>
      <c r="E638" s="17">
        <v>2</v>
      </c>
      <c r="F638" s="17">
        <v>50</v>
      </c>
      <c r="G638" s="124">
        <v>0.1</v>
      </c>
      <c r="H638" s="14"/>
      <c r="I638" s="15" t="s">
        <v>700</v>
      </c>
    </row>
    <row r="639" spans="1:9" ht="15" customHeight="1">
      <c r="A639" s="123">
        <v>46055</v>
      </c>
      <c r="B639" s="94"/>
      <c r="C639" s="125" t="s">
        <v>666</v>
      </c>
      <c r="D639" s="15" t="s">
        <v>219</v>
      </c>
      <c r="E639" s="17">
        <v>4</v>
      </c>
      <c r="F639" s="17">
        <v>50</v>
      </c>
      <c r="G639" s="124">
        <v>0.2</v>
      </c>
      <c r="H639" s="14"/>
      <c r="I639" s="15" t="s">
        <v>671</v>
      </c>
    </row>
    <row r="640" spans="1:9" ht="15" customHeight="1">
      <c r="A640" s="123">
        <v>46055</v>
      </c>
      <c r="B640" s="94"/>
      <c r="C640" s="125" t="s">
        <v>666</v>
      </c>
      <c r="D640" s="15" t="s">
        <v>220</v>
      </c>
      <c r="E640" s="17">
        <v>70</v>
      </c>
      <c r="F640" s="17">
        <v>50</v>
      </c>
      <c r="G640" s="124">
        <v>3.5</v>
      </c>
      <c r="H640" s="14"/>
      <c r="I640" s="15" t="s">
        <v>738</v>
      </c>
    </row>
    <row r="641" spans="1:9" ht="15" customHeight="1">
      <c r="A641" s="123">
        <v>46055</v>
      </c>
      <c r="B641" s="15" t="s">
        <v>719</v>
      </c>
      <c r="C641" s="14" t="s">
        <v>657</v>
      </c>
      <c r="D641" s="15" t="s">
        <v>149</v>
      </c>
      <c r="E641" s="17">
        <v>17</v>
      </c>
      <c r="F641" s="17">
        <v>360</v>
      </c>
      <c r="G641" s="124">
        <v>6.12</v>
      </c>
      <c r="H641" s="14"/>
      <c r="I641" s="15" t="s">
        <v>720</v>
      </c>
    </row>
    <row r="642" spans="1:9" ht="15" customHeight="1">
      <c r="A642" s="123">
        <v>46055</v>
      </c>
      <c r="B642" s="15" t="s">
        <v>719</v>
      </c>
      <c r="C642" s="14" t="s">
        <v>657</v>
      </c>
      <c r="D642" s="15" t="s">
        <v>151</v>
      </c>
      <c r="E642" s="17">
        <v>8</v>
      </c>
      <c r="F642" s="17">
        <v>360</v>
      </c>
      <c r="G642" s="124">
        <v>2.88</v>
      </c>
      <c r="H642" s="14"/>
      <c r="I642" s="15" t="s">
        <v>722</v>
      </c>
    </row>
    <row r="643" spans="1:9" ht="15" customHeight="1">
      <c r="A643" s="123">
        <v>46055</v>
      </c>
      <c r="B643" s="15" t="s">
        <v>719</v>
      </c>
      <c r="C643" s="14" t="s">
        <v>657</v>
      </c>
      <c r="D643" s="15" t="s">
        <v>153</v>
      </c>
      <c r="E643" s="17">
        <v>25</v>
      </c>
      <c r="F643" s="17">
        <v>360</v>
      </c>
      <c r="G643" s="124">
        <v>9</v>
      </c>
      <c r="H643" s="14"/>
      <c r="I643" s="15" t="s">
        <v>724</v>
      </c>
    </row>
    <row r="644" spans="1:9" ht="15" customHeight="1">
      <c r="A644" s="123">
        <v>46055</v>
      </c>
      <c r="B644" s="15" t="s">
        <v>719</v>
      </c>
      <c r="C644" s="14" t="s">
        <v>657</v>
      </c>
      <c r="D644" s="15" t="s">
        <v>154</v>
      </c>
      <c r="E644" s="17">
        <v>23</v>
      </c>
      <c r="F644" s="17">
        <v>360</v>
      </c>
      <c r="G644" s="124">
        <v>8.2799999999999994</v>
      </c>
      <c r="H644" s="14"/>
      <c r="I644" s="15" t="s">
        <v>725</v>
      </c>
    </row>
    <row r="645" spans="1:9" ht="15" customHeight="1">
      <c r="A645" s="123">
        <v>46055</v>
      </c>
      <c r="B645" s="15" t="s">
        <v>730</v>
      </c>
      <c r="C645" s="14" t="s">
        <v>657</v>
      </c>
      <c r="D645" s="15" t="s">
        <v>149</v>
      </c>
      <c r="E645" s="17">
        <v>1</v>
      </c>
      <c r="F645" s="17">
        <v>360</v>
      </c>
      <c r="G645" s="124">
        <v>0.36</v>
      </c>
      <c r="H645" s="14"/>
      <c r="I645" s="15" t="s">
        <v>731</v>
      </c>
    </row>
    <row r="646" spans="1:9" ht="15" customHeight="1">
      <c r="A646" s="123">
        <v>46055</v>
      </c>
      <c r="B646" s="15" t="s">
        <v>730</v>
      </c>
      <c r="C646" s="14" t="s">
        <v>657</v>
      </c>
      <c r="D646" s="15" t="s">
        <v>151</v>
      </c>
      <c r="E646" s="17">
        <v>3</v>
      </c>
      <c r="F646" s="17">
        <v>360</v>
      </c>
      <c r="G646" s="124">
        <v>1.08</v>
      </c>
      <c r="H646" s="14"/>
      <c r="I646" s="15" t="s">
        <v>733</v>
      </c>
    </row>
    <row r="647" spans="1:9" ht="15" customHeight="1">
      <c r="A647" s="123">
        <v>46055</v>
      </c>
      <c r="B647" s="15" t="s">
        <v>730</v>
      </c>
      <c r="C647" s="14" t="s">
        <v>657</v>
      </c>
      <c r="D647" s="15" t="s">
        <v>153</v>
      </c>
      <c r="E647" s="17">
        <v>2</v>
      </c>
      <c r="F647" s="17">
        <v>360</v>
      </c>
      <c r="G647" s="124">
        <v>0.72</v>
      </c>
      <c r="H647" s="14"/>
      <c r="I647" s="15" t="s">
        <v>735</v>
      </c>
    </row>
    <row r="648" spans="1:9" ht="15" customHeight="1">
      <c r="A648" s="123">
        <v>46055</v>
      </c>
      <c r="B648" s="15" t="s">
        <v>730</v>
      </c>
      <c r="C648" s="14" t="s">
        <v>657</v>
      </c>
      <c r="D648" s="15" t="s">
        <v>154</v>
      </c>
      <c r="E648" s="17">
        <v>4</v>
      </c>
      <c r="F648" s="17">
        <v>360</v>
      </c>
      <c r="G648" s="124">
        <v>1.44</v>
      </c>
      <c r="H648" s="14"/>
      <c r="I648" s="15" t="s">
        <v>736</v>
      </c>
    </row>
    <row r="649" spans="1:9" ht="15" customHeight="1">
      <c r="A649" s="123">
        <v>46056</v>
      </c>
      <c r="B649" s="94"/>
      <c r="C649" s="125" t="s">
        <v>666</v>
      </c>
      <c r="D649" s="15" t="s">
        <v>142</v>
      </c>
      <c r="E649" s="17">
        <v>10</v>
      </c>
      <c r="F649" s="17">
        <v>50</v>
      </c>
      <c r="G649" s="124">
        <v>0.5</v>
      </c>
      <c r="H649" s="14"/>
      <c r="I649" s="15" t="s">
        <v>668</v>
      </c>
    </row>
    <row r="650" spans="1:9" ht="15" customHeight="1">
      <c r="A650" s="123">
        <v>46056</v>
      </c>
      <c r="B650" s="94"/>
      <c r="C650" s="125" t="s">
        <v>666</v>
      </c>
      <c r="D650" s="15" t="s">
        <v>143</v>
      </c>
      <c r="E650" s="17">
        <v>11</v>
      </c>
      <c r="F650" s="17">
        <v>50</v>
      </c>
      <c r="G650" s="124">
        <v>11</v>
      </c>
      <c r="H650" s="14"/>
      <c r="I650" s="15" t="s">
        <v>669</v>
      </c>
    </row>
    <row r="651" spans="1:9" ht="15" customHeight="1">
      <c r="A651" s="123">
        <v>46056</v>
      </c>
      <c r="B651" s="94"/>
      <c r="C651" s="125" t="s">
        <v>666</v>
      </c>
      <c r="D651" s="15" t="s">
        <v>143</v>
      </c>
      <c r="E651" s="17">
        <v>1</v>
      </c>
      <c r="F651" s="17">
        <v>50</v>
      </c>
      <c r="G651" s="124">
        <v>2</v>
      </c>
      <c r="H651" s="14"/>
      <c r="I651" s="15" t="s">
        <v>670</v>
      </c>
    </row>
    <row r="652" spans="1:9" ht="15" customHeight="1">
      <c r="A652" s="123">
        <v>46056</v>
      </c>
      <c r="B652" s="94"/>
      <c r="C652" s="125" t="s">
        <v>666</v>
      </c>
      <c r="D652" s="15" t="s">
        <v>143</v>
      </c>
      <c r="E652" s="17">
        <v>1</v>
      </c>
      <c r="F652" s="17">
        <v>50</v>
      </c>
      <c r="G652" s="124">
        <v>0.25</v>
      </c>
      <c r="H652" s="14"/>
      <c r="I652" s="15" t="s">
        <v>739</v>
      </c>
    </row>
    <row r="653" spans="1:9" ht="15" customHeight="1">
      <c r="A653" s="123">
        <v>46056</v>
      </c>
      <c r="B653" s="94"/>
      <c r="C653" s="125" t="s">
        <v>666</v>
      </c>
      <c r="D653" s="15" t="s">
        <v>143</v>
      </c>
      <c r="E653" s="17">
        <v>10</v>
      </c>
      <c r="F653" s="17">
        <v>50</v>
      </c>
      <c r="G653" s="124">
        <v>0.5</v>
      </c>
      <c r="H653" s="14"/>
      <c r="I653" s="15" t="s">
        <v>727</v>
      </c>
    </row>
    <row r="654" spans="1:9" ht="15" customHeight="1">
      <c r="A654" s="123">
        <v>46056</v>
      </c>
      <c r="B654" s="94"/>
      <c r="C654" s="125" t="s">
        <v>666</v>
      </c>
      <c r="D654" s="15" t="s">
        <v>144</v>
      </c>
      <c r="E654" s="17">
        <v>2</v>
      </c>
      <c r="F654" s="17">
        <v>1000</v>
      </c>
      <c r="G654" s="124">
        <v>4</v>
      </c>
      <c r="H654" s="14"/>
      <c r="I654" s="15" t="s">
        <v>672</v>
      </c>
    </row>
    <row r="655" spans="1:9" ht="15" customHeight="1">
      <c r="A655" s="123">
        <v>46056</v>
      </c>
      <c r="B655" s="94"/>
      <c r="C655" s="125" t="s">
        <v>666</v>
      </c>
      <c r="D655" s="15" t="s">
        <v>145</v>
      </c>
      <c r="E655" s="17">
        <v>10</v>
      </c>
      <c r="F655" s="17">
        <v>50</v>
      </c>
      <c r="G655" s="124">
        <v>0.5</v>
      </c>
      <c r="H655" s="14"/>
      <c r="I655" s="15" t="s">
        <v>727</v>
      </c>
    </row>
    <row r="656" spans="1:9" ht="15" customHeight="1">
      <c r="A656" s="123">
        <v>46056</v>
      </c>
      <c r="B656" s="94"/>
      <c r="C656" s="125" t="s">
        <v>666</v>
      </c>
      <c r="D656" s="15" t="s">
        <v>146</v>
      </c>
      <c r="E656" s="17">
        <v>10</v>
      </c>
      <c r="F656" s="17">
        <v>50</v>
      </c>
      <c r="G656" s="124">
        <v>0.5</v>
      </c>
      <c r="H656" s="14"/>
      <c r="I656" s="15" t="s">
        <v>668</v>
      </c>
    </row>
    <row r="657" spans="1:9" ht="15" customHeight="1">
      <c r="A657" s="123">
        <v>46056</v>
      </c>
      <c r="B657" s="94"/>
      <c r="C657" s="125" t="s">
        <v>666</v>
      </c>
      <c r="D657" s="15" t="s">
        <v>147</v>
      </c>
      <c r="E657" s="17">
        <v>10</v>
      </c>
      <c r="F657" s="17">
        <v>50</v>
      </c>
      <c r="G657" s="124">
        <v>0.5</v>
      </c>
      <c r="H657" s="14"/>
      <c r="I657" s="15" t="s">
        <v>668</v>
      </c>
    </row>
    <row r="658" spans="1:9" ht="15" customHeight="1">
      <c r="A658" s="123">
        <v>46056</v>
      </c>
      <c r="B658" s="94"/>
      <c r="C658" s="125" t="s">
        <v>666</v>
      </c>
      <c r="D658" s="15" t="s">
        <v>148</v>
      </c>
      <c r="E658" s="17">
        <v>8</v>
      </c>
      <c r="F658" s="17">
        <v>50</v>
      </c>
      <c r="G658" s="124">
        <v>0.4</v>
      </c>
      <c r="H658" s="14"/>
      <c r="I658" s="15" t="s">
        <v>727</v>
      </c>
    </row>
    <row r="659" spans="1:9" ht="15" customHeight="1">
      <c r="A659" s="123">
        <v>46056</v>
      </c>
      <c r="B659" s="94"/>
      <c r="C659" s="125" t="s">
        <v>666</v>
      </c>
      <c r="D659" s="15" t="s">
        <v>155</v>
      </c>
      <c r="E659" s="17">
        <v>1</v>
      </c>
      <c r="F659" s="17">
        <v>80</v>
      </c>
      <c r="G659" s="124">
        <v>1.2</v>
      </c>
      <c r="H659" s="14"/>
      <c r="I659" s="94" t="s">
        <v>741</v>
      </c>
    </row>
    <row r="660" spans="1:9" ht="15" customHeight="1">
      <c r="A660" s="123">
        <v>46056</v>
      </c>
      <c r="B660" s="94"/>
      <c r="C660" s="125" t="s">
        <v>666</v>
      </c>
      <c r="D660" s="15" t="s">
        <v>155</v>
      </c>
      <c r="E660" s="17">
        <v>38</v>
      </c>
      <c r="F660" s="17">
        <v>80</v>
      </c>
      <c r="G660" s="124">
        <v>60.8</v>
      </c>
      <c r="H660" s="14"/>
      <c r="I660" s="94" t="s">
        <v>673</v>
      </c>
    </row>
    <row r="661" spans="1:9" ht="15" customHeight="1">
      <c r="A661" s="123">
        <v>46056</v>
      </c>
      <c r="B661" s="94"/>
      <c r="C661" s="125" t="s">
        <v>666</v>
      </c>
      <c r="D661" s="15" t="s">
        <v>155</v>
      </c>
      <c r="E661" s="17">
        <v>1</v>
      </c>
      <c r="F661" s="17">
        <v>80</v>
      </c>
      <c r="G661" s="124">
        <v>1.2</v>
      </c>
      <c r="H661" s="14"/>
      <c r="I661" s="15" t="s">
        <v>742</v>
      </c>
    </row>
    <row r="662" spans="1:9" ht="15" customHeight="1">
      <c r="A662" s="123">
        <v>46056</v>
      </c>
      <c r="B662" s="94"/>
      <c r="C662" s="125" t="s">
        <v>666</v>
      </c>
      <c r="D662" s="15" t="s">
        <v>155</v>
      </c>
      <c r="E662" s="17">
        <v>1</v>
      </c>
      <c r="F662" s="17">
        <v>80</v>
      </c>
      <c r="G662" s="124">
        <v>1.6</v>
      </c>
      <c r="H662" s="14"/>
      <c r="I662" s="15" t="s">
        <v>743</v>
      </c>
    </row>
    <row r="663" spans="1:9" ht="15" customHeight="1">
      <c r="A663" s="123">
        <v>46056</v>
      </c>
      <c r="B663" s="94"/>
      <c r="C663" s="125" t="s">
        <v>666</v>
      </c>
      <c r="D663" s="15" t="s">
        <v>159</v>
      </c>
      <c r="E663" s="17">
        <v>8</v>
      </c>
      <c r="F663" s="17">
        <v>50</v>
      </c>
      <c r="G663" s="124">
        <v>0.4</v>
      </c>
      <c r="H663" s="14"/>
      <c r="I663" s="15" t="s">
        <v>727</v>
      </c>
    </row>
    <row r="664" spans="1:9" ht="15" customHeight="1">
      <c r="A664" s="123">
        <v>46056</v>
      </c>
      <c r="B664" s="94"/>
      <c r="C664" s="125" t="s">
        <v>666</v>
      </c>
      <c r="D664" s="15" t="s">
        <v>161</v>
      </c>
      <c r="E664" s="17">
        <v>2</v>
      </c>
      <c r="F664" s="17">
        <v>1000</v>
      </c>
      <c r="G664" s="124">
        <v>2</v>
      </c>
      <c r="H664" s="14"/>
      <c r="I664" s="15" t="s">
        <v>701</v>
      </c>
    </row>
    <row r="665" spans="1:9" ht="15" customHeight="1">
      <c r="A665" s="123">
        <v>46056</v>
      </c>
      <c r="B665" s="94"/>
      <c r="C665" s="125" t="s">
        <v>666</v>
      </c>
      <c r="D665" s="15" t="s">
        <v>169</v>
      </c>
      <c r="E665" s="17">
        <v>1</v>
      </c>
      <c r="F665" s="17">
        <v>1000</v>
      </c>
      <c r="G665" s="124">
        <v>1</v>
      </c>
      <c r="H665" s="14"/>
      <c r="I665" s="15" t="s">
        <v>706</v>
      </c>
    </row>
    <row r="666" spans="1:9" ht="15" customHeight="1">
      <c r="A666" s="123">
        <v>46056</v>
      </c>
      <c r="B666" s="94"/>
      <c r="C666" s="125" t="s">
        <v>666</v>
      </c>
      <c r="D666" s="15" t="s">
        <v>173</v>
      </c>
      <c r="E666" s="17">
        <v>1</v>
      </c>
      <c r="F666" s="17">
        <v>50</v>
      </c>
      <c r="G666" s="124">
        <v>0.25</v>
      </c>
      <c r="H666" s="14"/>
      <c r="I666" s="15" t="s">
        <v>739</v>
      </c>
    </row>
    <row r="667" spans="1:9" ht="15" customHeight="1">
      <c r="A667" s="123">
        <v>46056</v>
      </c>
      <c r="B667" s="94"/>
      <c r="C667" s="125" t="s">
        <v>666</v>
      </c>
      <c r="D667" s="15" t="s">
        <v>174</v>
      </c>
      <c r="E667" s="17">
        <v>2</v>
      </c>
      <c r="F667" s="17">
        <v>1000</v>
      </c>
      <c r="G667" s="124">
        <v>2</v>
      </c>
      <c r="H667" s="14"/>
      <c r="I667" s="15" t="s">
        <v>701</v>
      </c>
    </row>
    <row r="668" spans="1:9" ht="15" customHeight="1">
      <c r="A668" s="123">
        <v>46056</v>
      </c>
      <c r="B668" s="94"/>
      <c r="C668" s="125" t="s">
        <v>666</v>
      </c>
      <c r="D668" s="15" t="s">
        <v>174</v>
      </c>
      <c r="E668" s="17">
        <v>2</v>
      </c>
      <c r="F668" s="17">
        <v>1000</v>
      </c>
      <c r="G668" s="124">
        <v>4</v>
      </c>
      <c r="H668" s="14"/>
      <c r="I668" s="15" t="s">
        <v>717</v>
      </c>
    </row>
    <row r="669" spans="1:9" ht="15" customHeight="1">
      <c r="A669" s="123">
        <v>46056</v>
      </c>
      <c r="B669" s="94"/>
      <c r="C669" s="125" t="s">
        <v>666</v>
      </c>
      <c r="D669" s="15" t="s">
        <v>181</v>
      </c>
      <c r="E669" s="17">
        <v>1</v>
      </c>
      <c r="F669" s="17">
        <v>1000</v>
      </c>
      <c r="G669" s="124">
        <v>2</v>
      </c>
      <c r="H669" s="14"/>
      <c r="I669" s="94" t="s">
        <v>747</v>
      </c>
    </row>
    <row r="670" spans="1:9" ht="15" customHeight="1">
      <c r="A670" s="123">
        <v>46056</v>
      </c>
      <c r="B670" s="94"/>
      <c r="C670" s="125" t="s">
        <v>666</v>
      </c>
      <c r="D670" s="15" t="s">
        <v>183</v>
      </c>
      <c r="E670" s="17">
        <v>5</v>
      </c>
      <c r="F670" s="17">
        <v>60</v>
      </c>
      <c r="G670" s="124">
        <v>9</v>
      </c>
      <c r="H670" s="14"/>
      <c r="I670" s="15" t="s">
        <v>676</v>
      </c>
    </row>
    <row r="671" spans="1:9" ht="15" customHeight="1">
      <c r="A671" s="123">
        <v>46056</v>
      </c>
      <c r="B671" s="94"/>
      <c r="C671" s="125" t="s">
        <v>666</v>
      </c>
      <c r="D671" s="15" t="s">
        <v>184</v>
      </c>
      <c r="E671" s="17">
        <v>10</v>
      </c>
      <c r="F671" s="17">
        <v>50</v>
      </c>
      <c r="G671" s="124">
        <v>0.5</v>
      </c>
      <c r="H671" s="14"/>
      <c r="I671" s="15" t="s">
        <v>727</v>
      </c>
    </row>
    <row r="672" spans="1:9" ht="15" customHeight="1">
      <c r="A672" s="123">
        <v>46056</v>
      </c>
      <c r="B672" s="94"/>
      <c r="C672" s="125" t="s">
        <v>666</v>
      </c>
      <c r="D672" s="15" t="s">
        <v>186</v>
      </c>
      <c r="E672" s="17">
        <v>8</v>
      </c>
      <c r="F672" s="17">
        <v>50</v>
      </c>
      <c r="G672" s="124">
        <v>0.4</v>
      </c>
      <c r="H672" s="14"/>
      <c r="I672" s="15" t="s">
        <v>727</v>
      </c>
    </row>
    <row r="673" spans="1:9" ht="15" customHeight="1">
      <c r="A673" s="123">
        <v>46056</v>
      </c>
      <c r="B673" s="94"/>
      <c r="C673" s="125" t="s">
        <v>666</v>
      </c>
      <c r="D673" s="15" t="s">
        <v>192</v>
      </c>
      <c r="E673" s="17">
        <v>10</v>
      </c>
      <c r="F673" s="17">
        <v>50</v>
      </c>
      <c r="G673" s="124">
        <v>0.5</v>
      </c>
      <c r="H673" s="14"/>
      <c r="I673" s="15" t="s">
        <v>727</v>
      </c>
    </row>
    <row r="674" spans="1:9" ht="15" customHeight="1">
      <c r="A674" s="123">
        <v>46056</v>
      </c>
      <c r="B674" s="94"/>
      <c r="C674" s="125" t="s">
        <v>666</v>
      </c>
      <c r="D674" s="15" t="s">
        <v>195</v>
      </c>
      <c r="E674" s="17">
        <v>8</v>
      </c>
      <c r="F674" s="17">
        <v>50</v>
      </c>
      <c r="G674" s="124">
        <v>0.4</v>
      </c>
      <c r="H674" s="14"/>
      <c r="I674" s="15" t="s">
        <v>727</v>
      </c>
    </row>
    <row r="675" spans="1:9" ht="15" customHeight="1">
      <c r="A675" s="123">
        <v>46056</v>
      </c>
      <c r="B675" s="94"/>
      <c r="C675" s="125" t="s">
        <v>666</v>
      </c>
      <c r="D675" s="15" t="s">
        <v>222</v>
      </c>
      <c r="E675" s="17">
        <v>4</v>
      </c>
      <c r="F675" s="17">
        <v>40</v>
      </c>
      <c r="G675" s="124">
        <v>3.2</v>
      </c>
      <c r="H675" s="14"/>
      <c r="I675" s="15" t="s">
        <v>679</v>
      </c>
    </row>
    <row r="676" spans="1:9" ht="15" customHeight="1">
      <c r="A676" s="123">
        <v>46056</v>
      </c>
      <c r="B676" s="94"/>
      <c r="C676" s="125" t="s">
        <v>666</v>
      </c>
      <c r="D676" s="15" t="s">
        <v>204</v>
      </c>
      <c r="E676" s="17">
        <v>2</v>
      </c>
      <c r="F676" s="17">
        <v>1000</v>
      </c>
      <c r="G676" s="124">
        <v>3.6</v>
      </c>
      <c r="H676" s="14"/>
      <c r="I676" s="15" t="s">
        <v>690</v>
      </c>
    </row>
    <row r="677" spans="1:9" ht="15" customHeight="1">
      <c r="A677" s="123">
        <v>46056</v>
      </c>
      <c r="B677" s="94"/>
      <c r="C677" s="125" t="s">
        <v>666</v>
      </c>
      <c r="D677" s="15" t="s">
        <v>204</v>
      </c>
      <c r="E677" s="17">
        <v>1</v>
      </c>
      <c r="F677" s="17">
        <v>60</v>
      </c>
      <c r="G677" s="124">
        <v>1.8</v>
      </c>
      <c r="H677" s="14"/>
      <c r="I677" s="15" t="s">
        <v>681</v>
      </c>
    </row>
    <row r="678" spans="1:9" ht="15" customHeight="1">
      <c r="A678" s="123">
        <v>46056</v>
      </c>
      <c r="B678" s="94"/>
      <c r="C678" s="125" t="s">
        <v>666</v>
      </c>
      <c r="D678" s="15" t="s">
        <v>204</v>
      </c>
      <c r="E678" s="17">
        <v>22</v>
      </c>
      <c r="F678" s="17">
        <v>60</v>
      </c>
      <c r="G678" s="124">
        <v>39.6</v>
      </c>
      <c r="H678" s="14"/>
      <c r="I678" s="15" t="s">
        <v>745</v>
      </c>
    </row>
    <row r="679" spans="1:9" ht="15" customHeight="1">
      <c r="A679" s="123">
        <v>46056</v>
      </c>
      <c r="B679" s="94"/>
      <c r="C679" s="125" t="s">
        <v>666</v>
      </c>
      <c r="D679" s="15" t="s">
        <v>204</v>
      </c>
      <c r="E679" s="17">
        <v>8</v>
      </c>
      <c r="F679" s="17">
        <v>60</v>
      </c>
      <c r="G679" s="124">
        <v>28.8</v>
      </c>
      <c r="H679" s="14"/>
      <c r="I679" s="15" t="s">
        <v>728</v>
      </c>
    </row>
    <row r="680" spans="1:9" ht="15" customHeight="1">
      <c r="A680" s="123">
        <v>46056</v>
      </c>
      <c r="B680" s="94"/>
      <c r="C680" s="125" t="s">
        <v>666</v>
      </c>
      <c r="D680" s="15" t="s">
        <v>205</v>
      </c>
      <c r="E680" s="17">
        <v>3</v>
      </c>
      <c r="F680" s="17">
        <v>60</v>
      </c>
      <c r="G680" s="124">
        <v>10.8</v>
      </c>
      <c r="H680" s="14"/>
      <c r="I680" s="15" t="s">
        <v>746</v>
      </c>
    </row>
    <row r="681" spans="1:9" ht="15" customHeight="1">
      <c r="A681" s="123">
        <v>46056</v>
      </c>
      <c r="B681" s="94"/>
      <c r="C681" s="125" t="s">
        <v>666</v>
      </c>
      <c r="D681" s="15" t="s">
        <v>205</v>
      </c>
      <c r="E681" s="17">
        <v>22</v>
      </c>
      <c r="F681" s="17">
        <v>60</v>
      </c>
      <c r="G681" s="124">
        <v>39.6</v>
      </c>
      <c r="H681" s="14"/>
      <c r="I681" s="15" t="s">
        <v>745</v>
      </c>
    </row>
    <row r="682" spans="1:9" ht="15" customHeight="1">
      <c r="A682" s="123">
        <v>46056</v>
      </c>
      <c r="B682" s="94"/>
      <c r="C682" s="125" t="s">
        <v>666</v>
      </c>
      <c r="D682" s="15" t="s">
        <v>212</v>
      </c>
      <c r="E682" s="17">
        <v>1</v>
      </c>
      <c r="F682" s="17">
        <v>50</v>
      </c>
      <c r="G682" s="124">
        <v>0.25</v>
      </c>
      <c r="H682" s="14"/>
      <c r="I682" s="15" t="s">
        <v>739</v>
      </c>
    </row>
    <row r="683" spans="1:9" ht="15" customHeight="1">
      <c r="A683" s="123">
        <v>46056</v>
      </c>
      <c r="B683" s="94"/>
      <c r="C683" s="125" t="s">
        <v>666</v>
      </c>
      <c r="D683" s="15" t="s">
        <v>212</v>
      </c>
      <c r="E683" s="17">
        <v>1</v>
      </c>
      <c r="F683" s="17">
        <v>50</v>
      </c>
      <c r="G683" s="124">
        <v>0.5</v>
      </c>
      <c r="H683" s="14"/>
      <c r="I683" s="15" t="s">
        <v>698</v>
      </c>
    </row>
    <row r="684" spans="1:9" ht="15" customHeight="1">
      <c r="A684" s="123">
        <v>46056</v>
      </c>
      <c r="B684" s="94"/>
      <c r="C684" s="125" t="s">
        <v>666</v>
      </c>
      <c r="D684" s="15" t="s">
        <v>219</v>
      </c>
      <c r="E684" s="17">
        <v>8</v>
      </c>
      <c r="F684" s="17">
        <v>50</v>
      </c>
      <c r="G684" s="124">
        <v>0.4</v>
      </c>
      <c r="H684" s="14"/>
      <c r="I684" s="15" t="s">
        <v>727</v>
      </c>
    </row>
    <row r="685" spans="1:9" ht="15" customHeight="1">
      <c r="A685" s="123">
        <v>46056</v>
      </c>
      <c r="B685" s="94"/>
      <c r="C685" s="125" t="s">
        <v>666</v>
      </c>
      <c r="D685" s="15" t="s">
        <v>220</v>
      </c>
      <c r="E685" s="17">
        <v>10</v>
      </c>
      <c r="F685" s="17">
        <v>50</v>
      </c>
      <c r="G685" s="124">
        <v>0.5</v>
      </c>
      <c r="H685" s="14"/>
      <c r="I685" s="15" t="s">
        <v>668</v>
      </c>
    </row>
    <row r="686" spans="1:9" ht="15" customHeight="1">
      <c r="A686" s="123">
        <v>46056</v>
      </c>
      <c r="B686" s="15" t="s">
        <v>719</v>
      </c>
      <c r="C686" s="14" t="s">
        <v>657</v>
      </c>
      <c r="D686" s="15" t="s">
        <v>149</v>
      </c>
      <c r="E686" s="17">
        <v>4</v>
      </c>
      <c r="F686" s="17">
        <v>360</v>
      </c>
      <c r="G686" s="124">
        <v>1.44</v>
      </c>
      <c r="H686" s="14"/>
      <c r="I686" s="15" t="s">
        <v>720</v>
      </c>
    </row>
    <row r="687" spans="1:9" ht="15" customHeight="1">
      <c r="A687" s="123">
        <v>46056</v>
      </c>
      <c r="B687" s="15" t="s">
        <v>719</v>
      </c>
      <c r="C687" s="14" t="s">
        <v>657</v>
      </c>
      <c r="D687" s="15" t="s">
        <v>149</v>
      </c>
      <c r="E687" s="17">
        <v>4</v>
      </c>
      <c r="F687" s="17">
        <v>360</v>
      </c>
      <c r="G687" s="124">
        <v>1.44</v>
      </c>
      <c r="H687" s="14"/>
      <c r="I687" s="15" t="s">
        <v>720</v>
      </c>
    </row>
    <row r="688" spans="1:9" ht="15" customHeight="1">
      <c r="A688" s="123">
        <v>46056</v>
      </c>
      <c r="B688" s="15" t="s">
        <v>719</v>
      </c>
      <c r="C688" s="14" t="s">
        <v>657</v>
      </c>
      <c r="D688" s="15" t="s">
        <v>151</v>
      </c>
      <c r="E688" s="17">
        <v>4</v>
      </c>
      <c r="F688" s="17">
        <v>360</v>
      </c>
      <c r="G688" s="124">
        <v>1.44</v>
      </c>
      <c r="H688" s="14"/>
      <c r="I688" s="15" t="s">
        <v>722</v>
      </c>
    </row>
    <row r="689" spans="1:9" ht="15" customHeight="1">
      <c r="A689" s="123">
        <v>46056</v>
      </c>
      <c r="B689" s="15" t="s">
        <v>719</v>
      </c>
      <c r="C689" s="14" t="s">
        <v>657</v>
      </c>
      <c r="D689" s="15" t="s">
        <v>151</v>
      </c>
      <c r="E689" s="17">
        <v>4</v>
      </c>
      <c r="F689" s="17">
        <v>360</v>
      </c>
      <c r="G689" s="124">
        <v>1.44</v>
      </c>
      <c r="H689" s="14"/>
      <c r="I689" s="15" t="s">
        <v>722</v>
      </c>
    </row>
    <row r="690" spans="1:9" ht="15" customHeight="1">
      <c r="A690" s="123">
        <v>46056</v>
      </c>
      <c r="B690" s="15" t="s">
        <v>719</v>
      </c>
      <c r="C690" s="14" t="s">
        <v>657</v>
      </c>
      <c r="D690" s="15" t="s">
        <v>153</v>
      </c>
      <c r="E690" s="17">
        <v>6</v>
      </c>
      <c r="F690" s="17">
        <v>360</v>
      </c>
      <c r="G690" s="124">
        <v>2.16</v>
      </c>
      <c r="H690" s="14"/>
      <c r="I690" s="15" t="s">
        <v>724</v>
      </c>
    </row>
    <row r="691" spans="1:9" ht="15" customHeight="1">
      <c r="A691" s="123">
        <v>46056</v>
      </c>
      <c r="B691" s="15" t="s">
        <v>719</v>
      </c>
      <c r="C691" s="14" t="s">
        <v>657</v>
      </c>
      <c r="D691" s="15" t="s">
        <v>153</v>
      </c>
      <c r="E691" s="17">
        <v>6</v>
      </c>
      <c r="F691" s="17">
        <v>360</v>
      </c>
      <c r="G691" s="124">
        <v>2.16</v>
      </c>
      <c r="H691" s="14"/>
      <c r="I691" s="15" t="s">
        <v>724</v>
      </c>
    </row>
    <row r="692" spans="1:9" ht="15" customHeight="1">
      <c r="A692" s="123">
        <v>46056</v>
      </c>
      <c r="B692" s="15" t="s">
        <v>719</v>
      </c>
      <c r="C692" s="14" t="s">
        <v>657</v>
      </c>
      <c r="D692" s="15" t="s">
        <v>154</v>
      </c>
      <c r="E692" s="17">
        <v>4</v>
      </c>
      <c r="F692" s="17">
        <v>360</v>
      </c>
      <c r="G692" s="124">
        <v>1.44</v>
      </c>
      <c r="H692" s="14"/>
      <c r="I692" s="15" t="s">
        <v>725</v>
      </c>
    </row>
    <row r="693" spans="1:9" ht="15" customHeight="1">
      <c r="A693" s="123">
        <v>46056</v>
      </c>
      <c r="B693" s="15" t="s">
        <v>719</v>
      </c>
      <c r="C693" s="14" t="s">
        <v>657</v>
      </c>
      <c r="D693" s="15" t="s">
        <v>154</v>
      </c>
      <c r="E693" s="17">
        <v>4</v>
      </c>
      <c r="F693" s="17">
        <v>360</v>
      </c>
      <c r="G693" s="124">
        <v>1.44</v>
      </c>
      <c r="H693" s="14"/>
      <c r="I693" s="15" t="s">
        <v>725</v>
      </c>
    </row>
    <row r="694" spans="1:9" ht="15" customHeight="1">
      <c r="A694" s="123">
        <v>46057</v>
      </c>
      <c r="B694" s="94"/>
      <c r="C694" s="125" t="s">
        <v>666</v>
      </c>
      <c r="D694" s="94" t="s">
        <v>141</v>
      </c>
      <c r="E694" s="17">
        <v>1</v>
      </c>
      <c r="F694" s="17">
        <v>60</v>
      </c>
      <c r="G694" s="124">
        <v>1.2</v>
      </c>
      <c r="H694" s="14"/>
      <c r="I694" s="15" t="s">
        <v>684</v>
      </c>
    </row>
    <row r="695" spans="1:9" ht="15" customHeight="1">
      <c r="A695" s="123">
        <v>46057</v>
      </c>
      <c r="B695" s="94"/>
      <c r="C695" s="125" t="s">
        <v>666</v>
      </c>
      <c r="D695" s="15" t="s">
        <v>142</v>
      </c>
      <c r="E695" s="17">
        <v>5</v>
      </c>
      <c r="F695" s="17">
        <v>50</v>
      </c>
      <c r="G695" s="124">
        <v>0.25</v>
      </c>
      <c r="H695" s="14"/>
      <c r="I695" s="15" t="s">
        <v>693</v>
      </c>
    </row>
    <row r="696" spans="1:9" ht="15" customHeight="1">
      <c r="A696" s="123">
        <v>46057</v>
      </c>
      <c r="B696" s="94"/>
      <c r="C696" s="125" t="s">
        <v>666</v>
      </c>
      <c r="D696" s="15" t="s">
        <v>143</v>
      </c>
      <c r="E696" s="17">
        <v>11</v>
      </c>
      <c r="F696" s="17">
        <v>50</v>
      </c>
      <c r="G696" s="124">
        <v>11</v>
      </c>
      <c r="H696" s="14"/>
      <c r="I696" s="15" t="s">
        <v>669</v>
      </c>
    </row>
    <row r="697" spans="1:9" ht="15" customHeight="1">
      <c r="A697" s="123">
        <v>46057</v>
      </c>
      <c r="B697" s="94"/>
      <c r="C697" s="125" t="s">
        <v>666</v>
      </c>
      <c r="D697" s="15" t="s">
        <v>143</v>
      </c>
      <c r="E697" s="17">
        <v>3</v>
      </c>
      <c r="F697" s="17">
        <v>50</v>
      </c>
      <c r="G697" s="124">
        <v>6</v>
      </c>
      <c r="H697" s="14"/>
      <c r="I697" s="15" t="s">
        <v>670</v>
      </c>
    </row>
    <row r="698" spans="1:9" ht="15" customHeight="1">
      <c r="A698" s="123">
        <v>46057</v>
      </c>
      <c r="B698" s="94"/>
      <c r="C698" s="125" t="s">
        <v>666</v>
      </c>
      <c r="D698" s="15" t="s">
        <v>143</v>
      </c>
      <c r="E698" s="17">
        <v>10</v>
      </c>
      <c r="F698" s="17">
        <v>50</v>
      </c>
      <c r="G698" s="124">
        <v>0.5</v>
      </c>
      <c r="H698" s="14"/>
      <c r="I698" s="15" t="s">
        <v>727</v>
      </c>
    </row>
    <row r="699" spans="1:9" ht="15" customHeight="1">
      <c r="A699" s="123">
        <v>46057</v>
      </c>
      <c r="B699" s="94"/>
      <c r="C699" s="125" t="s">
        <v>666</v>
      </c>
      <c r="D699" s="15" t="s">
        <v>144</v>
      </c>
      <c r="E699" s="17">
        <v>2</v>
      </c>
      <c r="F699" s="17">
        <v>1000</v>
      </c>
      <c r="G699" s="124">
        <v>2</v>
      </c>
      <c r="H699" s="14"/>
      <c r="I699" s="15" t="s">
        <v>686</v>
      </c>
    </row>
    <row r="700" spans="1:9" ht="15" customHeight="1">
      <c r="A700" s="123">
        <v>46057</v>
      </c>
      <c r="B700" s="94"/>
      <c r="C700" s="125" t="s">
        <v>666</v>
      </c>
      <c r="D700" s="15" t="s">
        <v>144</v>
      </c>
      <c r="E700" s="17">
        <v>7</v>
      </c>
      <c r="F700" s="17">
        <v>1000</v>
      </c>
      <c r="G700" s="124">
        <v>14</v>
      </c>
      <c r="H700" s="14"/>
      <c r="I700" s="15" t="s">
        <v>672</v>
      </c>
    </row>
    <row r="701" spans="1:9" ht="15" customHeight="1">
      <c r="A701" s="123">
        <v>46057</v>
      </c>
      <c r="B701" s="94"/>
      <c r="C701" s="125" t="s">
        <v>666</v>
      </c>
      <c r="D701" s="15" t="s">
        <v>145</v>
      </c>
      <c r="E701" s="17">
        <v>10</v>
      </c>
      <c r="F701" s="17">
        <v>50</v>
      </c>
      <c r="G701" s="124">
        <v>0.5</v>
      </c>
      <c r="H701" s="14"/>
      <c r="I701" s="15" t="s">
        <v>727</v>
      </c>
    </row>
    <row r="702" spans="1:9" ht="15" customHeight="1">
      <c r="A702" s="123">
        <v>46057</v>
      </c>
      <c r="B702" s="94"/>
      <c r="C702" s="125" t="s">
        <v>666</v>
      </c>
      <c r="D702" s="15" t="s">
        <v>146</v>
      </c>
      <c r="E702" s="17">
        <v>5</v>
      </c>
      <c r="F702" s="17">
        <v>50</v>
      </c>
      <c r="G702" s="124">
        <v>0.25</v>
      </c>
      <c r="H702" s="14"/>
      <c r="I702" s="15" t="s">
        <v>693</v>
      </c>
    </row>
    <row r="703" spans="1:9" ht="15" customHeight="1">
      <c r="A703" s="123">
        <v>46057</v>
      </c>
      <c r="B703" s="94"/>
      <c r="C703" s="125" t="s">
        <v>666</v>
      </c>
      <c r="D703" s="15" t="s">
        <v>147</v>
      </c>
      <c r="E703" s="17">
        <v>1</v>
      </c>
      <c r="F703" s="17">
        <v>50</v>
      </c>
      <c r="G703" s="124">
        <v>1</v>
      </c>
      <c r="H703" s="14"/>
      <c r="I703" s="15" t="s">
        <v>687</v>
      </c>
    </row>
    <row r="704" spans="1:9" ht="15" customHeight="1">
      <c r="A704" s="123">
        <v>46057</v>
      </c>
      <c r="B704" s="94"/>
      <c r="C704" s="125" t="s">
        <v>666</v>
      </c>
      <c r="D704" s="15" t="s">
        <v>147</v>
      </c>
      <c r="E704" s="17">
        <v>5</v>
      </c>
      <c r="F704" s="17">
        <v>50</v>
      </c>
      <c r="G704" s="124">
        <v>0.25</v>
      </c>
      <c r="H704" s="14"/>
      <c r="I704" s="15" t="s">
        <v>693</v>
      </c>
    </row>
    <row r="705" spans="1:9" ht="15" customHeight="1">
      <c r="A705" s="123">
        <v>46057</v>
      </c>
      <c r="B705" s="94"/>
      <c r="C705" s="125" t="s">
        <v>666</v>
      </c>
      <c r="D705" s="15" t="s">
        <v>148</v>
      </c>
      <c r="E705" s="17">
        <v>8</v>
      </c>
      <c r="F705" s="17">
        <v>50</v>
      </c>
      <c r="G705" s="124">
        <v>0.4</v>
      </c>
      <c r="H705" s="14"/>
      <c r="I705" s="15" t="s">
        <v>727</v>
      </c>
    </row>
    <row r="706" spans="1:9" ht="15" customHeight="1">
      <c r="A706" s="123">
        <v>46057</v>
      </c>
      <c r="B706" s="94"/>
      <c r="C706" s="125" t="s">
        <v>666</v>
      </c>
      <c r="D706" s="15" t="s">
        <v>155</v>
      </c>
      <c r="E706" s="17">
        <v>25</v>
      </c>
      <c r="F706" s="17">
        <v>80</v>
      </c>
      <c r="G706" s="124">
        <v>40</v>
      </c>
      <c r="H706" s="14"/>
      <c r="I706" s="94" t="s">
        <v>673</v>
      </c>
    </row>
    <row r="707" spans="1:9" ht="15" customHeight="1">
      <c r="A707" s="123">
        <v>46057</v>
      </c>
      <c r="B707" s="94"/>
      <c r="C707" s="125" t="s">
        <v>666</v>
      </c>
      <c r="D707" s="15" t="s">
        <v>155</v>
      </c>
      <c r="E707" s="17">
        <v>2</v>
      </c>
      <c r="F707" s="17">
        <v>80</v>
      </c>
      <c r="G707" s="124">
        <v>2.4</v>
      </c>
      <c r="H707" s="14"/>
      <c r="I707" s="15" t="s">
        <v>742</v>
      </c>
    </row>
    <row r="708" spans="1:9" ht="15" customHeight="1">
      <c r="A708" s="123">
        <v>46057</v>
      </c>
      <c r="B708" s="94"/>
      <c r="C708" s="125" t="s">
        <v>666</v>
      </c>
      <c r="D708" s="15" t="s">
        <v>159</v>
      </c>
      <c r="E708" s="17">
        <v>8</v>
      </c>
      <c r="F708" s="17">
        <v>50</v>
      </c>
      <c r="G708" s="124">
        <v>0.4</v>
      </c>
      <c r="H708" s="14"/>
      <c r="I708" s="15" t="s">
        <v>727</v>
      </c>
    </row>
    <row r="709" spans="1:9" ht="15" customHeight="1">
      <c r="A709" s="123">
        <v>46057</v>
      </c>
      <c r="B709" s="94"/>
      <c r="C709" s="125" t="s">
        <v>666</v>
      </c>
      <c r="D709" s="15" t="s">
        <v>169</v>
      </c>
      <c r="E709" s="17">
        <v>1</v>
      </c>
      <c r="F709" s="17">
        <v>1000</v>
      </c>
      <c r="G709" s="124">
        <v>1</v>
      </c>
      <c r="H709" s="14"/>
      <c r="I709" s="15" t="s">
        <v>706</v>
      </c>
    </row>
    <row r="710" spans="1:9" ht="15" customHeight="1">
      <c r="A710" s="123">
        <v>46057</v>
      </c>
      <c r="B710" s="94"/>
      <c r="C710" s="125" t="s">
        <v>666</v>
      </c>
      <c r="D710" s="15" t="s">
        <v>169</v>
      </c>
      <c r="E710" s="17">
        <v>1</v>
      </c>
      <c r="F710" s="17">
        <v>1000</v>
      </c>
      <c r="G710" s="124">
        <v>2</v>
      </c>
      <c r="H710" s="14"/>
      <c r="I710" s="15" t="s">
        <v>748</v>
      </c>
    </row>
    <row r="711" spans="1:9" ht="15" customHeight="1">
      <c r="A711" s="123">
        <v>46057</v>
      </c>
      <c r="B711" s="94"/>
      <c r="C711" s="125" t="s">
        <v>666</v>
      </c>
      <c r="D711" s="15" t="s">
        <v>174</v>
      </c>
      <c r="E711" s="17">
        <v>2</v>
      </c>
      <c r="F711" s="17">
        <v>1000</v>
      </c>
      <c r="G711" s="124">
        <v>4</v>
      </c>
      <c r="H711" s="14"/>
      <c r="I711" s="15" t="s">
        <v>717</v>
      </c>
    </row>
    <row r="712" spans="1:9" ht="15" customHeight="1">
      <c r="A712" s="123">
        <v>46057</v>
      </c>
      <c r="B712" s="94"/>
      <c r="C712" s="125" t="s">
        <v>666</v>
      </c>
      <c r="D712" s="15" t="s">
        <v>174</v>
      </c>
      <c r="E712" s="17">
        <v>1</v>
      </c>
      <c r="F712" s="17">
        <v>1000</v>
      </c>
      <c r="G712" s="124">
        <v>1</v>
      </c>
      <c r="H712" s="14"/>
      <c r="I712" s="15" t="s">
        <v>729</v>
      </c>
    </row>
    <row r="713" spans="1:9" ht="15" customHeight="1">
      <c r="A713" s="123">
        <v>46057</v>
      </c>
      <c r="B713" s="94"/>
      <c r="C713" s="125" t="s">
        <v>666</v>
      </c>
      <c r="D713" s="15" t="s">
        <v>181</v>
      </c>
      <c r="E713" s="17">
        <v>3</v>
      </c>
      <c r="F713" s="17">
        <v>1000</v>
      </c>
      <c r="G713" s="124">
        <v>6</v>
      </c>
      <c r="H713" s="14"/>
      <c r="I713" s="94" t="s">
        <v>747</v>
      </c>
    </row>
    <row r="714" spans="1:9" ht="15" customHeight="1">
      <c r="A714" s="123">
        <v>46057</v>
      </c>
      <c r="B714" s="94"/>
      <c r="C714" s="125" t="s">
        <v>666</v>
      </c>
      <c r="D714" s="15" t="s">
        <v>183</v>
      </c>
      <c r="E714" s="17">
        <v>1</v>
      </c>
      <c r="F714" s="17">
        <v>60</v>
      </c>
      <c r="G714" s="124">
        <v>0.6</v>
      </c>
      <c r="H714" s="14"/>
      <c r="I714" s="94" t="s">
        <v>709</v>
      </c>
    </row>
    <row r="715" spans="1:9" ht="15" customHeight="1">
      <c r="A715" s="123">
        <v>46057</v>
      </c>
      <c r="B715" s="94"/>
      <c r="C715" s="125" t="s">
        <v>666</v>
      </c>
      <c r="D715" s="15" t="s">
        <v>183</v>
      </c>
      <c r="E715" s="17">
        <v>17</v>
      </c>
      <c r="F715" s="17">
        <v>60</v>
      </c>
      <c r="G715" s="124">
        <v>30.6</v>
      </c>
      <c r="H715" s="14"/>
      <c r="I715" s="15" t="s">
        <v>676</v>
      </c>
    </row>
    <row r="716" spans="1:9" ht="15" customHeight="1">
      <c r="A716" s="123">
        <v>46057</v>
      </c>
      <c r="B716" s="94"/>
      <c r="C716" s="125" t="s">
        <v>666</v>
      </c>
      <c r="D716" s="15" t="s">
        <v>184</v>
      </c>
      <c r="E716" s="17">
        <v>4</v>
      </c>
      <c r="F716" s="17">
        <v>50</v>
      </c>
      <c r="G716" s="124">
        <v>8</v>
      </c>
      <c r="H716" s="14"/>
      <c r="I716" s="15" t="s">
        <v>678</v>
      </c>
    </row>
    <row r="717" spans="1:9" ht="15" customHeight="1">
      <c r="A717" s="123">
        <v>46057</v>
      </c>
      <c r="B717" s="94"/>
      <c r="C717" s="125" t="s">
        <v>666</v>
      </c>
      <c r="D717" s="15" t="s">
        <v>184</v>
      </c>
      <c r="E717" s="17">
        <v>10</v>
      </c>
      <c r="F717" s="17">
        <v>50</v>
      </c>
      <c r="G717" s="124">
        <v>0.5</v>
      </c>
      <c r="H717" s="14"/>
      <c r="I717" s="15" t="s">
        <v>727</v>
      </c>
    </row>
    <row r="718" spans="1:9" ht="15" customHeight="1">
      <c r="A718" s="123">
        <v>46057</v>
      </c>
      <c r="B718" s="94"/>
      <c r="C718" s="125" t="s">
        <v>666</v>
      </c>
      <c r="D718" s="15" t="s">
        <v>186</v>
      </c>
      <c r="E718" s="17">
        <v>8</v>
      </c>
      <c r="F718" s="17">
        <v>50</v>
      </c>
      <c r="G718" s="124">
        <v>0.4</v>
      </c>
      <c r="H718" s="14"/>
      <c r="I718" s="15" t="s">
        <v>727</v>
      </c>
    </row>
    <row r="719" spans="1:9" ht="15" customHeight="1">
      <c r="A719" s="123">
        <v>46057</v>
      </c>
      <c r="B719" s="94"/>
      <c r="C719" s="125" t="s">
        <v>666</v>
      </c>
      <c r="D719" s="15" t="s">
        <v>192</v>
      </c>
      <c r="E719" s="17">
        <v>10</v>
      </c>
      <c r="F719" s="17">
        <v>50</v>
      </c>
      <c r="G719" s="124">
        <v>0.5</v>
      </c>
      <c r="H719" s="14"/>
      <c r="I719" s="15" t="s">
        <v>727</v>
      </c>
    </row>
    <row r="720" spans="1:9" ht="15" customHeight="1">
      <c r="A720" s="123">
        <v>46057</v>
      </c>
      <c r="B720" s="94"/>
      <c r="C720" s="125" t="s">
        <v>666</v>
      </c>
      <c r="D720" s="15" t="s">
        <v>195</v>
      </c>
      <c r="E720" s="17">
        <v>8</v>
      </c>
      <c r="F720" s="17">
        <v>50</v>
      </c>
      <c r="G720" s="124">
        <v>0.4</v>
      </c>
      <c r="H720" s="14"/>
      <c r="I720" s="15" t="s">
        <v>727</v>
      </c>
    </row>
    <row r="721" spans="1:9" ht="15" customHeight="1">
      <c r="A721" s="123">
        <v>46057</v>
      </c>
      <c r="B721" s="94"/>
      <c r="C721" s="125" t="s">
        <v>666</v>
      </c>
      <c r="D721" s="15" t="s">
        <v>222</v>
      </c>
      <c r="E721" s="17">
        <v>1</v>
      </c>
      <c r="F721" s="17">
        <v>40</v>
      </c>
      <c r="G721" s="124">
        <v>0.2</v>
      </c>
      <c r="H721" s="14"/>
      <c r="I721" s="94" t="s">
        <v>709</v>
      </c>
    </row>
    <row r="722" spans="1:9" ht="15" customHeight="1">
      <c r="A722" s="123">
        <v>46057</v>
      </c>
      <c r="B722" s="94"/>
      <c r="C722" s="125" t="s">
        <v>666</v>
      </c>
      <c r="D722" s="15" t="s">
        <v>222</v>
      </c>
      <c r="E722" s="17">
        <v>3</v>
      </c>
      <c r="F722" s="17">
        <v>40</v>
      </c>
      <c r="G722" s="124">
        <v>2.4</v>
      </c>
      <c r="H722" s="14"/>
      <c r="I722" s="15" t="s">
        <v>679</v>
      </c>
    </row>
    <row r="723" spans="1:9" ht="15" customHeight="1">
      <c r="A723" s="123">
        <v>46057</v>
      </c>
      <c r="B723" s="94"/>
      <c r="C723" s="125" t="s">
        <v>666</v>
      </c>
      <c r="D723" s="15" t="s">
        <v>221</v>
      </c>
      <c r="E723" s="17">
        <v>1</v>
      </c>
      <c r="F723" s="17">
        <v>40</v>
      </c>
      <c r="G723" s="124">
        <v>0.2</v>
      </c>
      <c r="H723" s="14"/>
      <c r="I723" s="94" t="s">
        <v>709</v>
      </c>
    </row>
    <row r="724" spans="1:9" ht="15" customHeight="1">
      <c r="A724" s="123">
        <v>46057</v>
      </c>
      <c r="B724" s="94"/>
      <c r="C724" s="125" t="s">
        <v>666</v>
      </c>
      <c r="D724" s="15" t="s">
        <v>221</v>
      </c>
      <c r="E724" s="17">
        <v>2</v>
      </c>
      <c r="F724" s="17">
        <v>40</v>
      </c>
      <c r="G724" s="124">
        <v>1.6</v>
      </c>
      <c r="H724" s="14"/>
      <c r="I724" s="15" t="s">
        <v>680</v>
      </c>
    </row>
    <row r="725" spans="1:9" ht="15" customHeight="1">
      <c r="A725" s="123">
        <v>46057</v>
      </c>
      <c r="B725" s="94"/>
      <c r="C725" s="125" t="s">
        <v>666</v>
      </c>
      <c r="D725" s="15" t="s">
        <v>204</v>
      </c>
      <c r="E725" s="17">
        <v>1</v>
      </c>
      <c r="F725" s="17">
        <v>60</v>
      </c>
      <c r="G725" s="124">
        <v>0.3</v>
      </c>
      <c r="H725" s="14"/>
      <c r="I725" s="94" t="s">
        <v>709</v>
      </c>
    </row>
    <row r="726" spans="1:9" ht="15" customHeight="1">
      <c r="A726" s="123">
        <v>46057</v>
      </c>
      <c r="B726" s="94"/>
      <c r="C726" s="125" t="s">
        <v>666</v>
      </c>
      <c r="D726" s="15" t="s">
        <v>204</v>
      </c>
      <c r="E726" s="17">
        <v>1</v>
      </c>
      <c r="F726" s="17">
        <v>60</v>
      </c>
      <c r="G726" s="124">
        <v>0.9</v>
      </c>
      <c r="H726" s="14"/>
      <c r="I726" s="15" t="s">
        <v>729</v>
      </c>
    </row>
    <row r="727" spans="1:9" ht="15" customHeight="1">
      <c r="A727" s="123">
        <v>46057</v>
      </c>
      <c r="B727" s="94"/>
      <c r="C727" s="125" t="s">
        <v>666</v>
      </c>
      <c r="D727" s="15" t="s">
        <v>204</v>
      </c>
      <c r="E727" s="17">
        <v>2</v>
      </c>
      <c r="F727" s="17">
        <v>60</v>
      </c>
      <c r="G727" s="124">
        <v>1.8</v>
      </c>
      <c r="H727" s="14"/>
      <c r="I727" s="15" t="s">
        <v>744</v>
      </c>
    </row>
    <row r="728" spans="1:9" ht="15" customHeight="1">
      <c r="A728" s="123">
        <v>46057</v>
      </c>
      <c r="B728" s="94"/>
      <c r="C728" s="125" t="s">
        <v>666</v>
      </c>
      <c r="D728" s="15" t="s">
        <v>204</v>
      </c>
      <c r="E728" s="17">
        <v>84</v>
      </c>
      <c r="F728" s="17">
        <v>60</v>
      </c>
      <c r="G728" s="124">
        <v>151.19999999999999</v>
      </c>
      <c r="H728" s="14"/>
      <c r="I728" s="15" t="s">
        <v>745</v>
      </c>
    </row>
    <row r="729" spans="1:9" ht="15" customHeight="1">
      <c r="A729" s="123">
        <v>46057</v>
      </c>
      <c r="B729" s="94"/>
      <c r="C729" s="125" t="s">
        <v>666</v>
      </c>
      <c r="D729" s="15" t="s">
        <v>204</v>
      </c>
      <c r="E729" s="17">
        <v>11</v>
      </c>
      <c r="F729" s="17">
        <v>60</v>
      </c>
      <c r="G729" s="124">
        <v>39.6</v>
      </c>
      <c r="H729" s="14"/>
      <c r="I729" s="15" t="s">
        <v>728</v>
      </c>
    </row>
    <row r="730" spans="1:9" ht="15" customHeight="1">
      <c r="A730" s="123">
        <v>46057</v>
      </c>
      <c r="B730" s="94"/>
      <c r="C730" s="125" t="s">
        <v>666</v>
      </c>
      <c r="D730" s="15" t="s">
        <v>205</v>
      </c>
      <c r="E730" s="17">
        <v>1</v>
      </c>
      <c r="F730" s="17">
        <v>60</v>
      </c>
      <c r="G730" s="124">
        <v>0.3</v>
      </c>
      <c r="H730" s="14"/>
      <c r="I730" s="94" t="s">
        <v>709</v>
      </c>
    </row>
    <row r="731" spans="1:9" ht="15" customHeight="1">
      <c r="A731" s="123">
        <v>46057</v>
      </c>
      <c r="B731" s="94"/>
      <c r="C731" s="125" t="s">
        <v>666</v>
      </c>
      <c r="D731" s="15" t="s">
        <v>205</v>
      </c>
      <c r="E731" s="17">
        <v>1</v>
      </c>
      <c r="F731" s="17">
        <v>60</v>
      </c>
      <c r="G731" s="124">
        <v>0.9</v>
      </c>
      <c r="H731" s="14"/>
      <c r="I731" s="15" t="s">
        <v>729</v>
      </c>
    </row>
    <row r="732" spans="1:9" ht="15" customHeight="1">
      <c r="A732" s="123">
        <v>46057</v>
      </c>
      <c r="B732" s="94"/>
      <c r="C732" s="125" t="s">
        <v>666</v>
      </c>
      <c r="D732" s="15" t="s">
        <v>205</v>
      </c>
      <c r="E732" s="17">
        <v>3</v>
      </c>
      <c r="F732" s="17">
        <v>60</v>
      </c>
      <c r="G732" s="124">
        <v>5.4</v>
      </c>
      <c r="H732" s="14"/>
      <c r="I732" s="15" t="s">
        <v>682</v>
      </c>
    </row>
    <row r="733" spans="1:9" ht="15" customHeight="1">
      <c r="A733" s="123">
        <v>46057</v>
      </c>
      <c r="B733" s="94"/>
      <c r="C733" s="125" t="s">
        <v>666</v>
      </c>
      <c r="D733" s="15" t="s">
        <v>205</v>
      </c>
      <c r="E733" s="17">
        <v>7</v>
      </c>
      <c r="F733" s="17">
        <v>60</v>
      </c>
      <c r="G733" s="124">
        <v>25.2</v>
      </c>
      <c r="H733" s="14"/>
      <c r="I733" s="15" t="s">
        <v>746</v>
      </c>
    </row>
    <row r="734" spans="1:9" ht="15" customHeight="1">
      <c r="A734" s="123">
        <v>46057</v>
      </c>
      <c r="B734" s="94"/>
      <c r="C734" s="125" t="s">
        <v>666</v>
      </c>
      <c r="D734" s="15" t="s">
        <v>205</v>
      </c>
      <c r="E734" s="17">
        <v>2</v>
      </c>
      <c r="F734" s="17">
        <v>60</v>
      </c>
      <c r="G734" s="124">
        <v>1.8</v>
      </c>
      <c r="H734" s="14"/>
      <c r="I734" s="15" t="s">
        <v>744</v>
      </c>
    </row>
    <row r="735" spans="1:9" ht="15" customHeight="1">
      <c r="A735" s="123">
        <v>46057</v>
      </c>
      <c r="B735" s="94"/>
      <c r="C735" s="125" t="s">
        <v>666</v>
      </c>
      <c r="D735" s="15" t="s">
        <v>205</v>
      </c>
      <c r="E735" s="17">
        <v>84</v>
      </c>
      <c r="F735" s="17">
        <v>60</v>
      </c>
      <c r="G735" s="124">
        <v>151.19999999999999</v>
      </c>
      <c r="H735" s="14"/>
      <c r="I735" s="15" t="s">
        <v>745</v>
      </c>
    </row>
    <row r="736" spans="1:9" ht="15" customHeight="1">
      <c r="A736" s="123">
        <v>46057</v>
      </c>
      <c r="B736" s="94"/>
      <c r="C736" s="125" t="s">
        <v>666</v>
      </c>
      <c r="D736" s="15" t="s">
        <v>206</v>
      </c>
      <c r="E736" s="17">
        <v>1</v>
      </c>
      <c r="F736" s="17">
        <v>30</v>
      </c>
      <c r="G736" s="124">
        <v>1.8</v>
      </c>
      <c r="H736" s="14"/>
      <c r="I736" s="15" t="s">
        <v>683</v>
      </c>
    </row>
    <row r="737" spans="1:9" ht="15" customHeight="1">
      <c r="A737" s="123">
        <v>46057</v>
      </c>
      <c r="B737" s="94"/>
      <c r="C737" s="125" t="s">
        <v>666</v>
      </c>
      <c r="D737" s="15" t="s">
        <v>219</v>
      </c>
      <c r="E737" s="17">
        <v>8</v>
      </c>
      <c r="F737" s="17">
        <v>50</v>
      </c>
      <c r="G737" s="124">
        <v>0.4</v>
      </c>
      <c r="H737" s="14"/>
      <c r="I737" s="15" t="s">
        <v>727</v>
      </c>
    </row>
    <row r="738" spans="1:9" ht="15" customHeight="1">
      <c r="A738" s="123">
        <v>46057</v>
      </c>
      <c r="B738" s="94"/>
      <c r="C738" s="125" t="s">
        <v>666</v>
      </c>
      <c r="D738" s="15" t="s">
        <v>220</v>
      </c>
      <c r="E738" s="17">
        <v>5</v>
      </c>
      <c r="F738" s="17">
        <v>50</v>
      </c>
      <c r="G738" s="124">
        <v>0.25</v>
      </c>
      <c r="H738" s="14"/>
      <c r="I738" s="15" t="s">
        <v>693</v>
      </c>
    </row>
    <row r="739" spans="1:9" ht="15" customHeight="1">
      <c r="A739" s="123">
        <v>46057</v>
      </c>
      <c r="B739" s="94"/>
      <c r="C739" s="125" t="s">
        <v>666</v>
      </c>
      <c r="D739" s="15" t="s">
        <v>220</v>
      </c>
      <c r="E739" s="17">
        <v>1</v>
      </c>
      <c r="F739" s="17">
        <v>50</v>
      </c>
      <c r="G739" s="124">
        <v>1</v>
      </c>
      <c r="H739" s="14"/>
      <c r="I739" s="15" t="s">
        <v>699</v>
      </c>
    </row>
    <row r="740" spans="1:9" ht="15" customHeight="1">
      <c r="A740" s="123">
        <v>46057</v>
      </c>
      <c r="B740" s="15" t="s">
        <v>719</v>
      </c>
      <c r="C740" s="14" t="s">
        <v>657</v>
      </c>
      <c r="D740" s="15" t="s">
        <v>149</v>
      </c>
      <c r="E740" s="17">
        <v>5</v>
      </c>
      <c r="F740" s="17">
        <v>360</v>
      </c>
      <c r="G740" s="124">
        <v>1.8</v>
      </c>
      <c r="H740" s="14"/>
      <c r="I740" s="15" t="s">
        <v>720</v>
      </c>
    </row>
    <row r="741" spans="1:9" ht="15" customHeight="1">
      <c r="A741" s="123">
        <v>46057</v>
      </c>
      <c r="B741" s="15" t="s">
        <v>719</v>
      </c>
      <c r="C741" s="14" t="s">
        <v>657</v>
      </c>
      <c r="D741" s="15" t="s">
        <v>151</v>
      </c>
      <c r="E741" s="17">
        <v>3</v>
      </c>
      <c r="F741" s="17">
        <v>360</v>
      </c>
      <c r="G741" s="124">
        <v>1.08</v>
      </c>
      <c r="H741" s="14"/>
      <c r="I741" s="15" t="s">
        <v>722</v>
      </c>
    </row>
    <row r="742" spans="1:9" ht="15" customHeight="1">
      <c r="A742" s="123">
        <v>46057</v>
      </c>
      <c r="B742" s="15" t="s">
        <v>719</v>
      </c>
      <c r="C742" s="14" t="s">
        <v>657</v>
      </c>
      <c r="D742" s="15" t="s">
        <v>153</v>
      </c>
      <c r="E742" s="17">
        <v>9</v>
      </c>
      <c r="F742" s="17">
        <v>360</v>
      </c>
      <c r="G742" s="124">
        <v>3.24</v>
      </c>
      <c r="H742" s="14"/>
      <c r="I742" s="15" t="s">
        <v>724</v>
      </c>
    </row>
    <row r="743" spans="1:9" ht="15" customHeight="1">
      <c r="A743" s="123">
        <v>46057</v>
      </c>
      <c r="B743" s="15" t="s">
        <v>719</v>
      </c>
      <c r="C743" s="14" t="s">
        <v>657</v>
      </c>
      <c r="D743" s="15" t="s">
        <v>154</v>
      </c>
      <c r="E743" s="17">
        <v>5</v>
      </c>
      <c r="F743" s="17">
        <v>360</v>
      </c>
      <c r="G743" s="124">
        <v>1.8</v>
      </c>
      <c r="H743" s="14"/>
      <c r="I743" s="15" t="s">
        <v>725</v>
      </c>
    </row>
    <row r="744" spans="1:9" ht="15" customHeight="1">
      <c r="A744" s="123">
        <v>46057</v>
      </c>
      <c r="B744" s="15" t="s">
        <v>656</v>
      </c>
      <c r="C744" s="14" t="s">
        <v>657</v>
      </c>
      <c r="D744" s="15" t="s">
        <v>155</v>
      </c>
      <c r="E744" s="17">
        <v>1200</v>
      </c>
      <c r="F744" s="17">
        <v>80</v>
      </c>
      <c r="G744" s="124">
        <v>96</v>
      </c>
      <c r="H744" s="14"/>
      <c r="I744" s="94" t="s">
        <v>737</v>
      </c>
    </row>
    <row r="745" spans="1:9" ht="15" customHeight="1">
      <c r="A745" s="123">
        <v>46057</v>
      </c>
      <c r="B745" s="15" t="s">
        <v>656</v>
      </c>
      <c r="C745" s="14" t="s">
        <v>657</v>
      </c>
      <c r="D745" s="15" t="s">
        <v>221</v>
      </c>
      <c r="E745" s="17">
        <v>10</v>
      </c>
      <c r="F745" s="17">
        <v>800</v>
      </c>
      <c r="G745" s="124">
        <v>8</v>
      </c>
      <c r="H745" s="14"/>
      <c r="I745" s="15" t="s">
        <v>749</v>
      </c>
    </row>
    <row r="746" spans="1:9" ht="15" customHeight="1">
      <c r="A746" s="123">
        <v>46058</v>
      </c>
      <c r="B746" s="94"/>
      <c r="C746" s="125" t="s">
        <v>666</v>
      </c>
      <c r="D746" s="15" t="s">
        <v>142</v>
      </c>
      <c r="E746" s="17">
        <v>10</v>
      </c>
      <c r="F746" s="17">
        <v>50</v>
      </c>
      <c r="G746" s="124">
        <v>0.5</v>
      </c>
      <c r="H746" s="14"/>
      <c r="I746" s="15" t="s">
        <v>668</v>
      </c>
    </row>
    <row r="747" spans="1:9" ht="15" customHeight="1">
      <c r="A747" s="123">
        <v>46058</v>
      </c>
      <c r="B747" s="94"/>
      <c r="C747" s="125" t="s">
        <v>666</v>
      </c>
      <c r="D747" s="15" t="s">
        <v>143</v>
      </c>
      <c r="E747" s="17">
        <v>6</v>
      </c>
      <c r="F747" s="17">
        <v>50</v>
      </c>
      <c r="G747" s="124">
        <v>6</v>
      </c>
      <c r="H747" s="14"/>
      <c r="I747" s="15" t="s">
        <v>669</v>
      </c>
    </row>
    <row r="748" spans="1:9" ht="15" customHeight="1">
      <c r="A748" s="123">
        <v>46058</v>
      </c>
      <c r="B748" s="94"/>
      <c r="C748" s="125" t="s">
        <v>666</v>
      </c>
      <c r="D748" s="15" t="s">
        <v>143</v>
      </c>
      <c r="E748" s="17">
        <v>2</v>
      </c>
      <c r="F748" s="17">
        <v>50</v>
      </c>
      <c r="G748" s="124">
        <v>4</v>
      </c>
      <c r="H748" s="14"/>
      <c r="I748" s="15" t="s">
        <v>670</v>
      </c>
    </row>
    <row r="749" spans="1:9" ht="15" customHeight="1">
      <c r="A749" s="123">
        <v>46058</v>
      </c>
      <c r="B749" s="94"/>
      <c r="C749" s="125" t="s">
        <v>666</v>
      </c>
      <c r="D749" s="15" t="s">
        <v>143</v>
      </c>
      <c r="E749" s="17">
        <v>1</v>
      </c>
      <c r="F749" s="17">
        <v>50</v>
      </c>
      <c r="G749" s="124">
        <v>0.25</v>
      </c>
      <c r="H749" s="14"/>
      <c r="I749" s="15" t="s">
        <v>739</v>
      </c>
    </row>
    <row r="750" spans="1:9" ht="15" customHeight="1">
      <c r="A750" s="123">
        <v>46058</v>
      </c>
      <c r="B750" s="94"/>
      <c r="C750" s="125" t="s">
        <v>666</v>
      </c>
      <c r="D750" s="15" t="s">
        <v>143</v>
      </c>
      <c r="E750" s="17">
        <v>6</v>
      </c>
      <c r="F750" s="17">
        <v>50</v>
      </c>
      <c r="G750" s="124">
        <v>0.3</v>
      </c>
      <c r="H750" s="14"/>
      <c r="I750" s="15" t="s">
        <v>708</v>
      </c>
    </row>
    <row r="751" spans="1:9" ht="15" customHeight="1">
      <c r="A751" s="123">
        <v>46058</v>
      </c>
      <c r="B751" s="94"/>
      <c r="C751" s="125" t="s">
        <v>666</v>
      </c>
      <c r="D751" s="15" t="s">
        <v>143</v>
      </c>
      <c r="E751" s="17">
        <v>10</v>
      </c>
      <c r="F751" s="17">
        <v>50</v>
      </c>
      <c r="G751" s="124">
        <v>0.5</v>
      </c>
      <c r="H751" s="14"/>
      <c r="I751" s="15" t="s">
        <v>727</v>
      </c>
    </row>
    <row r="752" spans="1:9" ht="15" customHeight="1">
      <c r="A752" s="123">
        <v>46058</v>
      </c>
      <c r="B752" s="94"/>
      <c r="C752" s="125" t="s">
        <v>666</v>
      </c>
      <c r="D752" s="15" t="s">
        <v>144</v>
      </c>
      <c r="E752" s="17">
        <v>8</v>
      </c>
      <c r="F752" s="17">
        <v>1000</v>
      </c>
      <c r="G752" s="124">
        <v>16</v>
      </c>
      <c r="H752" s="14"/>
      <c r="I752" s="15" t="s">
        <v>672</v>
      </c>
    </row>
    <row r="753" spans="1:9" ht="15" customHeight="1">
      <c r="A753" s="123">
        <v>46058</v>
      </c>
      <c r="B753" s="94"/>
      <c r="C753" s="125" t="s">
        <v>666</v>
      </c>
      <c r="D753" s="15" t="s">
        <v>145</v>
      </c>
      <c r="E753" s="17">
        <v>4</v>
      </c>
      <c r="F753" s="17">
        <v>50</v>
      </c>
      <c r="G753" s="124">
        <v>0.2</v>
      </c>
      <c r="H753" s="14"/>
      <c r="I753" s="15" t="s">
        <v>708</v>
      </c>
    </row>
    <row r="754" spans="1:9" ht="15" customHeight="1">
      <c r="A754" s="123">
        <v>46058</v>
      </c>
      <c r="B754" s="94"/>
      <c r="C754" s="125" t="s">
        <v>666</v>
      </c>
      <c r="D754" s="15" t="s">
        <v>145</v>
      </c>
      <c r="E754" s="17">
        <v>10</v>
      </c>
      <c r="F754" s="17">
        <v>50</v>
      </c>
      <c r="G754" s="124">
        <v>0.5</v>
      </c>
      <c r="H754" s="14"/>
      <c r="I754" s="15" t="s">
        <v>727</v>
      </c>
    </row>
    <row r="755" spans="1:9" ht="15" customHeight="1">
      <c r="A755" s="123">
        <v>46058</v>
      </c>
      <c r="B755" s="94"/>
      <c r="C755" s="125" t="s">
        <v>666</v>
      </c>
      <c r="D755" s="15" t="s">
        <v>146</v>
      </c>
      <c r="E755" s="17">
        <v>10</v>
      </c>
      <c r="F755" s="17">
        <v>50</v>
      </c>
      <c r="G755" s="124">
        <v>0.5</v>
      </c>
      <c r="H755" s="14"/>
      <c r="I755" s="15" t="s">
        <v>668</v>
      </c>
    </row>
    <row r="756" spans="1:9" ht="15" customHeight="1">
      <c r="A756" s="123">
        <v>46058</v>
      </c>
      <c r="B756" s="94"/>
      <c r="C756" s="125" t="s">
        <v>666</v>
      </c>
      <c r="D756" s="15" t="s">
        <v>147</v>
      </c>
      <c r="E756" s="17">
        <v>10</v>
      </c>
      <c r="F756" s="17">
        <v>50</v>
      </c>
      <c r="G756" s="124">
        <v>0.5</v>
      </c>
      <c r="H756" s="14"/>
      <c r="I756" s="15" t="s">
        <v>668</v>
      </c>
    </row>
    <row r="757" spans="1:9" ht="15" customHeight="1">
      <c r="A757" s="123">
        <v>46058</v>
      </c>
      <c r="B757" s="94"/>
      <c r="C757" s="125" t="s">
        <v>666</v>
      </c>
      <c r="D757" s="15" t="s">
        <v>148</v>
      </c>
      <c r="E757" s="17">
        <v>4</v>
      </c>
      <c r="F757" s="17">
        <v>50</v>
      </c>
      <c r="G757" s="124">
        <v>0.2</v>
      </c>
      <c r="H757" s="14"/>
      <c r="I757" s="15" t="s">
        <v>708</v>
      </c>
    </row>
    <row r="758" spans="1:9" ht="15" customHeight="1">
      <c r="A758" s="123">
        <v>46058</v>
      </c>
      <c r="B758" s="94"/>
      <c r="C758" s="125" t="s">
        <v>666</v>
      </c>
      <c r="D758" s="15" t="s">
        <v>148</v>
      </c>
      <c r="E758" s="17">
        <v>8</v>
      </c>
      <c r="F758" s="17">
        <v>50</v>
      </c>
      <c r="G758" s="124">
        <v>0.4</v>
      </c>
      <c r="H758" s="14"/>
      <c r="I758" s="15" t="s">
        <v>727</v>
      </c>
    </row>
    <row r="759" spans="1:9" ht="15" customHeight="1">
      <c r="A759" s="123">
        <v>46058</v>
      </c>
      <c r="B759" s="94"/>
      <c r="C759" s="125" t="s">
        <v>666</v>
      </c>
      <c r="D759" s="15" t="s">
        <v>155</v>
      </c>
      <c r="E759" s="17">
        <v>9</v>
      </c>
      <c r="F759" s="17">
        <v>80</v>
      </c>
      <c r="G759" s="124">
        <v>14.4</v>
      </c>
      <c r="H759" s="14"/>
      <c r="I759" s="94" t="s">
        <v>673</v>
      </c>
    </row>
    <row r="760" spans="1:9" ht="15" customHeight="1">
      <c r="A760" s="123">
        <v>46058</v>
      </c>
      <c r="B760" s="94"/>
      <c r="C760" s="125" t="s">
        <v>666</v>
      </c>
      <c r="D760" s="15" t="s">
        <v>159</v>
      </c>
      <c r="E760" s="17">
        <v>4</v>
      </c>
      <c r="F760" s="17">
        <v>50</v>
      </c>
      <c r="G760" s="124">
        <v>0.2</v>
      </c>
      <c r="H760" s="14"/>
      <c r="I760" s="15" t="s">
        <v>708</v>
      </c>
    </row>
    <row r="761" spans="1:9" ht="15" customHeight="1">
      <c r="A761" s="123">
        <v>46058</v>
      </c>
      <c r="B761" s="94"/>
      <c r="C761" s="125" t="s">
        <v>666</v>
      </c>
      <c r="D761" s="15" t="s">
        <v>159</v>
      </c>
      <c r="E761" s="17">
        <v>8</v>
      </c>
      <c r="F761" s="17">
        <v>50</v>
      </c>
      <c r="G761" s="124">
        <v>0.4</v>
      </c>
      <c r="H761" s="14"/>
      <c r="I761" s="15" t="s">
        <v>727</v>
      </c>
    </row>
    <row r="762" spans="1:9" ht="15" customHeight="1">
      <c r="A762" s="123">
        <v>46058</v>
      </c>
      <c r="B762" s="94"/>
      <c r="C762" s="125" t="s">
        <v>666</v>
      </c>
      <c r="D762" s="15" t="s">
        <v>173</v>
      </c>
      <c r="E762" s="17">
        <v>1</v>
      </c>
      <c r="F762" s="17">
        <v>50</v>
      </c>
      <c r="G762" s="124">
        <v>0.25</v>
      </c>
      <c r="H762" s="14"/>
      <c r="I762" s="15" t="s">
        <v>739</v>
      </c>
    </row>
    <row r="763" spans="1:9" ht="15" customHeight="1">
      <c r="A763" s="123">
        <v>46058</v>
      </c>
      <c r="B763" s="94"/>
      <c r="C763" s="125" t="s">
        <v>666</v>
      </c>
      <c r="D763" s="15" t="s">
        <v>179</v>
      </c>
      <c r="E763" s="17">
        <v>2</v>
      </c>
      <c r="F763" s="17">
        <v>1000</v>
      </c>
      <c r="G763" s="124">
        <v>2</v>
      </c>
      <c r="H763" s="14"/>
      <c r="I763" s="15" t="s">
        <v>702</v>
      </c>
    </row>
    <row r="764" spans="1:9" ht="15" customHeight="1">
      <c r="A764" s="123">
        <v>46058</v>
      </c>
      <c r="B764" s="94"/>
      <c r="C764" s="125" t="s">
        <v>666</v>
      </c>
      <c r="D764" s="15" t="s">
        <v>179</v>
      </c>
      <c r="E764" s="17">
        <v>1</v>
      </c>
      <c r="F764" s="17">
        <v>40</v>
      </c>
      <c r="G764" s="124">
        <v>0.8</v>
      </c>
      <c r="H764" s="14"/>
      <c r="I764" s="15" t="s">
        <v>675</v>
      </c>
    </row>
    <row r="765" spans="1:9" ht="15" customHeight="1">
      <c r="A765" s="123">
        <v>46058</v>
      </c>
      <c r="B765" s="94"/>
      <c r="C765" s="125" t="s">
        <v>666</v>
      </c>
      <c r="D765" s="15" t="s">
        <v>181</v>
      </c>
      <c r="E765" s="17">
        <v>1</v>
      </c>
      <c r="F765" s="17">
        <v>1000</v>
      </c>
      <c r="G765" s="124">
        <v>2</v>
      </c>
      <c r="H765" s="14"/>
      <c r="I765" s="94" t="s">
        <v>747</v>
      </c>
    </row>
    <row r="766" spans="1:9" ht="15" customHeight="1">
      <c r="A766" s="123">
        <v>46058</v>
      </c>
      <c r="B766" s="94"/>
      <c r="C766" s="125" t="s">
        <v>666</v>
      </c>
      <c r="D766" s="15" t="s">
        <v>183</v>
      </c>
      <c r="E766" s="17">
        <v>2</v>
      </c>
      <c r="F766" s="17">
        <v>60</v>
      </c>
      <c r="G766" s="124">
        <v>1.2</v>
      </c>
      <c r="H766" s="14"/>
      <c r="I766" s="94" t="s">
        <v>709</v>
      </c>
    </row>
    <row r="767" spans="1:9" ht="15" customHeight="1">
      <c r="A767" s="123">
        <v>46058</v>
      </c>
      <c r="B767" s="94"/>
      <c r="C767" s="125" t="s">
        <v>666</v>
      </c>
      <c r="D767" s="15" t="s">
        <v>183</v>
      </c>
      <c r="E767" s="17">
        <v>9</v>
      </c>
      <c r="F767" s="17">
        <v>60</v>
      </c>
      <c r="G767" s="124">
        <v>16.2</v>
      </c>
      <c r="H767" s="14"/>
      <c r="I767" s="15" t="s">
        <v>676</v>
      </c>
    </row>
    <row r="768" spans="1:9" ht="15" customHeight="1">
      <c r="A768" s="123">
        <v>46058</v>
      </c>
      <c r="B768" s="94"/>
      <c r="C768" s="125" t="s">
        <v>666</v>
      </c>
      <c r="D768" s="15" t="s">
        <v>184</v>
      </c>
      <c r="E768" s="17">
        <v>1</v>
      </c>
      <c r="F768" s="17">
        <v>50</v>
      </c>
      <c r="G768" s="124">
        <v>2</v>
      </c>
      <c r="H768" s="14"/>
      <c r="I768" s="15" t="s">
        <v>678</v>
      </c>
    </row>
    <row r="769" spans="1:9" ht="15" customHeight="1">
      <c r="A769" s="123">
        <v>46058</v>
      </c>
      <c r="B769" s="94"/>
      <c r="C769" s="125" t="s">
        <v>666</v>
      </c>
      <c r="D769" s="15" t="s">
        <v>184</v>
      </c>
      <c r="E769" s="17">
        <v>6</v>
      </c>
      <c r="F769" s="17">
        <v>50</v>
      </c>
      <c r="G769" s="124">
        <v>0.3</v>
      </c>
      <c r="H769" s="14"/>
      <c r="I769" s="15" t="s">
        <v>708</v>
      </c>
    </row>
    <row r="770" spans="1:9" ht="15" customHeight="1">
      <c r="A770" s="123">
        <v>46058</v>
      </c>
      <c r="B770" s="94"/>
      <c r="C770" s="125" t="s">
        <v>666</v>
      </c>
      <c r="D770" s="15" t="s">
        <v>184</v>
      </c>
      <c r="E770" s="17">
        <v>10</v>
      </c>
      <c r="F770" s="17">
        <v>50</v>
      </c>
      <c r="G770" s="124">
        <v>0.5</v>
      </c>
      <c r="H770" s="14"/>
      <c r="I770" s="15" t="s">
        <v>727</v>
      </c>
    </row>
    <row r="771" spans="1:9" ht="15" customHeight="1">
      <c r="A771" s="123">
        <v>46058</v>
      </c>
      <c r="B771" s="94"/>
      <c r="C771" s="125" t="s">
        <v>666</v>
      </c>
      <c r="D771" s="15" t="s">
        <v>186</v>
      </c>
      <c r="E771" s="17">
        <v>4</v>
      </c>
      <c r="F771" s="17">
        <v>50</v>
      </c>
      <c r="G771" s="124">
        <v>0.2</v>
      </c>
      <c r="H771" s="14"/>
      <c r="I771" s="15" t="s">
        <v>708</v>
      </c>
    </row>
    <row r="772" spans="1:9" ht="15" customHeight="1">
      <c r="A772" s="123">
        <v>46058</v>
      </c>
      <c r="B772" s="94"/>
      <c r="C772" s="125" t="s">
        <v>666</v>
      </c>
      <c r="D772" s="15" t="s">
        <v>186</v>
      </c>
      <c r="E772" s="17">
        <v>8</v>
      </c>
      <c r="F772" s="17">
        <v>50</v>
      </c>
      <c r="G772" s="124">
        <v>0.4</v>
      </c>
      <c r="H772" s="14"/>
      <c r="I772" s="15" t="s">
        <v>727</v>
      </c>
    </row>
    <row r="773" spans="1:9" ht="15" customHeight="1">
      <c r="A773" s="123">
        <v>46058</v>
      </c>
      <c r="B773" s="94"/>
      <c r="C773" s="125" t="s">
        <v>666</v>
      </c>
      <c r="D773" s="15" t="s">
        <v>192</v>
      </c>
      <c r="E773" s="17">
        <v>4</v>
      </c>
      <c r="F773" s="17">
        <v>50</v>
      </c>
      <c r="G773" s="124">
        <v>0.2</v>
      </c>
      <c r="H773" s="14"/>
      <c r="I773" s="15" t="s">
        <v>708</v>
      </c>
    </row>
    <row r="774" spans="1:9" ht="15" customHeight="1">
      <c r="A774" s="123">
        <v>46058</v>
      </c>
      <c r="B774" s="94"/>
      <c r="C774" s="125" t="s">
        <v>666</v>
      </c>
      <c r="D774" s="15" t="s">
        <v>192</v>
      </c>
      <c r="E774" s="17">
        <v>10</v>
      </c>
      <c r="F774" s="17">
        <v>50</v>
      </c>
      <c r="G774" s="124">
        <v>0.5</v>
      </c>
      <c r="H774" s="14"/>
      <c r="I774" s="15" t="s">
        <v>727</v>
      </c>
    </row>
    <row r="775" spans="1:9" ht="15" customHeight="1">
      <c r="A775" s="123">
        <v>46058</v>
      </c>
      <c r="B775" s="94"/>
      <c r="C775" s="125" t="s">
        <v>666</v>
      </c>
      <c r="D775" s="15" t="s">
        <v>195</v>
      </c>
      <c r="E775" s="17">
        <v>4</v>
      </c>
      <c r="F775" s="17">
        <v>50</v>
      </c>
      <c r="G775" s="124">
        <v>0.2</v>
      </c>
      <c r="H775" s="14"/>
      <c r="I775" s="15" t="s">
        <v>708</v>
      </c>
    </row>
    <row r="776" spans="1:9" ht="15" customHeight="1">
      <c r="A776" s="123">
        <v>46058</v>
      </c>
      <c r="B776" s="94"/>
      <c r="C776" s="125" t="s">
        <v>666</v>
      </c>
      <c r="D776" s="15" t="s">
        <v>195</v>
      </c>
      <c r="E776" s="17">
        <v>8</v>
      </c>
      <c r="F776" s="17">
        <v>50</v>
      </c>
      <c r="G776" s="124">
        <v>0.4</v>
      </c>
      <c r="H776" s="14"/>
      <c r="I776" s="15" t="s">
        <v>727</v>
      </c>
    </row>
    <row r="777" spans="1:9" ht="15" customHeight="1">
      <c r="A777" s="123">
        <v>46058</v>
      </c>
      <c r="B777" s="94"/>
      <c r="C777" s="125" t="s">
        <v>666</v>
      </c>
      <c r="D777" s="15" t="s">
        <v>222</v>
      </c>
      <c r="E777" s="17">
        <v>2</v>
      </c>
      <c r="F777" s="17">
        <v>40</v>
      </c>
      <c r="G777" s="124">
        <v>0.4</v>
      </c>
      <c r="H777" s="14"/>
      <c r="I777" s="94" t="s">
        <v>709</v>
      </c>
    </row>
    <row r="778" spans="1:9" ht="15" customHeight="1">
      <c r="A778" s="123">
        <v>46058</v>
      </c>
      <c r="B778" s="94"/>
      <c r="C778" s="125" t="s">
        <v>666</v>
      </c>
      <c r="D778" s="15" t="s">
        <v>222</v>
      </c>
      <c r="E778" s="17">
        <v>4</v>
      </c>
      <c r="F778" s="17">
        <v>40</v>
      </c>
      <c r="G778" s="124">
        <v>3.2</v>
      </c>
      <c r="H778" s="14"/>
      <c r="I778" s="15" t="s">
        <v>679</v>
      </c>
    </row>
    <row r="779" spans="1:9" ht="15" customHeight="1">
      <c r="A779" s="123">
        <v>46058</v>
      </c>
      <c r="B779" s="94"/>
      <c r="C779" s="125" t="s">
        <v>666</v>
      </c>
      <c r="D779" s="15" t="s">
        <v>221</v>
      </c>
      <c r="E779" s="17">
        <v>2</v>
      </c>
      <c r="F779" s="17">
        <v>40</v>
      </c>
      <c r="G779" s="124">
        <v>0.4</v>
      </c>
      <c r="H779" s="14"/>
      <c r="I779" s="94" t="s">
        <v>709</v>
      </c>
    </row>
    <row r="780" spans="1:9" ht="15" customHeight="1">
      <c r="A780" s="123">
        <v>46058</v>
      </c>
      <c r="B780" s="94"/>
      <c r="C780" s="125" t="s">
        <v>666</v>
      </c>
      <c r="D780" s="15" t="s">
        <v>221</v>
      </c>
      <c r="E780" s="17">
        <v>6</v>
      </c>
      <c r="F780" s="17">
        <v>40</v>
      </c>
      <c r="G780" s="124">
        <v>4.8</v>
      </c>
      <c r="H780" s="14"/>
      <c r="I780" s="15" t="s">
        <v>680</v>
      </c>
    </row>
    <row r="781" spans="1:9" ht="15" customHeight="1">
      <c r="A781" s="123">
        <v>46058</v>
      </c>
      <c r="B781" s="94"/>
      <c r="C781" s="125" t="s">
        <v>666</v>
      </c>
      <c r="D781" s="15" t="s">
        <v>221</v>
      </c>
      <c r="E781" s="17">
        <v>2</v>
      </c>
      <c r="F781" s="17">
        <v>40</v>
      </c>
      <c r="G781" s="124">
        <v>3.2</v>
      </c>
      <c r="H781" s="14"/>
      <c r="I781" s="15" t="s">
        <v>750</v>
      </c>
    </row>
    <row r="782" spans="1:9" ht="15" customHeight="1">
      <c r="A782" s="123">
        <v>46058</v>
      </c>
      <c r="B782" s="94"/>
      <c r="C782" s="125" t="s">
        <v>666</v>
      </c>
      <c r="D782" s="15" t="s">
        <v>204</v>
      </c>
      <c r="E782" s="17">
        <v>2</v>
      </c>
      <c r="F782" s="17">
        <v>60</v>
      </c>
      <c r="G782" s="124">
        <v>0.6</v>
      </c>
      <c r="H782" s="14"/>
      <c r="I782" s="94" t="s">
        <v>709</v>
      </c>
    </row>
    <row r="783" spans="1:9" ht="15" customHeight="1">
      <c r="A783" s="123">
        <v>46058</v>
      </c>
      <c r="B783" s="94"/>
      <c r="C783" s="125" t="s">
        <v>666</v>
      </c>
      <c r="D783" s="15" t="s">
        <v>204</v>
      </c>
      <c r="E783" s="17">
        <v>60</v>
      </c>
      <c r="F783" s="17">
        <v>1000</v>
      </c>
      <c r="G783" s="124">
        <v>108</v>
      </c>
      <c r="H783" s="14"/>
      <c r="I783" s="15" t="s">
        <v>690</v>
      </c>
    </row>
    <row r="784" spans="1:9" ht="15" customHeight="1">
      <c r="A784" s="123">
        <v>46058</v>
      </c>
      <c r="B784" s="94"/>
      <c r="C784" s="125" t="s">
        <v>666</v>
      </c>
      <c r="D784" s="15" t="s">
        <v>204</v>
      </c>
      <c r="E784" s="17">
        <v>2</v>
      </c>
      <c r="F784" s="17">
        <v>60</v>
      </c>
      <c r="G784" s="124">
        <v>3.6</v>
      </c>
      <c r="H784" s="14"/>
      <c r="I784" s="15" t="s">
        <v>681</v>
      </c>
    </row>
    <row r="785" spans="1:9" ht="15" customHeight="1">
      <c r="A785" s="123">
        <v>46058</v>
      </c>
      <c r="B785" s="94"/>
      <c r="C785" s="125" t="s">
        <v>666</v>
      </c>
      <c r="D785" s="15" t="s">
        <v>204</v>
      </c>
      <c r="E785" s="17">
        <v>54</v>
      </c>
      <c r="F785" s="17">
        <v>60</v>
      </c>
      <c r="G785" s="124">
        <v>97.2</v>
      </c>
      <c r="H785" s="14"/>
      <c r="I785" s="15" t="s">
        <v>745</v>
      </c>
    </row>
    <row r="786" spans="1:9" ht="15" customHeight="1">
      <c r="A786" s="123">
        <v>46058</v>
      </c>
      <c r="B786" s="94"/>
      <c r="C786" s="125" t="s">
        <v>666</v>
      </c>
      <c r="D786" s="15" t="s">
        <v>204</v>
      </c>
      <c r="E786" s="17">
        <v>30</v>
      </c>
      <c r="F786" s="17">
        <v>60</v>
      </c>
      <c r="G786" s="124">
        <v>108</v>
      </c>
      <c r="H786" s="14"/>
      <c r="I786" s="15" t="s">
        <v>728</v>
      </c>
    </row>
    <row r="787" spans="1:9" ht="15" customHeight="1">
      <c r="A787" s="123">
        <v>46058</v>
      </c>
      <c r="B787" s="94"/>
      <c r="C787" s="125" t="s">
        <v>666</v>
      </c>
      <c r="D787" s="15" t="s">
        <v>205</v>
      </c>
      <c r="E787" s="17">
        <v>2</v>
      </c>
      <c r="F787" s="17">
        <v>60</v>
      </c>
      <c r="G787" s="124">
        <v>0.6</v>
      </c>
      <c r="H787" s="14"/>
      <c r="I787" s="94" t="s">
        <v>709</v>
      </c>
    </row>
    <row r="788" spans="1:9" ht="15" customHeight="1">
      <c r="A788" s="123">
        <v>46058</v>
      </c>
      <c r="B788" s="94"/>
      <c r="C788" s="125" t="s">
        <v>666</v>
      </c>
      <c r="D788" s="15" t="s">
        <v>205</v>
      </c>
      <c r="E788" s="17">
        <v>12</v>
      </c>
      <c r="F788" s="17">
        <v>60</v>
      </c>
      <c r="G788" s="124">
        <v>43.2</v>
      </c>
      <c r="H788" s="14"/>
      <c r="I788" s="15" t="s">
        <v>746</v>
      </c>
    </row>
    <row r="789" spans="1:9" ht="15" customHeight="1">
      <c r="A789" s="123">
        <v>46058</v>
      </c>
      <c r="B789" s="94"/>
      <c r="C789" s="125" t="s">
        <v>666</v>
      </c>
      <c r="D789" s="15" t="s">
        <v>205</v>
      </c>
      <c r="E789" s="17">
        <v>54</v>
      </c>
      <c r="F789" s="17">
        <v>60</v>
      </c>
      <c r="G789" s="124">
        <v>97.2</v>
      </c>
      <c r="H789" s="14"/>
      <c r="I789" s="15" t="s">
        <v>745</v>
      </c>
    </row>
    <row r="790" spans="1:9" ht="15" customHeight="1">
      <c r="A790" s="123">
        <v>46058</v>
      </c>
      <c r="B790" s="94"/>
      <c r="C790" s="125" t="s">
        <v>666</v>
      </c>
      <c r="D790" s="15" t="s">
        <v>206</v>
      </c>
      <c r="E790" s="17">
        <v>1</v>
      </c>
      <c r="F790" s="17">
        <v>30</v>
      </c>
      <c r="G790" s="124">
        <v>1.8</v>
      </c>
      <c r="H790" s="14"/>
      <c r="I790" s="15" t="s">
        <v>683</v>
      </c>
    </row>
    <row r="791" spans="1:9" ht="15" customHeight="1">
      <c r="A791" s="123">
        <v>46058</v>
      </c>
      <c r="B791" s="94"/>
      <c r="C791" s="125" t="s">
        <v>666</v>
      </c>
      <c r="D791" s="15" t="s">
        <v>206</v>
      </c>
      <c r="E791" s="17">
        <v>1</v>
      </c>
      <c r="F791" s="17">
        <v>1000</v>
      </c>
      <c r="G791" s="124">
        <v>1</v>
      </c>
      <c r="H791" s="14"/>
      <c r="I791" s="15" t="s">
        <v>751</v>
      </c>
    </row>
    <row r="792" spans="1:9" ht="15" customHeight="1">
      <c r="A792" s="123">
        <v>46058</v>
      </c>
      <c r="B792" s="94"/>
      <c r="C792" s="125" t="s">
        <v>666</v>
      </c>
      <c r="D792" s="15" t="s">
        <v>207</v>
      </c>
      <c r="E792" s="17">
        <v>2</v>
      </c>
      <c r="F792" s="17">
        <v>1000</v>
      </c>
      <c r="G792" s="124">
        <v>4</v>
      </c>
      <c r="H792" s="14"/>
      <c r="I792" s="15" t="s">
        <v>697</v>
      </c>
    </row>
    <row r="793" spans="1:9" ht="15" customHeight="1">
      <c r="A793" s="123">
        <v>46058</v>
      </c>
      <c r="B793" s="94"/>
      <c r="C793" s="125" t="s">
        <v>666</v>
      </c>
      <c r="D793" s="15" t="s">
        <v>212</v>
      </c>
      <c r="E793" s="17">
        <v>1</v>
      </c>
      <c r="F793" s="17">
        <v>50</v>
      </c>
      <c r="G793" s="124">
        <v>0.25</v>
      </c>
      <c r="H793" s="14"/>
      <c r="I793" s="15" t="s">
        <v>739</v>
      </c>
    </row>
    <row r="794" spans="1:9" ht="15" customHeight="1">
      <c r="A794" s="123">
        <v>46058</v>
      </c>
      <c r="B794" s="94"/>
      <c r="C794" s="125" t="s">
        <v>666</v>
      </c>
      <c r="D794" s="15" t="s">
        <v>212</v>
      </c>
      <c r="E794" s="17">
        <v>1</v>
      </c>
      <c r="F794" s="17">
        <v>50</v>
      </c>
      <c r="G794" s="124">
        <v>0.5</v>
      </c>
      <c r="H794" s="14"/>
      <c r="I794" s="15" t="s">
        <v>698</v>
      </c>
    </row>
    <row r="795" spans="1:9" ht="15" customHeight="1">
      <c r="A795" s="123">
        <v>46058</v>
      </c>
      <c r="B795" s="94"/>
      <c r="C795" s="125" t="s">
        <v>666</v>
      </c>
      <c r="D795" s="15" t="s">
        <v>219</v>
      </c>
      <c r="E795" s="17">
        <v>4</v>
      </c>
      <c r="F795" s="17">
        <v>50</v>
      </c>
      <c r="G795" s="124">
        <v>0.2</v>
      </c>
      <c r="H795" s="14"/>
      <c r="I795" s="15" t="s">
        <v>708</v>
      </c>
    </row>
    <row r="796" spans="1:9" ht="15" customHeight="1">
      <c r="A796" s="123">
        <v>46058</v>
      </c>
      <c r="B796" s="94"/>
      <c r="C796" s="125" t="s">
        <v>666</v>
      </c>
      <c r="D796" s="15" t="s">
        <v>219</v>
      </c>
      <c r="E796" s="17">
        <v>8</v>
      </c>
      <c r="F796" s="17">
        <v>50</v>
      </c>
      <c r="G796" s="124">
        <v>0.4</v>
      </c>
      <c r="H796" s="14"/>
      <c r="I796" s="15" t="s">
        <v>727</v>
      </c>
    </row>
    <row r="797" spans="1:9" ht="15" customHeight="1">
      <c r="A797" s="123">
        <v>46058</v>
      </c>
      <c r="B797" s="94"/>
      <c r="C797" s="125" t="s">
        <v>666</v>
      </c>
      <c r="D797" s="15" t="s">
        <v>220</v>
      </c>
      <c r="E797" s="17">
        <v>10</v>
      </c>
      <c r="F797" s="17">
        <v>50</v>
      </c>
      <c r="G797" s="124">
        <v>0.5</v>
      </c>
      <c r="H797" s="14"/>
      <c r="I797" s="15" t="s">
        <v>668</v>
      </c>
    </row>
    <row r="798" spans="1:9" ht="15" customHeight="1">
      <c r="A798" s="123">
        <v>46058</v>
      </c>
      <c r="B798" s="15" t="s">
        <v>719</v>
      </c>
      <c r="C798" s="14" t="s">
        <v>657</v>
      </c>
      <c r="D798" s="15" t="s">
        <v>149</v>
      </c>
      <c r="E798" s="17">
        <v>7</v>
      </c>
      <c r="F798" s="17">
        <v>360</v>
      </c>
      <c r="G798" s="124">
        <v>2.52</v>
      </c>
      <c r="H798" s="14"/>
      <c r="I798" s="15" t="s">
        <v>720</v>
      </c>
    </row>
    <row r="799" spans="1:9" ht="15" customHeight="1">
      <c r="A799" s="123">
        <v>46058</v>
      </c>
      <c r="B799" s="15" t="s">
        <v>719</v>
      </c>
      <c r="C799" s="14" t="s">
        <v>657</v>
      </c>
      <c r="D799" s="15" t="s">
        <v>151</v>
      </c>
      <c r="E799" s="17">
        <v>3</v>
      </c>
      <c r="F799" s="17">
        <v>360</v>
      </c>
      <c r="G799" s="124">
        <v>1.08</v>
      </c>
      <c r="H799" s="14"/>
      <c r="I799" s="15" t="s">
        <v>722</v>
      </c>
    </row>
    <row r="800" spans="1:9" ht="15" customHeight="1">
      <c r="A800" s="123">
        <v>46058</v>
      </c>
      <c r="B800" s="15" t="s">
        <v>719</v>
      </c>
      <c r="C800" s="14" t="s">
        <v>657</v>
      </c>
      <c r="D800" s="15" t="s">
        <v>153</v>
      </c>
      <c r="E800" s="17">
        <v>8</v>
      </c>
      <c r="F800" s="17">
        <v>360</v>
      </c>
      <c r="G800" s="124">
        <v>2.88</v>
      </c>
      <c r="H800" s="14"/>
      <c r="I800" s="15" t="s">
        <v>724</v>
      </c>
    </row>
    <row r="801" spans="1:9" ht="15" customHeight="1">
      <c r="A801" s="123">
        <v>46058</v>
      </c>
      <c r="B801" s="15" t="s">
        <v>719</v>
      </c>
      <c r="C801" s="14" t="s">
        <v>657</v>
      </c>
      <c r="D801" s="15" t="s">
        <v>154</v>
      </c>
      <c r="E801" s="17">
        <v>4</v>
      </c>
      <c r="F801" s="17">
        <v>360</v>
      </c>
      <c r="G801" s="124">
        <v>1.44</v>
      </c>
      <c r="H801" s="14"/>
      <c r="I801" s="15" t="s">
        <v>725</v>
      </c>
    </row>
    <row r="802" spans="1:9" ht="15" customHeight="1">
      <c r="A802" s="123">
        <v>46058</v>
      </c>
      <c r="B802" s="15" t="s">
        <v>730</v>
      </c>
      <c r="C802" s="14" t="s">
        <v>657</v>
      </c>
      <c r="D802" s="15" t="s">
        <v>150</v>
      </c>
      <c r="E802" s="17">
        <v>3</v>
      </c>
      <c r="F802" s="17">
        <v>360</v>
      </c>
      <c r="G802" s="124">
        <v>1.08</v>
      </c>
      <c r="H802" s="14"/>
      <c r="I802" s="15" t="s">
        <v>732</v>
      </c>
    </row>
    <row r="803" spans="1:9" ht="15" customHeight="1">
      <c r="A803" s="123">
        <v>46059</v>
      </c>
      <c r="B803" s="94"/>
      <c r="C803" s="125" t="s">
        <v>666</v>
      </c>
      <c r="D803" s="15" t="s">
        <v>142</v>
      </c>
      <c r="E803" s="17">
        <v>2</v>
      </c>
      <c r="F803" s="17">
        <v>50</v>
      </c>
      <c r="G803" s="124">
        <v>2</v>
      </c>
      <c r="H803" s="14"/>
      <c r="I803" s="15" t="s">
        <v>667</v>
      </c>
    </row>
    <row r="804" spans="1:9" ht="15" customHeight="1">
      <c r="A804" s="123">
        <v>46059</v>
      </c>
      <c r="B804" s="94"/>
      <c r="C804" s="125" t="s">
        <v>666</v>
      </c>
      <c r="D804" s="15" t="s">
        <v>142</v>
      </c>
      <c r="E804" s="17">
        <v>5</v>
      </c>
      <c r="F804" s="17">
        <v>50</v>
      </c>
      <c r="G804" s="124">
        <v>0.25</v>
      </c>
      <c r="H804" s="14"/>
      <c r="I804" s="15" t="s">
        <v>693</v>
      </c>
    </row>
    <row r="805" spans="1:9" ht="15" customHeight="1">
      <c r="A805" s="123">
        <v>46059</v>
      </c>
      <c r="B805" s="94"/>
      <c r="C805" s="125" t="s">
        <v>666</v>
      </c>
      <c r="D805" s="15" t="s">
        <v>143</v>
      </c>
      <c r="E805" s="17">
        <v>4</v>
      </c>
      <c r="F805" s="17">
        <v>50</v>
      </c>
      <c r="G805" s="124">
        <v>4</v>
      </c>
      <c r="H805" s="14"/>
      <c r="I805" s="15" t="s">
        <v>669</v>
      </c>
    </row>
    <row r="806" spans="1:9" ht="15" customHeight="1">
      <c r="A806" s="123">
        <v>46059</v>
      </c>
      <c r="B806" s="94"/>
      <c r="C806" s="125" t="s">
        <v>666</v>
      </c>
      <c r="D806" s="15" t="s">
        <v>143</v>
      </c>
      <c r="E806" s="17">
        <v>2</v>
      </c>
      <c r="F806" s="17">
        <v>50</v>
      </c>
      <c r="G806" s="124">
        <v>4</v>
      </c>
      <c r="H806" s="14"/>
      <c r="I806" s="15" t="s">
        <v>670</v>
      </c>
    </row>
    <row r="807" spans="1:9" ht="15" customHeight="1">
      <c r="A807" s="123">
        <v>46059</v>
      </c>
      <c r="B807" s="94"/>
      <c r="C807" s="125" t="s">
        <v>666</v>
      </c>
      <c r="D807" s="15" t="s">
        <v>143</v>
      </c>
      <c r="E807" s="17">
        <v>15</v>
      </c>
      <c r="F807" s="17">
        <v>50</v>
      </c>
      <c r="G807" s="124">
        <v>0.75</v>
      </c>
      <c r="H807" s="14"/>
      <c r="I807" s="15" t="s">
        <v>752</v>
      </c>
    </row>
    <row r="808" spans="1:9" ht="15" customHeight="1">
      <c r="A808" s="123">
        <v>46059</v>
      </c>
      <c r="B808" s="94"/>
      <c r="C808" s="125" t="s">
        <v>666</v>
      </c>
      <c r="D808" s="15" t="s">
        <v>144</v>
      </c>
      <c r="E808" s="17">
        <v>1</v>
      </c>
      <c r="F808" s="17">
        <v>1000</v>
      </c>
      <c r="G808" s="124">
        <v>1</v>
      </c>
      <c r="H808" s="14"/>
      <c r="I808" s="15" t="s">
        <v>686</v>
      </c>
    </row>
    <row r="809" spans="1:9" ht="15" customHeight="1">
      <c r="A809" s="123">
        <v>46059</v>
      </c>
      <c r="B809" s="94"/>
      <c r="C809" s="125" t="s">
        <v>666</v>
      </c>
      <c r="D809" s="15" t="s">
        <v>144</v>
      </c>
      <c r="E809" s="17">
        <v>6</v>
      </c>
      <c r="F809" s="17">
        <v>1000</v>
      </c>
      <c r="G809" s="124">
        <v>12</v>
      </c>
      <c r="H809" s="14"/>
      <c r="I809" s="15" t="s">
        <v>672</v>
      </c>
    </row>
    <row r="810" spans="1:9" ht="15" customHeight="1">
      <c r="A810" s="123">
        <v>46059</v>
      </c>
      <c r="B810" s="94"/>
      <c r="C810" s="125" t="s">
        <v>666</v>
      </c>
      <c r="D810" s="15" t="s">
        <v>145</v>
      </c>
      <c r="E810" s="17">
        <v>15</v>
      </c>
      <c r="F810" s="17">
        <v>50</v>
      </c>
      <c r="G810" s="124">
        <v>0.75</v>
      </c>
      <c r="H810" s="14"/>
      <c r="I810" s="15" t="s">
        <v>752</v>
      </c>
    </row>
    <row r="811" spans="1:9" ht="15" customHeight="1">
      <c r="A811" s="123">
        <v>46059</v>
      </c>
      <c r="B811" s="94"/>
      <c r="C811" s="125" t="s">
        <v>666</v>
      </c>
      <c r="D811" s="15" t="s">
        <v>146</v>
      </c>
      <c r="E811" s="17">
        <v>1</v>
      </c>
      <c r="F811" s="17">
        <v>50</v>
      </c>
      <c r="G811" s="124">
        <v>1</v>
      </c>
      <c r="H811" s="14"/>
      <c r="I811" s="15" t="s">
        <v>704</v>
      </c>
    </row>
    <row r="812" spans="1:9" ht="15" customHeight="1">
      <c r="A812" s="123">
        <v>46059</v>
      </c>
      <c r="B812" s="94"/>
      <c r="C812" s="125" t="s">
        <v>666</v>
      </c>
      <c r="D812" s="15" t="s">
        <v>146</v>
      </c>
      <c r="E812" s="17">
        <v>5</v>
      </c>
      <c r="F812" s="17">
        <v>50</v>
      </c>
      <c r="G812" s="124">
        <v>0.25</v>
      </c>
      <c r="H812" s="14"/>
      <c r="I812" s="15" t="s">
        <v>693</v>
      </c>
    </row>
    <row r="813" spans="1:9" ht="15" customHeight="1">
      <c r="A813" s="123">
        <v>46059</v>
      </c>
      <c r="B813" s="94"/>
      <c r="C813" s="125" t="s">
        <v>666</v>
      </c>
      <c r="D813" s="15" t="s">
        <v>147</v>
      </c>
      <c r="E813" s="17">
        <v>3</v>
      </c>
      <c r="F813" s="17">
        <v>50</v>
      </c>
      <c r="G813" s="124">
        <v>3</v>
      </c>
      <c r="H813" s="14"/>
      <c r="I813" s="15" t="s">
        <v>687</v>
      </c>
    </row>
    <row r="814" spans="1:9" ht="15" customHeight="1">
      <c r="A814" s="123">
        <v>46059</v>
      </c>
      <c r="B814" s="94"/>
      <c r="C814" s="125" t="s">
        <v>666</v>
      </c>
      <c r="D814" s="15" t="s">
        <v>147</v>
      </c>
      <c r="E814" s="17">
        <v>2</v>
      </c>
      <c r="F814" s="17">
        <v>50</v>
      </c>
      <c r="G814" s="124">
        <v>4</v>
      </c>
      <c r="H814" s="14"/>
      <c r="I814" s="15" t="s">
        <v>753</v>
      </c>
    </row>
    <row r="815" spans="1:9" ht="15" customHeight="1">
      <c r="A815" s="123">
        <v>46059</v>
      </c>
      <c r="B815" s="94"/>
      <c r="C815" s="125" t="s">
        <v>666</v>
      </c>
      <c r="D815" s="15" t="s">
        <v>147</v>
      </c>
      <c r="E815" s="17">
        <v>5</v>
      </c>
      <c r="F815" s="17">
        <v>50</v>
      </c>
      <c r="G815" s="124">
        <v>0.25</v>
      </c>
      <c r="H815" s="14"/>
      <c r="I815" s="15" t="s">
        <v>693</v>
      </c>
    </row>
    <row r="816" spans="1:9" ht="15" customHeight="1">
      <c r="A816" s="123">
        <v>46059</v>
      </c>
      <c r="B816" s="94"/>
      <c r="C816" s="125" t="s">
        <v>666</v>
      </c>
      <c r="D816" s="15" t="s">
        <v>148</v>
      </c>
      <c r="E816" s="17">
        <v>12</v>
      </c>
      <c r="F816" s="17">
        <v>50</v>
      </c>
      <c r="G816" s="124">
        <v>0.6</v>
      </c>
      <c r="H816" s="14"/>
      <c r="I816" s="15" t="s">
        <v>752</v>
      </c>
    </row>
    <row r="817" spans="1:9" ht="15" customHeight="1">
      <c r="A817" s="123">
        <v>46059</v>
      </c>
      <c r="B817" s="94"/>
      <c r="C817" s="125" t="s">
        <v>666</v>
      </c>
      <c r="D817" s="15" t="s">
        <v>155</v>
      </c>
      <c r="E817" s="17">
        <v>16</v>
      </c>
      <c r="F817" s="17">
        <v>80</v>
      </c>
      <c r="G817" s="124">
        <v>25.6</v>
      </c>
      <c r="H817" s="14"/>
      <c r="I817" s="94" t="s">
        <v>673</v>
      </c>
    </row>
    <row r="818" spans="1:9" ht="15" customHeight="1">
      <c r="A818" s="123">
        <v>46059</v>
      </c>
      <c r="B818" s="94"/>
      <c r="C818" s="125" t="s">
        <v>666</v>
      </c>
      <c r="D818" s="15" t="s">
        <v>159</v>
      </c>
      <c r="E818" s="17">
        <v>12</v>
      </c>
      <c r="F818" s="17">
        <v>50</v>
      </c>
      <c r="G818" s="124">
        <v>0.6</v>
      </c>
      <c r="H818" s="14"/>
      <c r="I818" s="15" t="s">
        <v>752</v>
      </c>
    </row>
    <row r="819" spans="1:9" ht="15" customHeight="1">
      <c r="A819" s="123">
        <v>46059</v>
      </c>
      <c r="B819" s="94"/>
      <c r="C819" s="125" t="s">
        <v>666</v>
      </c>
      <c r="D819" s="15" t="s">
        <v>161</v>
      </c>
      <c r="E819" s="17">
        <v>2</v>
      </c>
      <c r="F819" s="17">
        <v>1000</v>
      </c>
      <c r="G819" s="124">
        <v>2</v>
      </c>
      <c r="H819" s="14"/>
      <c r="I819" s="15" t="s">
        <v>701</v>
      </c>
    </row>
    <row r="820" spans="1:9" ht="15" customHeight="1">
      <c r="A820" s="123">
        <v>46059</v>
      </c>
      <c r="B820" s="94"/>
      <c r="C820" s="125" t="s">
        <v>666</v>
      </c>
      <c r="D820" s="15" t="s">
        <v>174</v>
      </c>
      <c r="E820" s="17">
        <v>2</v>
      </c>
      <c r="F820" s="17">
        <v>1000</v>
      </c>
      <c r="G820" s="124">
        <v>2</v>
      </c>
      <c r="H820" s="14"/>
      <c r="I820" s="15" t="s">
        <v>701</v>
      </c>
    </row>
    <row r="821" spans="1:9" ht="15" customHeight="1">
      <c r="A821" s="123">
        <v>46059</v>
      </c>
      <c r="B821" s="94"/>
      <c r="C821" s="125" t="s">
        <v>666</v>
      </c>
      <c r="D821" s="15" t="s">
        <v>174</v>
      </c>
      <c r="E821" s="17">
        <v>1</v>
      </c>
      <c r="F821" s="17">
        <v>1000</v>
      </c>
      <c r="G821" s="124">
        <v>2</v>
      </c>
      <c r="H821" s="14"/>
      <c r="I821" s="15" t="s">
        <v>717</v>
      </c>
    </row>
    <row r="822" spans="1:9" ht="15" customHeight="1">
      <c r="A822" s="123">
        <v>46059</v>
      </c>
      <c r="B822" s="94"/>
      <c r="C822" s="125" t="s">
        <v>666</v>
      </c>
      <c r="D822" s="15" t="s">
        <v>181</v>
      </c>
      <c r="E822" s="17">
        <v>1</v>
      </c>
      <c r="F822" s="17">
        <v>1000</v>
      </c>
      <c r="G822" s="124">
        <v>1</v>
      </c>
      <c r="H822" s="14"/>
      <c r="I822" s="94" t="s">
        <v>705</v>
      </c>
    </row>
    <row r="823" spans="1:9" ht="15" customHeight="1">
      <c r="A823" s="123">
        <v>46059</v>
      </c>
      <c r="B823" s="94"/>
      <c r="C823" s="125" t="s">
        <v>666</v>
      </c>
      <c r="D823" s="15" t="s">
        <v>183</v>
      </c>
      <c r="E823" s="17">
        <v>20</v>
      </c>
      <c r="F823" s="17">
        <v>60</v>
      </c>
      <c r="G823" s="124">
        <v>36</v>
      </c>
      <c r="H823" s="14"/>
      <c r="I823" s="15" t="s">
        <v>676</v>
      </c>
    </row>
    <row r="824" spans="1:9" ht="15" customHeight="1">
      <c r="A824" s="123">
        <v>46059</v>
      </c>
      <c r="B824" s="94"/>
      <c r="C824" s="125" t="s">
        <v>666</v>
      </c>
      <c r="D824" s="15" t="s">
        <v>184</v>
      </c>
      <c r="E824" s="17">
        <v>1</v>
      </c>
      <c r="F824" s="17">
        <v>50</v>
      </c>
      <c r="G824" s="124">
        <v>2</v>
      </c>
      <c r="H824" s="14"/>
      <c r="I824" s="15" t="s">
        <v>678</v>
      </c>
    </row>
    <row r="825" spans="1:9" ht="15" customHeight="1">
      <c r="A825" s="123">
        <v>46059</v>
      </c>
      <c r="B825" s="94"/>
      <c r="C825" s="125" t="s">
        <v>666</v>
      </c>
      <c r="D825" s="15" t="s">
        <v>184</v>
      </c>
      <c r="E825" s="17">
        <v>15</v>
      </c>
      <c r="F825" s="17">
        <v>50</v>
      </c>
      <c r="G825" s="124">
        <v>0.75</v>
      </c>
      <c r="H825" s="14"/>
      <c r="I825" s="15" t="s">
        <v>752</v>
      </c>
    </row>
    <row r="826" spans="1:9" ht="15" customHeight="1">
      <c r="A826" s="123">
        <v>46059</v>
      </c>
      <c r="B826" s="94"/>
      <c r="C826" s="125" t="s">
        <v>666</v>
      </c>
      <c r="D826" s="15" t="s">
        <v>186</v>
      </c>
      <c r="E826" s="17">
        <v>12</v>
      </c>
      <c r="F826" s="17">
        <v>50</v>
      </c>
      <c r="G826" s="124">
        <v>0.6</v>
      </c>
      <c r="H826" s="14"/>
      <c r="I826" s="15" t="s">
        <v>752</v>
      </c>
    </row>
    <row r="827" spans="1:9" ht="15" customHeight="1">
      <c r="A827" s="123">
        <v>46059</v>
      </c>
      <c r="B827" s="94"/>
      <c r="C827" s="125" t="s">
        <v>666</v>
      </c>
      <c r="D827" s="15" t="s">
        <v>192</v>
      </c>
      <c r="E827" s="17">
        <v>15</v>
      </c>
      <c r="F827" s="17">
        <v>50</v>
      </c>
      <c r="G827" s="124">
        <v>0.75</v>
      </c>
      <c r="H827" s="14"/>
      <c r="I827" s="15" t="s">
        <v>752</v>
      </c>
    </row>
    <row r="828" spans="1:9" ht="15" customHeight="1">
      <c r="A828" s="123">
        <v>46059</v>
      </c>
      <c r="B828" s="94"/>
      <c r="C828" s="125" t="s">
        <v>666</v>
      </c>
      <c r="D828" s="15" t="s">
        <v>195</v>
      </c>
      <c r="E828" s="17">
        <v>12</v>
      </c>
      <c r="F828" s="17">
        <v>50</v>
      </c>
      <c r="G828" s="124">
        <v>0.6</v>
      </c>
      <c r="H828" s="14"/>
      <c r="I828" s="15" t="s">
        <v>752</v>
      </c>
    </row>
    <row r="829" spans="1:9" ht="15" customHeight="1">
      <c r="A829" s="123">
        <v>46059</v>
      </c>
      <c r="B829" s="94"/>
      <c r="C829" s="125" t="s">
        <v>666</v>
      </c>
      <c r="D829" s="15" t="s">
        <v>222</v>
      </c>
      <c r="E829" s="17">
        <v>3</v>
      </c>
      <c r="F829" s="17">
        <v>40</v>
      </c>
      <c r="G829" s="124">
        <v>2.4</v>
      </c>
      <c r="H829" s="14"/>
      <c r="I829" s="15" t="s">
        <v>679</v>
      </c>
    </row>
    <row r="830" spans="1:9" ht="15" customHeight="1">
      <c r="A830" s="123">
        <v>46059</v>
      </c>
      <c r="B830" s="94"/>
      <c r="C830" s="125" t="s">
        <v>666</v>
      </c>
      <c r="D830" s="15" t="s">
        <v>204</v>
      </c>
      <c r="E830" s="17">
        <v>3</v>
      </c>
      <c r="F830" s="17">
        <v>60</v>
      </c>
      <c r="G830" s="124">
        <v>5.4</v>
      </c>
      <c r="H830" s="14"/>
      <c r="I830" s="15" t="s">
        <v>681</v>
      </c>
    </row>
    <row r="831" spans="1:9" ht="15" customHeight="1">
      <c r="A831" s="123">
        <v>46059</v>
      </c>
      <c r="B831" s="94"/>
      <c r="C831" s="125" t="s">
        <v>666</v>
      </c>
      <c r="D831" s="15" t="s">
        <v>204</v>
      </c>
      <c r="E831" s="17">
        <v>38</v>
      </c>
      <c r="F831" s="17">
        <v>60</v>
      </c>
      <c r="G831" s="124">
        <v>68.400000000000006</v>
      </c>
      <c r="H831" s="14"/>
      <c r="I831" s="15" t="s">
        <v>745</v>
      </c>
    </row>
    <row r="832" spans="1:9" ht="15" customHeight="1">
      <c r="A832" s="123">
        <v>46059</v>
      </c>
      <c r="B832" s="94"/>
      <c r="C832" s="125" t="s">
        <v>666</v>
      </c>
      <c r="D832" s="15" t="s">
        <v>204</v>
      </c>
      <c r="E832" s="17">
        <v>7</v>
      </c>
      <c r="F832" s="17">
        <v>60</v>
      </c>
      <c r="G832" s="124">
        <v>25.2</v>
      </c>
      <c r="H832" s="14"/>
      <c r="I832" s="15" t="s">
        <v>728</v>
      </c>
    </row>
    <row r="833" spans="1:9" ht="15" customHeight="1">
      <c r="A833" s="123">
        <v>46059</v>
      </c>
      <c r="B833" s="94"/>
      <c r="C833" s="125" t="s">
        <v>666</v>
      </c>
      <c r="D833" s="15" t="s">
        <v>205</v>
      </c>
      <c r="E833" s="17">
        <v>1</v>
      </c>
      <c r="F833" s="17">
        <v>60</v>
      </c>
      <c r="G833" s="124">
        <v>1.8</v>
      </c>
      <c r="H833" s="14"/>
      <c r="I833" s="15" t="s">
        <v>682</v>
      </c>
    </row>
    <row r="834" spans="1:9" ht="15" customHeight="1">
      <c r="A834" s="123">
        <v>46059</v>
      </c>
      <c r="B834" s="94"/>
      <c r="C834" s="125" t="s">
        <v>666</v>
      </c>
      <c r="D834" s="15" t="s">
        <v>205</v>
      </c>
      <c r="E834" s="17">
        <v>3</v>
      </c>
      <c r="F834" s="17">
        <v>60</v>
      </c>
      <c r="G834" s="124">
        <v>10.8</v>
      </c>
      <c r="H834" s="14"/>
      <c r="I834" s="15" t="s">
        <v>746</v>
      </c>
    </row>
    <row r="835" spans="1:9" ht="15" customHeight="1">
      <c r="A835" s="123">
        <v>46059</v>
      </c>
      <c r="B835" s="94"/>
      <c r="C835" s="125" t="s">
        <v>666</v>
      </c>
      <c r="D835" s="15" t="s">
        <v>205</v>
      </c>
      <c r="E835" s="17">
        <v>38</v>
      </c>
      <c r="F835" s="17">
        <v>60</v>
      </c>
      <c r="G835" s="124">
        <v>68.400000000000006</v>
      </c>
      <c r="H835" s="14"/>
      <c r="I835" s="15" t="s">
        <v>745</v>
      </c>
    </row>
    <row r="836" spans="1:9" ht="15" customHeight="1">
      <c r="A836" s="123">
        <v>46059</v>
      </c>
      <c r="B836" s="94"/>
      <c r="C836" s="125" t="s">
        <v>666</v>
      </c>
      <c r="D836" s="15" t="s">
        <v>206</v>
      </c>
      <c r="E836" s="17">
        <v>2</v>
      </c>
      <c r="F836" s="17">
        <v>30</v>
      </c>
      <c r="G836" s="124">
        <v>3.6</v>
      </c>
      <c r="H836" s="14"/>
      <c r="I836" s="15" t="s">
        <v>683</v>
      </c>
    </row>
    <row r="837" spans="1:9" ht="15" customHeight="1">
      <c r="A837" s="123">
        <v>46059</v>
      </c>
      <c r="B837" s="94"/>
      <c r="C837" s="125" t="s">
        <v>666</v>
      </c>
      <c r="D837" s="15" t="s">
        <v>219</v>
      </c>
      <c r="E837" s="17">
        <v>12</v>
      </c>
      <c r="F837" s="17">
        <v>50</v>
      </c>
      <c r="G837" s="124">
        <v>0.6</v>
      </c>
      <c r="H837" s="14"/>
      <c r="I837" s="15" t="s">
        <v>752</v>
      </c>
    </row>
    <row r="838" spans="1:9" ht="15" customHeight="1">
      <c r="A838" s="123">
        <v>46059</v>
      </c>
      <c r="B838" s="94"/>
      <c r="C838" s="125" t="s">
        <v>666</v>
      </c>
      <c r="D838" s="15" t="s">
        <v>220</v>
      </c>
      <c r="E838" s="17">
        <v>5</v>
      </c>
      <c r="F838" s="17">
        <v>50</v>
      </c>
      <c r="G838" s="124">
        <v>0.25</v>
      </c>
      <c r="H838" s="14"/>
      <c r="I838" s="15" t="s">
        <v>693</v>
      </c>
    </row>
    <row r="839" spans="1:9" ht="15" customHeight="1">
      <c r="A839" s="123">
        <v>46059</v>
      </c>
      <c r="B839" s="15" t="s">
        <v>719</v>
      </c>
      <c r="C839" s="14" t="s">
        <v>657</v>
      </c>
      <c r="D839" s="15" t="s">
        <v>149</v>
      </c>
      <c r="E839" s="17">
        <v>3</v>
      </c>
      <c r="F839" s="17">
        <v>360</v>
      </c>
      <c r="G839" s="124">
        <v>1.08</v>
      </c>
      <c r="H839" s="14"/>
      <c r="I839" s="15" t="s">
        <v>720</v>
      </c>
    </row>
    <row r="840" spans="1:9" ht="15" customHeight="1">
      <c r="A840" s="123">
        <v>46059</v>
      </c>
      <c r="B840" s="15" t="s">
        <v>719</v>
      </c>
      <c r="C840" s="14" t="s">
        <v>657</v>
      </c>
      <c r="D840" s="15" t="s">
        <v>151</v>
      </c>
      <c r="E840" s="17">
        <v>4</v>
      </c>
      <c r="F840" s="17">
        <v>360</v>
      </c>
      <c r="G840" s="124">
        <v>1.44</v>
      </c>
      <c r="H840" s="14"/>
      <c r="I840" s="15" t="s">
        <v>722</v>
      </c>
    </row>
    <row r="841" spans="1:9" ht="15" customHeight="1">
      <c r="A841" s="123">
        <v>46059</v>
      </c>
      <c r="B841" s="15" t="s">
        <v>719</v>
      </c>
      <c r="C841" s="14" t="s">
        <v>657</v>
      </c>
      <c r="D841" s="15" t="s">
        <v>153</v>
      </c>
      <c r="E841" s="17">
        <v>6</v>
      </c>
      <c r="F841" s="17">
        <v>360</v>
      </c>
      <c r="G841" s="124">
        <v>2.16</v>
      </c>
      <c r="H841" s="14"/>
      <c r="I841" s="15" t="s">
        <v>724</v>
      </c>
    </row>
    <row r="842" spans="1:9" ht="15" customHeight="1">
      <c r="A842" s="123">
        <v>46059</v>
      </c>
      <c r="B842" s="15" t="s">
        <v>719</v>
      </c>
      <c r="C842" s="14" t="s">
        <v>657</v>
      </c>
      <c r="D842" s="15" t="s">
        <v>154</v>
      </c>
      <c r="E842" s="17">
        <v>4</v>
      </c>
      <c r="F842" s="17">
        <v>360</v>
      </c>
      <c r="G842" s="124">
        <v>1.44</v>
      </c>
      <c r="H842" s="14"/>
      <c r="I842" s="15" t="s">
        <v>725</v>
      </c>
    </row>
    <row r="843" spans="1:9" ht="15" customHeight="1">
      <c r="A843" s="123">
        <v>46062</v>
      </c>
      <c r="B843" s="94"/>
      <c r="C843" s="125" t="s">
        <v>666</v>
      </c>
      <c r="D843" s="94" t="s">
        <v>141</v>
      </c>
      <c r="E843" s="17">
        <v>3</v>
      </c>
      <c r="F843" s="17">
        <v>60</v>
      </c>
      <c r="G843" s="124">
        <v>3.6</v>
      </c>
      <c r="H843" s="14"/>
      <c r="I843" s="94" t="s">
        <v>692</v>
      </c>
    </row>
    <row r="844" spans="1:9" ht="15" customHeight="1">
      <c r="A844" s="123">
        <v>46062</v>
      </c>
      <c r="B844" s="94"/>
      <c r="C844" s="125" t="s">
        <v>666</v>
      </c>
      <c r="D844" s="15" t="s">
        <v>142</v>
      </c>
      <c r="E844" s="17">
        <v>2</v>
      </c>
      <c r="F844" s="17">
        <v>50</v>
      </c>
      <c r="G844" s="124">
        <v>2</v>
      </c>
      <c r="H844" s="14"/>
      <c r="I844" s="15" t="s">
        <v>667</v>
      </c>
    </row>
    <row r="845" spans="1:9" ht="15" customHeight="1">
      <c r="A845" s="123">
        <v>46062</v>
      </c>
      <c r="B845" s="94"/>
      <c r="C845" s="125" t="s">
        <v>666</v>
      </c>
      <c r="D845" s="15" t="s">
        <v>142</v>
      </c>
      <c r="E845" s="17">
        <v>35</v>
      </c>
      <c r="F845" s="17">
        <v>50</v>
      </c>
      <c r="G845" s="124">
        <v>1.75</v>
      </c>
      <c r="H845" s="14"/>
      <c r="I845" s="15" t="s">
        <v>685</v>
      </c>
    </row>
    <row r="846" spans="1:9" ht="15" customHeight="1">
      <c r="A846" s="123">
        <v>46062</v>
      </c>
      <c r="B846" s="94"/>
      <c r="C846" s="125" t="s">
        <v>666</v>
      </c>
      <c r="D846" s="15" t="s">
        <v>143</v>
      </c>
      <c r="E846" s="17">
        <v>4</v>
      </c>
      <c r="F846" s="17">
        <v>50</v>
      </c>
      <c r="G846" s="124">
        <v>4</v>
      </c>
      <c r="H846" s="14"/>
      <c r="I846" s="15" t="s">
        <v>669</v>
      </c>
    </row>
    <row r="847" spans="1:9" ht="15" customHeight="1">
      <c r="A847" s="123">
        <v>46062</v>
      </c>
      <c r="B847" s="94"/>
      <c r="C847" s="125" t="s">
        <v>666</v>
      </c>
      <c r="D847" s="15" t="s">
        <v>143</v>
      </c>
      <c r="E847" s="17">
        <v>8</v>
      </c>
      <c r="F847" s="17">
        <v>50</v>
      </c>
      <c r="G847" s="124">
        <v>16</v>
      </c>
      <c r="H847" s="14"/>
      <c r="I847" s="15" t="s">
        <v>670</v>
      </c>
    </row>
    <row r="848" spans="1:9" ht="15" customHeight="1">
      <c r="A848" s="123">
        <v>46062</v>
      </c>
      <c r="B848" s="94"/>
      <c r="C848" s="125" t="s">
        <v>666</v>
      </c>
      <c r="D848" s="15" t="s">
        <v>143</v>
      </c>
      <c r="E848" s="17">
        <v>2</v>
      </c>
      <c r="F848" s="17">
        <v>50</v>
      </c>
      <c r="G848" s="124">
        <v>0.5</v>
      </c>
      <c r="H848" s="14"/>
      <c r="I848" s="15" t="s">
        <v>739</v>
      </c>
    </row>
    <row r="849" spans="1:9" ht="15" customHeight="1">
      <c r="A849" s="123">
        <v>46062</v>
      </c>
      <c r="B849" s="94"/>
      <c r="C849" s="125" t="s">
        <v>666</v>
      </c>
      <c r="D849" s="15" t="s">
        <v>143</v>
      </c>
      <c r="E849" s="17">
        <v>60</v>
      </c>
      <c r="F849" s="17">
        <v>50</v>
      </c>
      <c r="G849" s="124">
        <v>60</v>
      </c>
      <c r="H849" s="14"/>
      <c r="I849" s="15" t="s">
        <v>707</v>
      </c>
    </row>
    <row r="850" spans="1:9" ht="15" customHeight="1">
      <c r="A850" s="123">
        <v>46062</v>
      </c>
      <c r="B850" s="94"/>
      <c r="C850" s="125" t="s">
        <v>666</v>
      </c>
      <c r="D850" s="15" t="s">
        <v>143</v>
      </c>
      <c r="E850" s="17">
        <v>5</v>
      </c>
      <c r="F850" s="17">
        <v>50</v>
      </c>
      <c r="G850" s="124">
        <v>0.25</v>
      </c>
      <c r="H850" s="14"/>
      <c r="I850" s="15" t="s">
        <v>671</v>
      </c>
    </row>
    <row r="851" spans="1:9" ht="15" customHeight="1">
      <c r="A851" s="123">
        <v>46062</v>
      </c>
      <c r="B851" s="94"/>
      <c r="C851" s="125" t="s">
        <v>666</v>
      </c>
      <c r="D851" s="15" t="s">
        <v>144</v>
      </c>
      <c r="E851" s="17">
        <v>5</v>
      </c>
      <c r="F851" s="17">
        <v>1000</v>
      </c>
      <c r="G851" s="124">
        <v>10</v>
      </c>
      <c r="H851" s="14"/>
      <c r="I851" s="15" t="s">
        <v>672</v>
      </c>
    </row>
    <row r="852" spans="1:9" ht="15" customHeight="1">
      <c r="A852" s="123">
        <v>46062</v>
      </c>
      <c r="B852" s="94"/>
      <c r="C852" s="125" t="s">
        <v>666</v>
      </c>
      <c r="D852" s="15" t="s">
        <v>145</v>
      </c>
      <c r="E852" s="17">
        <v>5</v>
      </c>
      <c r="F852" s="17">
        <v>50</v>
      </c>
      <c r="G852" s="124">
        <v>0.25</v>
      </c>
      <c r="H852" s="14"/>
      <c r="I852" s="15" t="s">
        <v>671</v>
      </c>
    </row>
    <row r="853" spans="1:9" ht="15" customHeight="1">
      <c r="A853" s="123">
        <v>46062</v>
      </c>
      <c r="B853" s="94"/>
      <c r="C853" s="125" t="s">
        <v>666</v>
      </c>
      <c r="D853" s="15" t="s">
        <v>146</v>
      </c>
      <c r="E853" s="17">
        <v>35</v>
      </c>
      <c r="F853" s="17">
        <v>50</v>
      </c>
      <c r="G853" s="124">
        <v>1.75</v>
      </c>
      <c r="H853" s="14"/>
      <c r="I853" s="15" t="s">
        <v>685</v>
      </c>
    </row>
    <row r="854" spans="1:9" ht="15" customHeight="1">
      <c r="A854" s="123">
        <v>46062</v>
      </c>
      <c r="B854" s="94"/>
      <c r="C854" s="125" t="s">
        <v>666</v>
      </c>
      <c r="D854" s="15" t="s">
        <v>147</v>
      </c>
      <c r="E854" s="17">
        <v>35</v>
      </c>
      <c r="F854" s="17">
        <v>50</v>
      </c>
      <c r="G854" s="124">
        <v>1.75</v>
      </c>
      <c r="H854" s="14"/>
      <c r="I854" s="15" t="s">
        <v>685</v>
      </c>
    </row>
    <row r="855" spans="1:9" ht="15" customHeight="1">
      <c r="A855" s="123">
        <v>46062</v>
      </c>
      <c r="B855" s="94"/>
      <c r="C855" s="125" t="s">
        <v>666</v>
      </c>
      <c r="D855" s="15" t="s">
        <v>148</v>
      </c>
      <c r="E855" s="17">
        <v>4</v>
      </c>
      <c r="F855" s="17">
        <v>50</v>
      </c>
      <c r="G855" s="124">
        <v>0.2</v>
      </c>
      <c r="H855" s="14"/>
      <c r="I855" s="15" t="s">
        <v>671</v>
      </c>
    </row>
    <row r="856" spans="1:9" ht="15" customHeight="1">
      <c r="A856" s="123">
        <v>46062</v>
      </c>
      <c r="B856" s="94"/>
      <c r="C856" s="125" t="s">
        <v>666</v>
      </c>
      <c r="D856" s="15" t="s">
        <v>155</v>
      </c>
      <c r="E856" s="17">
        <v>10</v>
      </c>
      <c r="F856" s="17">
        <v>80</v>
      </c>
      <c r="G856" s="124">
        <v>12</v>
      </c>
      <c r="H856" s="14"/>
      <c r="I856" s="94" t="s">
        <v>741</v>
      </c>
    </row>
    <row r="857" spans="1:9" ht="15" customHeight="1">
      <c r="A857" s="123">
        <v>46062</v>
      </c>
      <c r="B857" s="94"/>
      <c r="C857" s="125" t="s">
        <v>666</v>
      </c>
      <c r="D857" s="15" t="s">
        <v>155</v>
      </c>
      <c r="E857" s="17">
        <v>14</v>
      </c>
      <c r="F857" s="17">
        <v>80</v>
      </c>
      <c r="G857" s="124">
        <v>22.4</v>
      </c>
      <c r="H857" s="14"/>
      <c r="I857" s="94" t="s">
        <v>673</v>
      </c>
    </row>
    <row r="858" spans="1:9" ht="15" customHeight="1">
      <c r="A858" s="123">
        <v>46062</v>
      </c>
      <c r="B858" s="94"/>
      <c r="C858" s="125" t="s">
        <v>666</v>
      </c>
      <c r="D858" s="15" t="s">
        <v>159</v>
      </c>
      <c r="E858" s="17">
        <v>4</v>
      </c>
      <c r="F858" s="17">
        <v>50</v>
      </c>
      <c r="G858" s="124">
        <v>0.2</v>
      </c>
      <c r="H858" s="14"/>
      <c r="I858" s="15" t="s">
        <v>671</v>
      </c>
    </row>
    <row r="859" spans="1:9" ht="15" customHeight="1">
      <c r="A859" s="123">
        <v>46062</v>
      </c>
      <c r="B859" s="94"/>
      <c r="C859" s="125" t="s">
        <v>666</v>
      </c>
      <c r="D859" s="15" t="s">
        <v>173</v>
      </c>
      <c r="E859" s="17">
        <v>2</v>
      </c>
      <c r="F859" s="17">
        <v>50</v>
      </c>
      <c r="G859" s="124">
        <v>0.5</v>
      </c>
      <c r="H859" s="14"/>
      <c r="I859" s="15" t="s">
        <v>739</v>
      </c>
    </row>
    <row r="860" spans="1:9" ht="15" customHeight="1">
      <c r="A860" s="123">
        <v>46062</v>
      </c>
      <c r="B860" s="94"/>
      <c r="C860" s="125" t="s">
        <v>666</v>
      </c>
      <c r="D860" s="15" t="s">
        <v>174</v>
      </c>
      <c r="E860" s="17">
        <v>1</v>
      </c>
      <c r="F860" s="17">
        <v>1000</v>
      </c>
      <c r="G860" s="124">
        <v>1</v>
      </c>
      <c r="H860" s="14"/>
      <c r="I860" s="15" t="s">
        <v>674</v>
      </c>
    </row>
    <row r="861" spans="1:9" ht="15" customHeight="1">
      <c r="A861" s="123">
        <v>46062</v>
      </c>
      <c r="B861" s="94"/>
      <c r="C861" s="125" t="s">
        <v>666</v>
      </c>
      <c r="D861" s="15" t="s">
        <v>174</v>
      </c>
      <c r="E861" s="17">
        <v>36</v>
      </c>
      <c r="F861" s="17">
        <v>1000</v>
      </c>
      <c r="G861" s="124">
        <v>72</v>
      </c>
      <c r="H861" s="14"/>
      <c r="I861" s="15" t="s">
        <v>717</v>
      </c>
    </row>
    <row r="862" spans="1:9" ht="15" customHeight="1">
      <c r="A862" s="123">
        <v>46062</v>
      </c>
      <c r="B862" s="94"/>
      <c r="C862" s="125" t="s">
        <v>666</v>
      </c>
      <c r="D862" s="15" t="s">
        <v>179</v>
      </c>
      <c r="E862" s="17">
        <v>4</v>
      </c>
      <c r="F862" s="17">
        <v>1000</v>
      </c>
      <c r="G862" s="124">
        <v>4</v>
      </c>
      <c r="H862" s="14"/>
      <c r="I862" s="15" t="s">
        <v>702</v>
      </c>
    </row>
    <row r="863" spans="1:9" ht="15" customHeight="1">
      <c r="A863" s="123">
        <v>46062</v>
      </c>
      <c r="B863" s="94"/>
      <c r="C863" s="125" t="s">
        <v>666</v>
      </c>
      <c r="D863" s="15" t="s">
        <v>181</v>
      </c>
      <c r="E863" s="17">
        <v>2</v>
      </c>
      <c r="F863" s="17">
        <v>1000</v>
      </c>
      <c r="G863" s="124">
        <v>2</v>
      </c>
      <c r="H863" s="14"/>
      <c r="I863" s="94" t="s">
        <v>705</v>
      </c>
    </row>
    <row r="864" spans="1:9" ht="15" customHeight="1">
      <c r="A864" s="123">
        <v>46062</v>
      </c>
      <c r="B864" s="94"/>
      <c r="C864" s="125" t="s">
        <v>666</v>
      </c>
      <c r="D864" s="15" t="s">
        <v>183</v>
      </c>
      <c r="E864" s="17">
        <v>620</v>
      </c>
      <c r="F864" s="17">
        <v>60</v>
      </c>
      <c r="G864" s="124">
        <v>1116</v>
      </c>
      <c r="H864" s="14"/>
      <c r="I864" s="15" t="s">
        <v>676</v>
      </c>
    </row>
    <row r="865" spans="1:9" ht="15" customHeight="1">
      <c r="A865" s="123">
        <v>46062</v>
      </c>
      <c r="B865" s="94"/>
      <c r="C865" s="125" t="s">
        <v>666</v>
      </c>
      <c r="D865" s="15" t="s">
        <v>184</v>
      </c>
      <c r="E865" s="17">
        <v>1</v>
      </c>
      <c r="F865" s="17">
        <v>50</v>
      </c>
      <c r="G865" s="124">
        <v>1</v>
      </c>
      <c r="H865" s="14"/>
      <c r="I865" s="15" t="s">
        <v>688</v>
      </c>
    </row>
    <row r="866" spans="1:9" ht="15" customHeight="1">
      <c r="A866" s="123">
        <v>46062</v>
      </c>
      <c r="B866" s="94"/>
      <c r="C866" s="125" t="s">
        <v>666</v>
      </c>
      <c r="D866" s="15" t="s">
        <v>184</v>
      </c>
      <c r="E866" s="17">
        <v>2</v>
      </c>
      <c r="F866" s="17">
        <v>50</v>
      </c>
      <c r="G866" s="124">
        <v>4</v>
      </c>
      <c r="H866" s="14"/>
      <c r="I866" s="15" t="s">
        <v>678</v>
      </c>
    </row>
    <row r="867" spans="1:9" ht="15" customHeight="1">
      <c r="A867" s="123">
        <v>46062</v>
      </c>
      <c r="B867" s="94"/>
      <c r="C867" s="125" t="s">
        <v>666</v>
      </c>
      <c r="D867" s="15" t="s">
        <v>184</v>
      </c>
      <c r="E867" s="17">
        <v>60</v>
      </c>
      <c r="F867" s="17">
        <v>50</v>
      </c>
      <c r="G867" s="124">
        <v>60</v>
      </c>
      <c r="H867" s="14"/>
      <c r="I867" s="15" t="s">
        <v>707</v>
      </c>
    </row>
    <row r="868" spans="1:9" ht="15" customHeight="1">
      <c r="A868" s="123">
        <v>46062</v>
      </c>
      <c r="B868" s="94"/>
      <c r="C868" s="125" t="s">
        <v>666</v>
      </c>
      <c r="D868" s="15" t="s">
        <v>184</v>
      </c>
      <c r="E868" s="17">
        <v>5</v>
      </c>
      <c r="F868" s="17">
        <v>50</v>
      </c>
      <c r="G868" s="124">
        <v>0.25</v>
      </c>
      <c r="H868" s="14"/>
      <c r="I868" s="15" t="s">
        <v>671</v>
      </c>
    </row>
    <row r="869" spans="1:9" ht="15" customHeight="1">
      <c r="A869" s="123">
        <v>46062</v>
      </c>
      <c r="B869" s="94"/>
      <c r="C869" s="125" t="s">
        <v>666</v>
      </c>
      <c r="D869" s="15" t="s">
        <v>186</v>
      </c>
      <c r="E869" s="17">
        <v>4</v>
      </c>
      <c r="F869" s="17">
        <v>50</v>
      </c>
      <c r="G869" s="124">
        <v>0.2</v>
      </c>
      <c r="H869" s="14"/>
      <c r="I869" s="15" t="s">
        <v>671</v>
      </c>
    </row>
    <row r="870" spans="1:9" ht="15" customHeight="1">
      <c r="A870" s="123">
        <v>46062</v>
      </c>
      <c r="B870" s="94"/>
      <c r="C870" s="125" t="s">
        <v>666</v>
      </c>
      <c r="D870" s="15" t="s">
        <v>192</v>
      </c>
      <c r="E870" s="17">
        <v>5</v>
      </c>
      <c r="F870" s="17">
        <v>50</v>
      </c>
      <c r="G870" s="124">
        <v>0.25</v>
      </c>
      <c r="H870" s="14"/>
      <c r="I870" s="15" t="s">
        <v>671</v>
      </c>
    </row>
    <row r="871" spans="1:9" ht="15" customHeight="1">
      <c r="A871" s="123">
        <v>46062</v>
      </c>
      <c r="B871" s="94"/>
      <c r="C871" s="125" t="s">
        <v>666</v>
      </c>
      <c r="D871" s="15" t="s">
        <v>195</v>
      </c>
      <c r="E871" s="17">
        <v>1</v>
      </c>
      <c r="F871" s="17">
        <v>50</v>
      </c>
      <c r="G871" s="124">
        <v>0.5</v>
      </c>
      <c r="H871" s="14"/>
      <c r="I871" s="15" t="s">
        <v>689</v>
      </c>
    </row>
    <row r="872" spans="1:9" ht="15" customHeight="1">
      <c r="A872" s="123">
        <v>46062</v>
      </c>
      <c r="B872" s="94"/>
      <c r="C872" s="125" t="s">
        <v>666</v>
      </c>
      <c r="D872" s="15" t="s">
        <v>195</v>
      </c>
      <c r="E872" s="17">
        <v>4</v>
      </c>
      <c r="F872" s="17">
        <v>50</v>
      </c>
      <c r="G872" s="124">
        <v>0.2</v>
      </c>
      <c r="H872" s="14"/>
      <c r="I872" s="15" t="s">
        <v>671</v>
      </c>
    </row>
    <row r="873" spans="1:9" ht="15" customHeight="1">
      <c r="A873" s="123">
        <v>46062</v>
      </c>
      <c r="B873" s="94"/>
      <c r="C873" s="125" t="s">
        <v>666</v>
      </c>
      <c r="D873" s="15" t="s">
        <v>222</v>
      </c>
      <c r="E873" s="17">
        <v>3</v>
      </c>
      <c r="F873" s="17">
        <v>40</v>
      </c>
      <c r="G873" s="124">
        <v>2.4</v>
      </c>
      <c r="H873" s="14"/>
      <c r="I873" s="15" t="s">
        <v>679</v>
      </c>
    </row>
    <row r="874" spans="1:9" ht="15" customHeight="1">
      <c r="A874" s="123">
        <v>46062</v>
      </c>
      <c r="B874" s="94"/>
      <c r="C874" s="125" t="s">
        <v>666</v>
      </c>
      <c r="D874" s="15" t="s">
        <v>221</v>
      </c>
      <c r="E874" s="17">
        <v>1</v>
      </c>
      <c r="F874" s="17">
        <v>40</v>
      </c>
      <c r="G874" s="124">
        <v>0.8</v>
      </c>
      <c r="H874" s="14"/>
      <c r="I874" s="15" t="s">
        <v>680</v>
      </c>
    </row>
    <row r="875" spans="1:9" ht="15" customHeight="1">
      <c r="A875" s="123">
        <v>46062</v>
      </c>
      <c r="B875" s="94"/>
      <c r="C875" s="125" t="s">
        <v>666</v>
      </c>
      <c r="D875" s="15" t="s">
        <v>204</v>
      </c>
      <c r="E875" s="17">
        <v>2</v>
      </c>
      <c r="F875" s="17">
        <v>1000</v>
      </c>
      <c r="G875" s="124">
        <v>3.6</v>
      </c>
      <c r="H875" s="14"/>
      <c r="I875" s="15" t="s">
        <v>690</v>
      </c>
    </row>
    <row r="876" spans="1:9" ht="15" customHeight="1">
      <c r="A876" s="123">
        <v>46062</v>
      </c>
      <c r="B876" s="94"/>
      <c r="C876" s="125" t="s">
        <v>666</v>
      </c>
      <c r="D876" s="15" t="s">
        <v>204</v>
      </c>
      <c r="E876" s="17">
        <v>16</v>
      </c>
      <c r="F876" s="17">
        <v>60</v>
      </c>
      <c r="G876" s="124">
        <v>14.4</v>
      </c>
      <c r="H876" s="14"/>
      <c r="I876" s="15" t="s">
        <v>744</v>
      </c>
    </row>
    <row r="877" spans="1:9" ht="15" customHeight="1">
      <c r="A877" s="123">
        <v>46062</v>
      </c>
      <c r="B877" s="94"/>
      <c r="C877" s="125" t="s">
        <v>666</v>
      </c>
      <c r="D877" s="15" t="s">
        <v>204</v>
      </c>
      <c r="E877" s="17">
        <v>8</v>
      </c>
      <c r="F877" s="17">
        <v>60</v>
      </c>
      <c r="G877" s="124">
        <v>14.4</v>
      </c>
      <c r="H877" s="14"/>
      <c r="I877" s="15" t="s">
        <v>681</v>
      </c>
    </row>
    <row r="878" spans="1:9" ht="15" customHeight="1">
      <c r="A878" s="123">
        <v>46062</v>
      </c>
      <c r="B878" s="94"/>
      <c r="C878" s="125" t="s">
        <v>666</v>
      </c>
      <c r="D878" s="15" t="s">
        <v>204</v>
      </c>
      <c r="E878" s="17">
        <v>30</v>
      </c>
      <c r="F878" s="17">
        <v>60</v>
      </c>
      <c r="G878" s="124">
        <v>54</v>
      </c>
      <c r="H878" s="14"/>
      <c r="I878" s="15" t="s">
        <v>745</v>
      </c>
    </row>
    <row r="879" spans="1:9" ht="15" customHeight="1">
      <c r="A879" s="123">
        <v>46062</v>
      </c>
      <c r="B879" s="94"/>
      <c r="C879" s="125" t="s">
        <v>666</v>
      </c>
      <c r="D879" s="15" t="s">
        <v>204</v>
      </c>
      <c r="E879" s="17">
        <v>54</v>
      </c>
      <c r="F879" s="17">
        <v>60</v>
      </c>
      <c r="G879" s="124">
        <v>194.4</v>
      </c>
      <c r="H879" s="14"/>
      <c r="I879" s="15" t="s">
        <v>728</v>
      </c>
    </row>
    <row r="880" spans="1:9" ht="15" customHeight="1">
      <c r="A880" s="123">
        <v>46062</v>
      </c>
      <c r="B880" s="94"/>
      <c r="C880" s="125" t="s">
        <v>666</v>
      </c>
      <c r="D880" s="15" t="s">
        <v>205</v>
      </c>
      <c r="E880" s="17">
        <v>1</v>
      </c>
      <c r="F880" s="17">
        <v>60</v>
      </c>
      <c r="G880" s="124">
        <v>1.8</v>
      </c>
      <c r="H880" s="14"/>
      <c r="I880" s="15" t="s">
        <v>682</v>
      </c>
    </row>
    <row r="881" spans="1:9" ht="15" customHeight="1">
      <c r="A881" s="123">
        <v>46062</v>
      </c>
      <c r="B881" s="94"/>
      <c r="C881" s="125" t="s">
        <v>666</v>
      </c>
      <c r="D881" s="15" t="s">
        <v>205</v>
      </c>
      <c r="E881" s="17">
        <v>15</v>
      </c>
      <c r="F881" s="17">
        <v>60</v>
      </c>
      <c r="G881" s="124">
        <v>54</v>
      </c>
      <c r="H881" s="14"/>
      <c r="I881" s="15" t="s">
        <v>746</v>
      </c>
    </row>
    <row r="882" spans="1:9" ht="15" customHeight="1">
      <c r="A882" s="123">
        <v>46062</v>
      </c>
      <c r="B882" s="94"/>
      <c r="C882" s="125" t="s">
        <v>666</v>
      </c>
      <c r="D882" s="15" t="s">
        <v>205</v>
      </c>
      <c r="E882" s="17">
        <v>16</v>
      </c>
      <c r="F882" s="17">
        <v>60</v>
      </c>
      <c r="G882" s="124">
        <v>14.4</v>
      </c>
      <c r="H882" s="14"/>
      <c r="I882" s="15" t="s">
        <v>744</v>
      </c>
    </row>
    <row r="883" spans="1:9" ht="15" customHeight="1">
      <c r="A883" s="123">
        <v>46062</v>
      </c>
      <c r="B883" s="94"/>
      <c r="C883" s="125" t="s">
        <v>666</v>
      </c>
      <c r="D883" s="15" t="s">
        <v>205</v>
      </c>
      <c r="E883" s="17">
        <v>30</v>
      </c>
      <c r="F883" s="17">
        <v>60</v>
      </c>
      <c r="G883" s="124">
        <v>54</v>
      </c>
      <c r="H883" s="14"/>
      <c r="I883" s="15" t="s">
        <v>745</v>
      </c>
    </row>
    <row r="884" spans="1:9" ht="15" customHeight="1">
      <c r="A884" s="123">
        <v>46062</v>
      </c>
      <c r="B884" s="94"/>
      <c r="C884" s="125" t="s">
        <v>666</v>
      </c>
      <c r="D884" s="15" t="s">
        <v>207</v>
      </c>
      <c r="E884" s="17">
        <v>8</v>
      </c>
      <c r="F884" s="17">
        <v>1000</v>
      </c>
      <c r="G884" s="124">
        <v>8</v>
      </c>
      <c r="H884" s="14"/>
      <c r="I884" s="15" t="s">
        <v>691</v>
      </c>
    </row>
    <row r="885" spans="1:9" ht="15" customHeight="1">
      <c r="A885" s="123">
        <v>46062</v>
      </c>
      <c r="B885" s="94"/>
      <c r="C885" s="125" t="s">
        <v>666</v>
      </c>
      <c r="D885" s="15" t="s">
        <v>212</v>
      </c>
      <c r="E885" s="17">
        <v>2</v>
      </c>
      <c r="F885" s="17">
        <v>50</v>
      </c>
      <c r="G885" s="124">
        <v>0.5</v>
      </c>
      <c r="H885" s="14"/>
      <c r="I885" s="15" t="s">
        <v>739</v>
      </c>
    </row>
    <row r="886" spans="1:9" ht="15" customHeight="1">
      <c r="A886" s="123">
        <v>46062</v>
      </c>
      <c r="B886" s="94"/>
      <c r="C886" s="125" t="s">
        <v>666</v>
      </c>
      <c r="D886" s="15" t="s">
        <v>219</v>
      </c>
      <c r="E886" s="17">
        <v>4</v>
      </c>
      <c r="F886" s="17">
        <v>50</v>
      </c>
      <c r="G886" s="124">
        <v>0.2</v>
      </c>
      <c r="H886" s="14"/>
      <c r="I886" s="15" t="s">
        <v>671</v>
      </c>
    </row>
    <row r="887" spans="1:9" ht="15" customHeight="1">
      <c r="A887" s="123">
        <v>46062</v>
      </c>
      <c r="B887" s="94"/>
      <c r="C887" s="125" t="s">
        <v>666</v>
      </c>
      <c r="D887" s="15" t="s">
        <v>220</v>
      </c>
      <c r="E887" s="17">
        <v>35</v>
      </c>
      <c r="F887" s="17">
        <v>50</v>
      </c>
      <c r="G887" s="124">
        <v>1.75</v>
      </c>
      <c r="H887" s="14"/>
      <c r="I887" s="15" t="s">
        <v>685</v>
      </c>
    </row>
    <row r="888" spans="1:9" ht="15" customHeight="1">
      <c r="A888" s="123">
        <v>46062</v>
      </c>
      <c r="B888" s="15" t="s">
        <v>719</v>
      </c>
      <c r="C888" s="14" t="s">
        <v>657</v>
      </c>
      <c r="D888" s="15" t="s">
        <v>149</v>
      </c>
      <c r="E888" s="17">
        <v>15</v>
      </c>
      <c r="F888" s="17">
        <v>360</v>
      </c>
      <c r="G888" s="124">
        <v>5.4</v>
      </c>
      <c r="H888" s="14"/>
      <c r="I888" s="15" t="s">
        <v>720</v>
      </c>
    </row>
    <row r="889" spans="1:9" ht="15" customHeight="1">
      <c r="A889" s="123">
        <v>46062</v>
      </c>
      <c r="B889" s="15" t="s">
        <v>719</v>
      </c>
      <c r="C889" s="14" t="s">
        <v>657</v>
      </c>
      <c r="D889" s="15" t="s">
        <v>150</v>
      </c>
      <c r="E889" s="17">
        <v>19</v>
      </c>
      <c r="F889" s="17">
        <v>360</v>
      </c>
      <c r="G889" s="124">
        <v>6.84</v>
      </c>
      <c r="H889" s="14"/>
      <c r="I889" s="15" t="s">
        <v>721</v>
      </c>
    </row>
    <row r="890" spans="1:9" ht="15" customHeight="1">
      <c r="A890" s="123">
        <v>46062</v>
      </c>
      <c r="B890" s="15" t="s">
        <v>719</v>
      </c>
      <c r="C890" s="14" t="s">
        <v>657</v>
      </c>
      <c r="D890" s="15" t="s">
        <v>151</v>
      </c>
      <c r="E890" s="17">
        <v>9</v>
      </c>
      <c r="F890" s="17">
        <v>360</v>
      </c>
      <c r="G890" s="124">
        <v>3.24</v>
      </c>
      <c r="H890" s="14"/>
      <c r="I890" s="15" t="s">
        <v>722</v>
      </c>
    </row>
    <row r="891" spans="1:9" ht="15" customHeight="1">
      <c r="A891" s="123">
        <v>46062</v>
      </c>
      <c r="B891" s="15" t="s">
        <v>719</v>
      </c>
      <c r="C891" s="14" t="s">
        <v>657</v>
      </c>
      <c r="D891" s="15" t="s">
        <v>152</v>
      </c>
      <c r="E891" s="17">
        <v>40</v>
      </c>
      <c r="F891" s="17">
        <v>360</v>
      </c>
      <c r="G891" s="124">
        <v>14.4</v>
      </c>
      <c r="H891" s="14"/>
      <c r="I891" s="15" t="s">
        <v>723</v>
      </c>
    </row>
    <row r="892" spans="1:9" ht="15" customHeight="1">
      <c r="A892" s="123">
        <v>46062</v>
      </c>
      <c r="B892" s="15" t="s">
        <v>719</v>
      </c>
      <c r="C892" s="14" t="s">
        <v>657</v>
      </c>
      <c r="D892" s="15" t="s">
        <v>153</v>
      </c>
      <c r="E892" s="17">
        <v>21</v>
      </c>
      <c r="F892" s="17">
        <v>360</v>
      </c>
      <c r="G892" s="124">
        <v>7.56</v>
      </c>
      <c r="H892" s="14"/>
      <c r="I892" s="15" t="s">
        <v>724</v>
      </c>
    </row>
    <row r="893" spans="1:9" ht="15" customHeight="1">
      <c r="A893" s="123">
        <v>46062</v>
      </c>
      <c r="B893" s="15" t="s">
        <v>719</v>
      </c>
      <c r="C893" s="14" t="s">
        <v>657</v>
      </c>
      <c r="D893" s="15" t="s">
        <v>154</v>
      </c>
      <c r="E893" s="17">
        <v>6</v>
      </c>
      <c r="F893" s="17">
        <v>360</v>
      </c>
      <c r="G893" s="124">
        <v>2.16</v>
      </c>
      <c r="H893" s="14"/>
      <c r="I893" s="15" t="s">
        <v>725</v>
      </c>
    </row>
    <row r="894" spans="1:9" ht="15" customHeight="1">
      <c r="A894" s="123">
        <v>46063</v>
      </c>
      <c r="B894" s="94"/>
      <c r="C894" s="125" t="s">
        <v>666</v>
      </c>
      <c r="D894" s="94" t="s">
        <v>141</v>
      </c>
      <c r="E894" s="17">
        <v>1</v>
      </c>
      <c r="F894" s="17">
        <v>60</v>
      </c>
      <c r="G894" s="124">
        <v>1.2</v>
      </c>
      <c r="H894" s="14"/>
      <c r="I894" s="94" t="s">
        <v>692</v>
      </c>
    </row>
    <row r="895" spans="1:9" ht="15" customHeight="1">
      <c r="A895" s="123">
        <v>46063</v>
      </c>
      <c r="B895" s="94"/>
      <c r="C895" s="125" t="s">
        <v>666</v>
      </c>
      <c r="D895" s="94" t="s">
        <v>141</v>
      </c>
      <c r="E895" s="17">
        <v>3</v>
      </c>
      <c r="F895" s="17">
        <v>60</v>
      </c>
      <c r="G895" s="124">
        <v>3.6</v>
      </c>
      <c r="H895" s="14"/>
      <c r="I895" s="15" t="s">
        <v>684</v>
      </c>
    </row>
    <row r="896" spans="1:9" ht="15" customHeight="1">
      <c r="A896" s="123">
        <v>46063</v>
      </c>
      <c r="B896" s="94"/>
      <c r="C896" s="125" t="s">
        <v>666</v>
      </c>
      <c r="D896" s="15" t="s">
        <v>142</v>
      </c>
      <c r="E896" s="17">
        <v>10</v>
      </c>
      <c r="F896" s="17">
        <v>50</v>
      </c>
      <c r="G896" s="124">
        <v>0.5</v>
      </c>
      <c r="H896" s="14"/>
      <c r="I896" s="15" t="s">
        <v>668</v>
      </c>
    </row>
    <row r="897" spans="1:9" ht="15" customHeight="1">
      <c r="A897" s="123">
        <v>46063</v>
      </c>
      <c r="B897" s="94"/>
      <c r="C897" s="125" t="s">
        <v>666</v>
      </c>
      <c r="D897" s="15" t="s">
        <v>143</v>
      </c>
      <c r="E897" s="17">
        <v>2</v>
      </c>
      <c r="F897" s="17">
        <v>50</v>
      </c>
      <c r="G897" s="124">
        <v>2</v>
      </c>
      <c r="H897" s="14"/>
      <c r="I897" s="15" t="s">
        <v>669</v>
      </c>
    </row>
    <row r="898" spans="1:9" ht="15" customHeight="1">
      <c r="A898" s="123">
        <v>46063</v>
      </c>
      <c r="B898" s="94"/>
      <c r="C898" s="125" t="s">
        <v>666</v>
      </c>
      <c r="D898" s="15" t="s">
        <v>143</v>
      </c>
      <c r="E898" s="17">
        <v>1</v>
      </c>
      <c r="F898" s="17">
        <v>50</v>
      </c>
      <c r="G898" s="124">
        <v>2</v>
      </c>
      <c r="H898" s="14"/>
      <c r="I898" s="15" t="s">
        <v>670</v>
      </c>
    </row>
    <row r="899" spans="1:9" ht="15" customHeight="1">
      <c r="A899" s="123">
        <v>46063</v>
      </c>
      <c r="B899" s="94"/>
      <c r="C899" s="125" t="s">
        <v>666</v>
      </c>
      <c r="D899" s="15" t="s">
        <v>143</v>
      </c>
      <c r="E899" s="17">
        <v>8</v>
      </c>
      <c r="F899" s="17">
        <v>50</v>
      </c>
      <c r="G899" s="124">
        <v>8</v>
      </c>
      <c r="H899" s="14"/>
      <c r="I899" s="15" t="s">
        <v>707</v>
      </c>
    </row>
    <row r="900" spans="1:9" ht="15" customHeight="1">
      <c r="A900" s="123">
        <v>46063</v>
      </c>
      <c r="B900" s="94"/>
      <c r="C900" s="125" t="s">
        <v>666</v>
      </c>
      <c r="D900" s="15" t="s">
        <v>143</v>
      </c>
      <c r="E900" s="17">
        <v>20</v>
      </c>
      <c r="F900" s="17">
        <v>50</v>
      </c>
      <c r="G900" s="124">
        <v>1</v>
      </c>
      <c r="H900" s="14"/>
      <c r="I900" s="15" t="s">
        <v>754</v>
      </c>
    </row>
    <row r="901" spans="1:9" ht="15" customHeight="1">
      <c r="A901" s="123">
        <v>46063</v>
      </c>
      <c r="B901" s="94"/>
      <c r="C901" s="125" t="s">
        <v>666</v>
      </c>
      <c r="D901" s="15" t="s">
        <v>144</v>
      </c>
      <c r="E901" s="17">
        <v>2</v>
      </c>
      <c r="F901" s="17">
        <v>1000</v>
      </c>
      <c r="G901" s="124">
        <v>4</v>
      </c>
      <c r="H901" s="14"/>
      <c r="I901" s="15" t="s">
        <v>672</v>
      </c>
    </row>
    <row r="902" spans="1:9" ht="15" customHeight="1">
      <c r="A902" s="123">
        <v>46063</v>
      </c>
      <c r="B902" s="94"/>
      <c r="C902" s="125" t="s">
        <v>666</v>
      </c>
      <c r="D902" s="15" t="s">
        <v>145</v>
      </c>
      <c r="E902" s="17">
        <v>20</v>
      </c>
      <c r="F902" s="17">
        <v>50</v>
      </c>
      <c r="G902" s="124">
        <v>1</v>
      </c>
      <c r="H902" s="14"/>
      <c r="I902" s="15" t="s">
        <v>754</v>
      </c>
    </row>
    <row r="903" spans="1:9" ht="15" customHeight="1">
      <c r="A903" s="123">
        <v>46063</v>
      </c>
      <c r="B903" s="94"/>
      <c r="C903" s="125" t="s">
        <v>666</v>
      </c>
      <c r="D903" s="15" t="s">
        <v>146</v>
      </c>
      <c r="E903" s="17">
        <v>10</v>
      </c>
      <c r="F903" s="17">
        <v>50</v>
      </c>
      <c r="G903" s="124">
        <v>0.5</v>
      </c>
      <c r="H903" s="14"/>
      <c r="I903" s="15" t="s">
        <v>668</v>
      </c>
    </row>
    <row r="904" spans="1:9" ht="15" customHeight="1">
      <c r="A904" s="123">
        <v>46063</v>
      </c>
      <c r="B904" s="94"/>
      <c r="C904" s="125" t="s">
        <v>666</v>
      </c>
      <c r="D904" s="15" t="s">
        <v>147</v>
      </c>
      <c r="E904" s="17">
        <v>3</v>
      </c>
      <c r="F904" s="17">
        <v>50</v>
      </c>
      <c r="G904" s="124">
        <v>3</v>
      </c>
      <c r="H904" s="14"/>
      <c r="I904" s="15" t="s">
        <v>687</v>
      </c>
    </row>
    <row r="905" spans="1:9" ht="15" customHeight="1">
      <c r="A905" s="123">
        <v>46063</v>
      </c>
      <c r="B905" s="94"/>
      <c r="C905" s="125" t="s">
        <v>666</v>
      </c>
      <c r="D905" s="15" t="s">
        <v>147</v>
      </c>
      <c r="E905" s="17">
        <v>10</v>
      </c>
      <c r="F905" s="17">
        <v>50</v>
      </c>
      <c r="G905" s="124">
        <v>0.5</v>
      </c>
      <c r="H905" s="14"/>
      <c r="I905" s="15" t="s">
        <v>668</v>
      </c>
    </row>
    <row r="906" spans="1:9" ht="15" customHeight="1">
      <c r="A906" s="123">
        <v>46063</v>
      </c>
      <c r="B906" s="94"/>
      <c r="C906" s="125" t="s">
        <v>666</v>
      </c>
      <c r="D906" s="15" t="s">
        <v>148</v>
      </c>
      <c r="E906" s="17">
        <v>16</v>
      </c>
      <c r="F906" s="17">
        <v>50</v>
      </c>
      <c r="G906" s="124">
        <v>0.8</v>
      </c>
      <c r="H906" s="14"/>
      <c r="I906" s="15" t="s">
        <v>754</v>
      </c>
    </row>
    <row r="907" spans="1:9" ht="15" customHeight="1">
      <c r="A907" s="123">
        <v>46063</v>
      </c>
      <c r="B907" s="94"/>
      <c r="C907" s="125" t="s">
        <v>666</v>
      </c>
      <c r="D907" s="15" t="s">
        <v>155</v>
      </c>
      <c r="E907" s="17">
        <v>13</v>
      </c>
      <c r="F907" s="17">
        <v>80</v>
      </c>
      <c r="G907" s="124">
        <v>15.6</v>
      </c>
      <c r="H907" s="14"/>
      <c r="I907" s="94" t="s">
        <v>741</v>
      </c>
    </row>
    <row r="908" spans="1:9" ht="15" customHeight="1">
      <c r="A908" s="123">
        <v>46063</v>
      </c>
      <c r="B908" s="94"/>
      <c r="C908" s="125" t="s">
        <v>666</v>
      </c>
      <c r="D908" s="15" t="s">
        <v>155</v>
      </c>
      <c r="E908" s="17">
        <v>4</v>
      </c>
      <c r="F908" s="17">
        <v>80</v>
      </c>
      <c r="G908" s="124">
        <v>6.4</v>
      </c>
      <c r="H908" s="14"/>
      <c r="I908" s="94" t="s">
        <v>673</v>
      </c>
    </row>
    <row r="909" spans="1:9" ht="15" customHeight="1">
      <c r="A909" s="123">
        <v>46063</v>
      </c>
      <c r="B909" s="94"/>
      <c r="C909" s="125" t="s">
        <v>666</v>
      </c>
      <c r="D909" s="15" t="s">
        <v>155</v>
      </c>
      <c r="E909" s="17">
        <v>1</v>
      </c>
      <c r="F909" s="17">
        <v>80</v>
      </c>
      <c r="G909" s="124">
        <v>1.2</v>
      </c>
      <c r="H909" s="14"/>
      <c r="I909" s="15" t="s">
        <v>742</v>
      </c>
    </row>
    <row r="910" spans="1:9" ht="15" customHeight="1">
      <c r="A910" s="123">
        <v>46063</v>
      </c>
      <c r="B910" s="94"/>
      <c r="C910" s="125" t="s">
        <v>666</v>
      </c>
      <c r="D910" s="15" t="s">
        <v>159</v>
      </c>
      <c r="E910" s="17">
        <v>16</v>
      </c>
      <c r="F910" s="17">
        <v>50</v>
      </c>
      <c r="G910" s="124">
        <v>0.8</v>
      </c>
      <c r="H910" s="14"/>
      <c r="I910" s="15" t="s">
        <v>754</v>
      </c>
    </row>
    <row r="911" spans="1:9" ht="15" customHeight="1">
      <c r="A911" s="123">
        <v>46063</v>
      </c>
      <c r="B911" s="94"/>
      <c r="C911" s="125" t="s">
        <v>666</v>
      </c>
      <c r="D911" s="15" t="s">
        <v>174</v>
      </c>
      <c r="E911" s="17">
        <v>5</v>
      </c>
      <c r="F911" s="17">
        <v>1000</v>
      </c>
      <c r="G911" s="124">
        <v>10</v>
      </c>
      <c r="H911" s="14"/>
      <c r="I911" s="15" t="s">
        <v>717</v>
      </c>
    </row>
    <row r="912" spans="1:9" ht="15" customHeight="1">
      <c r="A912" s="123">
        <v>46063</v>
      </c>
      <c r="B912" s="94"/>
      <c r="C912" s="125" t="s">
        <v>666</v>
      </c>
      <c r="D912" s="15" t="s">
        <v>174</v>
      </c>
      <c r="E912" s="17">
        <v>1</v>
      </c>
      <c r="F912" s="17">
        <v>1000</v>
      </c>
      <c r="G912" s="124">
        <v>1</v>
      </c>
      <c r="H912" s="14"/>
      <c r="I912" s="15" t="s">
        <v>729</v>
      </c>
    </row>
    <row r="913" spans="1:9" ht="15" customHeight="1">
      <c r="A913" s="123">
        <v>46063</v>
      </c>
      <c r="B913" s="94"/>
      <c r="C913" s="125" t="s">
        <v>666</v>
      </c>
      <c r="D913" s="15" t="s">
        <v>179</v>
      </c>
      <c r="E913" s="17">
        <v>1</v>
      </c>
      <c r="F913" s="17">
        <v>1000</v>
      </c>
      <c r="G913" s="124">
        <v>1</v>
      </c>
      <c r="H913" s="14"/>
      <c r="I913" s="15" t="s">
        <v>702</v>
      </c>
    </row>
    <row r="914" spans="1:9" ht="15" customHeight="1">
      <c r="A914" s="123">
        <v>46063</v>
      </c>
      <c r="B914" s="94"/>
      <c r="C914" s="125" t="s">
        <v>666</v>
      </c>
      <c r="D914" s="15" t="s">
        <v>181</v>
      </c>
      <c r="E914" s="17">
        <v>2</v>
      </c>
      <c r="F914" s="17">
        <v>1000</v>
      </c>
      <c r="G914" s="124">
        <v>2</v>
      </c>
      <c r="H914" s="14"/>
      <c r="I914" s="94" t="s">
        <v>705</v>
      </c>
    </row>
    <row r="915" spans="1:9" ht="15" customHeight="1">
      <c r="A915" s="123">
        <v>46063</v>
      </c>
      <c r="B915" s="94"/>
      <c r="C915" s="125" t="s">
        <v>666</v>
      </c>
      <c r="D915" s="15" t="s">
        <v>181</v>
      </c>
      <c r="E915" s="17">
        <v>1</v>
      </c>
      <c r="F915" s="17">
        <v>1000</v>
      </c>
      <c r="G915" s="124">
        <v>2</v>
      </c>
      <c r="H915" s="14"/>
      <c r="I915" s="94" t="s">
        <v>747</v>
      </c>
    </row>
    <row r="916" spans="1:9" ht="15" customHeight="1">
      <c r="A916" s="123">
        <v>46063</v>
      </c>
      <c r="B916" s="94"/>
      <c r="C916" s="125" t="s">
        <v>666</v>
      </c>
      <c r="D916" s="15" t="s">
        <v>183</v>
      </c>
      <c r="E916" s="17">
        <v>1</v>
      </c>
      <c r="F916" s="17">
        <v>60</v>
      </c>
      <c r="G916" s="124">
        <v>0.6</v>
      </c>
      <c r="H916" s="14"/>
      <c r="I916" s="94" t="s">
        <v>709</v>
      </c>
    </row>
    <row r="917" spans="1:9" ht="15" customHeight="1">
      <c r="A917" s="123">
        <v>46063</v>
      </c>
      <c r="B917" s="94"/>
      <c r="C917" s="125" t="s">
        <v>666</v>
      </c>
      <c r="D917" s="15" t="s">
        <v>183</v>
      </c>
      <c r="E917" s="17">
        <v>71</v>
      </c>
      <c r="F917" s="17">
        <v>60</v>
      </c>
      <c r="G917" s="124">
        <v>127.8</v>
      </c>
      <c r="H917" s="14"/>
      <c r="I917" s="15" t="s">
        <v>676</v>
      </c>
    </row>
    <row r="918" spans="1:9" ht="15" customHeight="1">
      <c r="A918" s="123">
        <v>46063</v>
      </c>
      <c r="B918" s="94"/>
      <c r="C918" s="125" t="s">
        <v>666</v>
      </c>
      <c r="D918" s="15" t="s">
        <v>184</v>
      </c>
      <c r="E918" s="17">
        <v>8</v>
      </c>
      <c r="F918" s="17">
        <v>50</v>
      </c>
      <c r="G918" s="124">
        <v>8</v>
      </c>
      <c r="H918" s="14"/>
      <c r="I918" s="15" t="s">
        <v>707</v>
      </c>
    </row>
    <row r="919" spans="1:9" ht="15" customHeight="1">
      <c r="A919" s="123">
        <v>46063</v>
      </c>
      <c r="B919" s="94"/>
      <c r="C919" s="125" t="s">
        <v>666</v>
      </c>
      <c r="D919" s="15" t="s">
        <v>184</v>
      </c>
      <c r="E919" s="17">
        <v>20</v>
      </c>
      <c r="F919" s="17">
        <v>50</v>
      </c>
      <c r="G919" s="124">
        <v>1</v>
      </c>
      <c r="H919" s="14"/>
      <c r="I919" s="15" t="s">
        <v>754</v>
      </c>
    </row>
    <row r="920" spans="1:9" ht="15" customHeight="1">
      <c r="A920" s="123">
        <v>46063</v>
      </c>
      <c r="B920" s="94"/>
      <c r="C920" s="125" t="s">
        <v>666</v>
      </c>
      <c r="D920" s="15" t="s">
        <v>186</v>
      </c>
      <c r="E920" s="17">
        <v>16</v>
      </c>
      <c r="F920" s="17">
        <v>50</v>
      </c>
      <c r="G920" s="124">
        <v>0.8</v>
      </c>
      <c r="H920" s="14"/>
      <c r="I920" s="15" t="s">
        <v>754</v>
      </c>
    </row>
    <row r="921" spans="1:9" ht="15" customHeight="1">
      <c r="A921" s="123">
        <v>46063</v>
      </c>
      <c r="B921" s="94"/>
      <c r="C921" s="125" t="s">
        <v>666</v>
      </c>
      <c r="D921" s="15" t="s">
        <v>192</v>
      </c>
      <c r="E921" s="17">
        <v>20</v>
      </c>
      <c r="F921" s="17">
        <v>50</v>
      </c>
      <c r="G921" s="124">
        <v>1</v>
      </c>
      <c r="H921" s="14"/>
      <c r="I921" s="15" t="s">
        <v>754</v>
      </c>
    </row>
    <row r="922" spans="1:9" ht="15" customHeight="1">
      <c r="A922" s="123">
        <v>46063</v>
      </c>
      <c r="B922" s="94"/>
      <c r="C922" s="125" t="s">
        <v>666</v>
      </c>
      <c r="D922" s="15" t="s">
        <v>195</v>
      </c>
      <c r="E922" s="17">
        <v>16</v>
      </c>
      <c r="F922" s="17">
        <v>50</v>
      </c>
      <c r="G922" s="124">
        <v>0.8</v>
      </c>
      <c r="H922" s="14"/>
      <c r="I922" s="15" t="s">
        <v>754</v>
      </c>
    </row>
    <row r="923" spans="1:9" ht="15" customHeight="1">
      <c r="A923" s="123">
        <v>46063</v>
      </c>
      <c r="B923" s="94"/>
      <c r="C923" s="125" t="s">
        <v>666</v>
      </c>
      <c r="D923" s="15" t="s">
        <v>222</v>
      </c>
      <c r="E923" s="17">
        <v>1</v>
      </c>
      <c r="F923" s="17">
        <v>40</v>
      </c>
      <c r="G923" s="124">
        <v>0.2</v>
      </c>
      <c r="H923" s="14"/>
      <c r="I923" s="94" t="s">
        <v>709</v>
      </c>
    </row>
    <row r="924" spans="1:9" ht="15" customHeight="1">
      <c r="A924" s="123">
        <v>46063</v>
      </c>
      <c r="B924" s="94"/>
      <c r="C924" s="125" t="s">
        <v>666</v>
      </c>
      <c r="D924" s="15" t="s">
        <v>222</v>
      </c>
      <c r="E924" s="17">
        <v>9</v>
      </c>
      <c r="F924" s="17">
        <v>40</v>
      </c>
      <c r="G924" s="124">
        <v>7.2</v>
      </c>
      <c r="H924" s="14"/>
      <c r="I924" s="15" t="s">
        <v>679</v>
      </c>
    </row>
    <row r="925" spans="1:9" ht="15" customHeight="1">
      <c r="A925" s="123">
        <v>46063</v>
      </c>
      <c r="B925" s="94"/>
      <c r="C925" s="125" t="s">
        <v>666</v>
      </c>
      <c r="D925" s="15" t="s">
        <v>221</v>
      </c>
      <c r="E925" s="17">
        <v>1</v>
      </c>
      <c r="F925" s="17">
        <v>40</v>
      </c>
      <c r="G925" s="124">
        <v>0.2</v>
      </c>
      <c r="H925" s="14"/>
      <c r="I925" s="94" t="s">
        <v>709</v>
      </c>
    </row>
    <row r="926" spans="1:9" ht="15" customHeight="1">
      <c r="A926" s="123">
        <v>46063</v>
      </c>
      <c r="B926" s="94"/>
      <c r="C926" s="125" t="s">
        <v>666</v>
      </c>
      <c r="D926" s="15" t="s">
        <v>204</v>
      </c>
      <c r="E926" s="17">
        <v>1</v>
      </c>
      <c r="F926" s="17">
        <v>60</v>
      </c>
      <c r="G926" s="124">
        <v>0.3</v>
      </c>
      <c r="H926" s="14"/>
      <c r="I926" s="94" t="s">
        <v>709</v>
      </c>
    </row>
    <row r="927" spans="1:9" ht="15" customHeight="1">
      <c r="A927" s="123">
        <v>46063</v>
      </c>
      <c r="B927" s="94"/>
      <c r="C927" s="125" t="s">
        <v>666</v>
      </c>
      <c r="D927" s="15" t="s">
        <v>204</v>
      </c>
      <c r="E927" s="17">
        <v>1</v>
      </c>
      <c r="F927" s="17">
        <v>60</v>
      </c>
      <c r="G927" s="124">
        <v>0.9</v>
      </c>
      <c r="H927" s="14"/>
      <c r="I927" s="15" t="s">
        <v>729</v>
      </c>
    </row>
    <row r="928" spans="1:9" ht="15" customHeight="1">
      <c r="A928" s="123">
        <v>46063</v>
      </c>
      <c r="B928" s="94"/>
      <c r="C928" s="125" t="s">
        <v>666</v>
      </c>
      <c r="D928" s="15" t="s">
        <v>204</v>
      </c>
      <c r="E928" s="17">
        <v>4</v>
      </c>
      <c r="F928" s="17">
        <v>1000</v>
      </c>
      <c r="G928" s="124">
        <v>7.2</v>
      </c>
      <c r="H928" s="14"/>
      <c r="I928" s="15" t="s">
        <v>690</v>
      </c>
    </row>
    <row r="929" spans="1:9" ht="15" customHeight="1">
      <c r="A929" s="123">
        <v>46063</v>
      </c>
      <c r="B929" s="94"/>
      <c r="C929" s="125" t="s">
        <v>666</v>
      </c>
      <c r="D929" s="15" t="s">
        <v>204</v>
      </c>
      <c r="E929" s="17">
        <v>6</v>
      </c>
      <c r="F929" s="17">
        <v>60</v>
      </c>
      <c r="G929" s="124">
        <v>5.4</v>
      </c>
      <c r="H929" s="14"/>
      <c r="I929" s="15" t="s">
        <v>744</v>
      </c>
    </row>
    <row r="930" spans="1:9" ht="15" customHeight="1">
      <c r="A930" s="123">
        <v>46063</v>
      </c>
      <c r="B930" s="94"/>
      <c r="C930" s="125" t="s">
        <v>666</v>
      </c>
      <c r="D930" s="15" t="s">
        <v>204</v>
      </c>
      <c r="E930" s="17">
        <v>3</v>
      </c>
      <c r="F930" s="17">
        <v>60</v>
      </c>
      <c r="G930" s="124">
        <v>5.4</v>
      </c>
      <c r="H930" s="14"/>
      <c r="I930" s="15" t="s">
        <v>681</v>
      </c>
    </row>
    <row r="931" spans="1:9" ht="15" customHeight="1">
      <c r="A931" s="123">
        <v>46063</v>
      </c>
      <c r="B931" s="94"/>
      <c r="C931" s="125" t="s">
        <v>666</v>
      </c>
      <c r="D931" s="15" t="s">
        <v>204</v>
      </c>
      <c r="E931" s="17">
        <v>26</v>
      </c>
      <c r="F931" s="17">
        <v>60</v>
      </c>
      <c r="G931" s="124">
        <v>46.8</v>
      </c>
      <c r="H931" s="14"/>
      <c r="I931" s="15" t="s">
        <v>745</v>
      </c>
    </row>
    <row r="932" spans="1:9" ht="15" customHeight="1">
      <c r="A932" s="123">
        <v>46063</v>
      </c>
      <c r="B932" s="94"/>
      <c r="C932" s="125" t="s">
        <v>666</v>
      </c>
      <c r="D932" s="15" t="s">
        <v>204</v>
      </c>
      <c r="E932" s="17">
        <v>13</v>
      </c>
      <c r="F932" s="17">
        <v>60</v>
      </c>
      <c r="G932" s="124">
        <v>46.8</v>
      </c>
      <c r="H932" s="14"/>
      <c r="I932" s="15" t="s">
        <v>728</v>
      </c>
    </row>
    <row r="933" spans="1:9" ht="15" customHeight="1">
      <c r="A933" s="123">
        <v>46063</v>
      </c>
      <c r="B933" s="94"/>
      <c r="C933" s="125" t="s">
        <v>666</v>
      </c>
      <c r="D933" s="15" t="s">
        <v>205</v>
      </c>
      <c r="E933" s="17">
        <v>1</v>
      </c>
      <c r="F933" s="17">
        <v>60</v>
      </c>
      <c r="G933" s="124">
        <v>0.3</v>
      </c>
      <c r="H933" s="14"/>
      <c r="I933" s="94" t="s">
        <v>709</v>
      </c>
    </row>
    <row r="934" spans="1:9" ht="15" customHeight="1">
      <c r="A934" s="123">
        <v>46063</v>
      </c>
      <c r="B934" s="94"/>
      <c r="C934" s="125" t="s">
        <v>666</v>
      </c>
      <c r="D934" s="15" t="s">
        <v>205</v>
      </c>
      <c r="E934" s="17">
        <v>1</v>
      </c>
      <c r="F934" s="17">
        <v>60</v>
      </c>
      <c r="G934" s="124">
        <v>0.9</v>
      </c>
      <c r="H934" s="14"/>
      <c r="I934" s="15" t="s">
        <v>729</v>
      </c>
    </row>
    <row r="935" spans="1:9" ht="15" customHeight="1">
      <c r="A935" s="123">
        <v>46063</v>
      </c>
      <c r="B935" s="94"/>
      <c r="C935" s="125" t="s">
        <v>666</v>
      </c>
      <c r="D935" s="15" t="s">
        <v>205</v>
      </c>
      <c r="E935" s="17">
        <v>2</v>
      </c>
      <c r="F935" s="17">
        <v>60</v>
      </c>
      <c r="G935" s="124">
        <v>7.2</v>
      </c>
      <c r="H935" s="14"/>
      <c r="I935" s="15" t="s">
        <v>746</v>
      </c>
    </row>
    <row r="936" spans="1:9" ht="15" customHeight="1">
      <c r="A936" s="123">
        <v>46063</v>
      </c>
      <c r="B936" s="94"/>
      <c r="C936" s="125" t="s">
        <v>666</v>
      </c>
      <c r="D936" s="15" t="s">
        <v>205</v>
      </c>
      <c r="E936" s="17">
        <v>6</v>
      </c>
      <c r="F936" s="17">
        <v>60</v>
      </c>
      <c r="G936" s="124">
        <v>5.4</v>
      </c>
      <c r="H936" s="14"/>
      <c r="I936" s="15" t="s">
        <v>744</v>
      </c>
    </row>
    <row r="937" spans="1:9" ht="15" customHeight="1">
      <c r="A937" s="123">
        <v>46063</v>
      </c>
      <c r="B937" s="94"/>
      <c r="C937" s="125" t="s">
        <v>666</v>
      </c>
      <c r="D937" s="15" t="s">
        <v>205</v>
      </c>
      <c r="E937" s="17">
        <v>26</v>
      </c>
      <c r="F937" s="17">
        <v>60</v>
      </c>
      <c r="G937" s="124">
        <v>46.8</v>
      </c>
      <c r="H937" s="14"/>
      <c r="I937" s="15" t="s">
        <v>745</v>
      </c>
    </row>
    <row r="938" spans="1:9" ht="15" customHeight="1">
      <c r="A938" s="123">
        <v>46063</v>
      </c>
      <c r="B938" s="94"/>
      <c r="C938" s="125" t="s">
        <v>666</v>
      </c>
      <c r="D938" s="15" t="s">
        <v>206</v>
      </c>
      <c r="E938" s="17">
        <v>1</v>
      </c>
      <c r="F938" s="17">
        <v>30</v>
      </c>
      <c r="G938" s="124">
        <v>1.8</v>
      </c>
      <c r="H938" s="14"/>
      <c r="I938" s="15" t="s">
        <v>683</v>
      </c>
    </row>
    <row r="939" spans="1:9" ht="15" customHeight="1">
      <c r="A939" s="123">
        <v>46063</v>
      </c>
      <c r="B939" s="94"/>
      <c r="C939" s="125" t="s">
        <v>666</v>
      </c>
      <c r="D939" s="15" t="s">
        <v>206</v>
      </c>
      <c r="E939" s="17">
        <v>1</v>
      </c>
      <c r="F939" s="17">
        <v>30</v>
      </c>
      <c r="G939" s="124">
        <v>0.9</v>
      </c>
      <c r="H939" s="14"/>
      <c r="I939" s="15" t="s">
        <v>718</v>
      </c>
    </row>
    <row r="940" spans="1:9" ht="15" customHeight="1">
      <c r="A940" s="123">
        <v>46063</v>
      </c>
      <c r="B940" s="94"/>
      <c r="C940" s="125" t="s">
        <v>666</v>
      </c>
      <c r="D940" s="15" t="s">
        <v>206</v>
      </c>
      <c r="E940" s="17">
        <v>1</v>
      </c>
      <c r="F940" s="17">
        <v>1000</v>
      </c>
      <c r="G940" s="124">
        <v>1</v>
      </c>
      <c r="H940" s="14"/>
      <c r="I940" s="15" t="s">
        <v>751</v>
      </c>
    </row>
    <row r="941" spans="1:9" ht="15" customHeight="1">
      <c r="A941" s="123">
        <v>46063</v>
      </c>
      <c r="B941" s="94"/>
      <c r="C941" s="125" t="s">
        <v>666</v>
      </c>
      <c r="D941" s="15" t="s">
        <v>219</v>
      </c>
      <c r="E941" s="17">
        <v>16</v>
      </c>
      <c r="F941" s="17">
        <v>50</v>
      </c>
      <c r="G941" s="124">
        <v>0.8</v>
      </c>
      <c r="H941" s="14"/>
      <c r="I941" s="15" t="s">
        <v>754</v>
      </c>
    </row>
    <row r="942" spans="1:9" ht="15" customHeight="1">
      <c r="A942" s="123">
        <v>46063</v>
      </c>
      <c r="B942" s="94"/>
      <c r="C942" s="125" t="s">
        <v>666</v>
      </c>
      <c r="D942" s="15" t="s">
        <v>220</v>
      </c>
      <c r="E942" s="17">
        <v>10</v>
      </c>
      <c r="F942" s="17">
        <v>50</v>
      </c>
      <c r="G942" s="124">
        <v>0.5</v>
      </c>
      <c r="H942" s="14"/>
      <c r="I942" s="15" t="s">
        <v>668</v>
      </c>
    </row>
    <row r="943" spans="1:9" ht="15" customHeight="1">
      <c r="A943" s="123">
        <v>46063</v>
      </c>
      <c r="B943" s="15" t="s">
        <v>719</v>
      </c>
      <c r="C943" s="14" t="s">
        <v>657</v>
      </c>
      <c r="D943" s="15" t="s">
        <v>149</v>
      </c>
      <c r="E943" s="17">
        <v>949</v>
      </c>
      <c r="F943" s="17">
        <v>60</v>
      </c>
      <c r="G943" s="124">
        <v>56.94</v>
      </c>
      <c r="H943" s="14"/>
      <c r="I943" s="15" t="s">
        <v>755</v>
      </c>
    </row>
    <row r="944" spans="1:9" ht="15" customHeight="1">
      <c r="A944" s="123">
        <v>46063</v>
      </c>
      <c r="B944" s="15" t="s">
        <v>719</v>
      </c>
      <c r="C944" s="14" t="s">
        <v>657</v>
      </c>
      <c r="D944" s="15" t="s">
        <v>150</v>
      </c>
      <c r="E944" s="17">
        <v>949</v>
      </c>
      <c r="F944" s="17">
        <v>60</v>
      </c>
      <c r="G944" s="124">
        <v>56.94</v>
      </c>
      <c r="H944" s="14"/>
      <c r="I944" s="15" t="s">
        <v>755</v>
      </c>
    </row>
    <row r="945" spans="1:9" ht="15" customHeight="1">
      <c r="A945" s="123">
        <v>46063</v>
      </c>
      <c r="B945" s="15" t="s">
        <v>719</v>
      </c>
      <c r="C945" s="14" t="s">
        <v>657</v>
      </c>
      <c r="D945" s="15" t="s">
        <v>151</v>
      </c>
      <c r="E945" s="17">
        <v>949</v>
      </c>
      <c r="F945" s="17">
        <v>60</v>
      </c>
      <c r="G945" s="124">
        <v>56.94</v>
      </c>
      <c r="H945" s="14"/>
      <c r="I945" s="15" t="s">
        <v>755</v>
      </c>
    </row>
    <row r="946" spans="1:9" ht="15" customHeight="1">
      <c r="A946" s="123">
        <v>46063</v>
      </c>
      <c r="B946" s="15" t="s">
        <v>719</v>
      </c>
      <c r="C946" s="14" t="s">
        <v>657</v>
      </c>
      <c r="D946" s="15" t="s">
        <v>152</v>
      </c>
      <c r="E946" s="17">
        <v>949</v>
      </c>
      <c r="F946" s="17">
        <v>60</v>
      </c>
      <c r="G946" s="124">
        <v>56.94</v>
      </c>
      <c r="H946" s="14"/>
      <c r="I946" s="15" t="s">
        <v>755</v>
      </c>
    </row>
    <row r="947" spans="1:9" ht="15" customHeight="1">
      <c r="A947" s="123">
        <v>46063</v>
      </c>
      <c r="B947" s="15" t="s">
        <v>719</v>
      </c>
      <c r="C947" s="14" t="s">
        <v>657</v>
      </c>
      <c r="D947" s="15" t="s">
        <v>153</v>
      </c>
      <c r="E947" s="17">
        <v>949</v>
      </c>
      <c r="F947" s="17">
        <v>60</v>
      </c>
      <c r="G947" s="124">
        <v>56.94</v>
      </c>
      <c r="H947" s="14"/>
      <c r="I947" s="15" t="s">
        <v>755</v>
      </c>
    </row>
    <row r="948" spans="1:9" ht="15" customHeight="1">
      <c r="A948" s="123">
        <v>46063</v>
      </c>
      <c r="B948" s="15" t="s">
        <v>719</v>
      </c>
      <c r="C948" s="14" t="s">
        <v>657</v>
      </c>
      <c r="D948" s="15" t="s">
        <v>154</v>
      </c>
      <c r="E948" s="17">
        <v>949</v>
      </c>
      <c r="F948" s="17">
        <v>60</v>
      </c>
      <c r="G948" s="124">
        <v>56.94</v>
      </c>
      <c r="H948" s="14"/>
      <c r="I948" s="15" t="s">
        <v>755</v>
      </c>
    </row>
    <row r="949" spans="1:9" ht="15" customHeight="1">
      <c r="A949" s="123">
        <v>46064</v>
      </c>
      <c r="B949" s="94"/>
      <c r="C949" s="125" t="s">
        <v>666</v>
      </c>
      <c r="D949" s="94" t="s">
        <v>141</v>
      </c>
      <c r="E949" s="17">
        <v>2</v>
      </c>
      <c r="F949" s="17">
        <v>60</v>
      </c>
      <c r="G949" s="124">
        <v>2.4</v>
      </c>
      <c r="H949" s="14"/>
      <c r="I949" s="94" t="s">
        <v>692</v>
      </c>
    </row>
    <row r="950" spans="1:9" ht="15" customHeight="1">
      <c r="A950" s="123">
        <v>46064</v>
      </c>
      <c r="B950" s="94"/>
      <c r="C950" s="125" t="s">
        <v>666</v>
      </c>
      <c r="D950" s="15" t="s">
        <v>143</v>
      </c>
      <c r="E950" s="17">
        <v>2</v>
      </c>
      <c r="F950" s="17">
        <v>50</v>
      </c>
      <c r="G950" s="124">
        <v>4</v>
      </c>
      <c r="H950" s="14"/>
      <c r="I950" s="15" t="s">
        <v>670</v>
      </c>
    </row>
    <row r="951" spans="1:9" ht="15" customHeight="1">
      <c r="A951" s="123">
        <v>46064</v>
      </c>
      <c r="B951" s="94"/>
      <c r="C951" s="125" t="s">
        <v>666</v>
      </c>
      <c r="D951" s="15" t="s">
        <v>143</v>
      </c>
      <c r="E951" s="17">
        <v>4</v>
      </c>
      <c r="F951" s="17">
        <v>50</v>
      </c>
      <c r="G951" s="124">
        <v>4</v>
      </c>
      <c r="H951" s="14"/>
      <c r="I951" s="15" t="s">
        <v>707</v>
      </c>
    </row>
    <row r="952" spans="1:9" ht="15" customHeight="1">
      <c r="A952" s="123">
        <v>46064</v>
      </c>
      <c r="B952" s="94"/>
      <c r="C952" s="125" t="s">
        <v>666</v>
      </c>
      <c r="D952" s="15" t="s">
        <v>143</v>
      </c>
      <c r="E952" s="17">
        <v>10</v>
      </c>
      <c r="F952" s="17">
        <v>50</v>
      </c>
      <c r="G952" s="124">
        <v>0.5</v>
      </c>
      <c r="H952" s="14"/>
      <c r="I952" s="15" t="s">
        <v>727</v>
      </c>
    </row>
    <row r="953" spans="1:9" ht="15" customHeight="1">
      <c r="A953" s="123">
        <v>46064</v>
      </c>
      <c r="B953" s="94"/>
      <c r="C953" s="125" t="s">
        <v>666</v>
      </c>
      <c r="D953" s="15" t="s">
        <v>144</v>
      </c>
      <c r="E953" s="17">
        <v>12</v>
      </c>
      <c r="F953" s="17">
        <v>1000</v>
      </c>
      <c r="G953" s="124">
        <v>24</v>
      </c>
      <c r="H953" s="14"/>
      <c r="I953" s="15" t="s">
        <v>672</v>
      </c>
    </row>
    <row r="954" spans="1:9" ht="15" customHeight="1">
      <c r="A954" s="123">
        <v>46064</v>
      </c>
      <c r="B954" s="94"/>
      <c r="C954" s="125" t="s">
        <v>666</v>
      </c>
      <c r="D954" s="15" t="s">
        <v>145</v>
      </c>
      <c r="E954" s="17">
        <v>10</v>
      </c>
      <c r="F954" s="17">
        <v>50</v>
      </c>
      <c r="G954" s="124">
        <v>0.5</v>
      </c>
      <c r="H954" s="14"/>
      <c r="I954" s="15" t="s">
        <v>727</v>
      </c>
    </row>
    <row r="955" spans="1:9" ht="15" customHeight="1">
      <c r="A955" s="123">
        <v>46064</v>
      </c>
      <c r="B955" s="94"/>
      <c r="C955" s="125" t="s">
        <v>666</v>
      </c>
      <c r="D955" s="15" t="s">
        <v>147</v>
      </c>
      <c r="E955" s="17">
        <v>1</v>
      </c>
      <c r="F955" s="17">
        <v>50</v>
      </c>
      <c r="G955" s="124">
        <v>1</v>
      </c>
      <c r="H955" s="14"/>
      <c r="I955" s="15" t="s">
        <v>687</v>
      </c>
    </row>
    <row r="956" spans="1:9" ht="15" customHeight="1">
      <c r="A956" s="123">
        <v>46064</v>
      </c>
      <c r="B956" s="94"/>
      <c r="C956" s="125" t="s">
        <v>666</v>
      </c>
      <c r="D956" s="15" t="s">
        <v>148</v>
      </c>
      <c r="E956" s="17">
        <v>8</v>
      </c>
      <c r="F956" s="17">
        <v>50</v>
      </c>
      <c r="G956" s="124">
        <v>0.4</v>
      </c>
      <c r="H956" s="14"/>
      <c r="I956" s="15" t="s">
        <v>727</v>
      </c>
    </row>
    <row r="957" spans="1:9" ht="15" customHeight="1">
      <c r="A957" s="123">
        <v>46064</v>
      </c>
      <c r="B957" s="94"/>
      <c r="C957" s="125" t="s">
        <v>666</v>
      </c>
      <c r="D957" s="15" t="s">
        <v>155</v>
      </c>
      <c r="E957" s="17">
        <v>4</v>
      </c>
      <c r="F957" s="17">
        <v>80</v>
      </c>
      <c r="G957" s="124">
        <v>6.4</v>
      </c>
      <c r="H957" s="14"/>
      <c r="I957" s="94" t="s">
        <v>673</v>
      </c>
    </row>
    <row r="958" spans="1:9" ht="15" customHeight="1">
      <c r="A958" s="123">
        <v>46064</v>
      </c>
      <c r="B958" s="94"/>
      <c r="C958" s="125" t="s">
        <v>666</v>
      </c>
      <c r="D958" s="15" t="s">
        <v>159</v>
      </c>
      <c r="E958" s="17">
        <v>8</v>
      </c>
      <c r="F958" s="17">
        <v>50</v>
      </c>
      <c r="G958" s="124">
        <v>0.4</v>
      </c>
      <c r="H958" s="14"/>
      <c r="I958" s="15" t="s">
        <v>727</v>
      </c>
    </row>
    <row r="959" spans="1:9" ht="15" customHeight="1">
      <c r="A959" s="123">
        <v>46064</v>
      </c>
      <c r="B959" s="94"/>
      <c r="C959" s="125" t="s">
        <v>666</v>
      </c>
      <c r="D959" s="15" t="s">
        <v>174</v>
      </c>
      <c r="E959" s="17">
        <v>1</v>
      </c>
      <c r="F959" s="17">
        <v>1000</v>
      </c>
      <c r="G959" s="124">
        <v>1</v>
      </c>
      <c r="H959" s="14"/>
      <c r="I959" s="15" t="s">
        <v>674</v>
      </c>
    </row>
    <row r="960" spans="1:9" ht="15" customHeight="1">
      <c r="A960" s="123">
        <v>46064</v>
      </c>
      <c r="B960" s="94"/>
      <c r="C960" s="125" t="s">
        <v>666</v>
      </c>
      <c r="D960" s="15" t="s">
        <v>174</v>
      </c>
      <c r="E960" s="17">
        <v>2</v>
      </c>
      <c r="F960" s="17">
        <v>1000</v>
      </c>
      <c r="G960" s="124">
        <v>4</v>
      </c>
      <c r="H960" s="14"/>
      <c r="I960" s="15" t="s">
        <v>717</v>
      </c>
    </row>
    <row r="961" spans="1:9" ht="15" customHeight="1">
      <c r="A961" s="123">
        <v>46064</v>
      </c>
      <c r="B961" s="94"/>
      <c r="C961" s="125" t="s">
        <v>666</v>
      </c>
      <c r="D961" s="15" t="s">
        <v>174</v>
      </c>
      <c r="E961" s="17">
        <v>1</v>
      </c>
      <c r="F961" s="17">
        <v>1000</v>
      </c>
      <c r="G961" s="124">
        <v>1</v>
      </c>
      <c r="H961" s="14"/>
      <c r="I961" s="15" t="s">
        <v>729</v>
      </c>
    </row>
    <row r="962" spans="1:9" ht="15" customHeight="1">
      <c r="A962" s="123">
        <v>46064</v>
      </c>
      <c r="B962" s="94"/>
      <c r="C962" s="125" t="s">
        <v>666</v>
      </c>
      <c r="D962" s="15" t="s">
        <v>181</v>
      </c>
      <c r="E962" s="17">
        <v>1</v>
      </c>
      <c r="F962" s="17">
        <v>1000</v>
      </c>
      <c r="G962" s="124">
        <v>2</v>
      </c>
      <c r="H962" s="14"/>
      <c r="I962" s="94" t="s">
        <v>747</v>
      </c>
    </row>
    <row r="963" spans="1:9" ht="15" customHeight="1">
      <c r="A963" s="123">
        <v>46064</v>
      </c>
      <c r="B963" s="94"/>
      <c r="C963" s="125" t="s">
        <v>666</v>
      </c>
      <c r="D963" s="15" t="s">
        <v>183</v>
      </c>
      <c r="E963" s="17">
        <v>10</v>
      </c>
      <c r="F963" s="17">
        <v>60</v>
      </c>
      <c r="G963" s="124">
        <v>18</v>
      </c>
      <c r="H963" s="14"/>
      <c r="I963" s="15" t="s">
        <v>676</v>
      </c>
    </row>
    <row r="964" spans="1:9" ht="15" customHeight="1">
      <c r="A964" s="123">
        <v>46064</v>
      </c>
      <c r="B964" s="94"/>
      <c r="C964" s="125" t="s">
        <v>666</v>
      </c>
      <c r="D964" s="15" t="s">
        <v>184</v>
      </c>
      <c r="E964" s="17">
        <v>1</v>
      </c>
      <c r="F964" s="17">
        <v>50</v>
      </c>
      <c r="G964" s="124">
        <v>2</v>
      </c>
      <c r="H964" s="14"/>
      <c r="I964" s="15" t="s">
        <v>678</v>
      </c>
    </row>
    <row r="965" spans="1:9" ht="15" customHeight="1">
      <c r="A965" s="123">
        <v>46064</v>
      </c>
      <c r="B965" s="94"/>
      <c r="C965" s="125" t="s">
        <v>666</v>
      </c>
      <c r="D965" s="15" t="s">
        <v>184</v>
      </c>
      <c r="E965" s="17">
        <v>4</v>
      </c>
      <c r="F965" s="17">
        <v>50</v>
      </c>
      <c r="G965" s="124">
        <v>4</v>
      </c>
      <c r="H965" s="14"/>
      <c r="I965" s="15" t="s">
        <v>707</v>
      </c>
    </row>
    <row r="966" spans="1:9" ht="15" customHeight="1">
      <c r="A966" s="123">
        <v>46064</v>
      </c>
      <c r="B966" s="94"/>
      <c r="C966" s="125" t="s">
        <v>666</v>
      </c>
      <c r="D966" s="15" t="s">
        <v>184</v>
      </c>
      <c r="E966" s="17">
        <v>10</v>
      </c>
      <c r="F966" s="17">
        <v>50</v>
      </c>
      <c r="G966" s="124">
        <v>0.5</v>
      </c>
      <c r="H966" s="14"/>
      <c r="I966" s="15" t="s">
        <v>727</v>
      </c>
    </row>
    <row r="967" spans="1:9" ht="15" customHeight="1">
      <c r="A967" s="123">
        <v>46064</v>
      </c>
      <c r="B967" s="94"/>
      <c r="C967" s="125" t="s">
        <v>666</v>
      </c>
      <c r="D967" s="15" t="s">
        <v>186</v>
      </c>
      <c r="E967" s="17">
        <v>8</v>
      </c>
      <c r="F967" s="17">
        <v>50</v>
      </c>
      <c r="G967" s="124">
        <v>0.4</v>
      </c>
      <c r="H967" s="14"/>
      <c r="I967" s="15" t="s">
        <v>727</v>
      </c>
    </row>
    <row r="968" spans="1:9" ht="15" customHeight="1">
      <c r="A968" s="123">
        <v>46064</v>
      </c>
      <c r="B968" s="94"/>
      <c r="C968" s="125" t="s">
        <v>666</v>
      </c>
      <c r="D968" s="15" t="s">
        <v>192</v>
      </c>
      <c r="E968" s="17">
        <v>10</v>
      </c>
      <c r="F968" s="17">
        <v>50</v>
      </c>
      <c r="G968" s="124">
        <v>0.5</v>
      </c>
      <c r="H968" s="14"/>
      <c r="I968" s="15" t="s">
        <v>727</v>
      </c>
    </row>
    <row r="969" spans="1:9" ht="15" customHeight="1">
      <c r="A969" s="123">
        <v>46064</v>
      </c>
      <c r="B969" s="94"/>
      <c r="C969" s="125" t="s">
        <v>666</v>
      </c>
      <c r="D969" s="15" t="s">
        <v>195</v>
      </c>
      <c r="E969" s="17">
        <v>8</v>
      </c>
      <c r="F969" s="17">
        <v>50</v>
      </c>
      <c r="G969" s="124">
        <v>0.4</v>
      </c>
      <c r="H969" s="14"/>
      <c r="I969" s="15" t="s">
        <v>727</v>
      </c>
    </row>
    <row r="970" spans="1:9" ht="15" customHeight="1">
      <c r="A970" s="123">
        <v>46064</v>
      </c>
      <c r="B970" s="94"/>
      <c r="C970" s="125" t="s">
        <v>666</v>
      </c>
      <c r="D970" s="15" t="s">
        <v>222</v>
      </c>
      <c r="E970" s="17">
        <v>4</v>
      </c>
      <c r="F970" s="17">
        <v>40</v>
      </c>
      <c r="G970" s="124">
        <v>3.2</v>
      </c>
      <c r="H970" s="14"/>
      <c r="I970" s="15" t="s">
        <v>679</v>
      </c>
    </row>
    <row r="971" spans="1:9" ht="15" customHeight="1">
      <c r="A971" s="123">
        <v>46064</v>
      </c>
      <c r="B971" s="94"/>
      <c r="C971" s="125" t="s">
        <v>666</v>
      </c>
      <c r="D971" s="15" t="s">
        <v>221</v>
      </c>
      <c r="E971" s="17">
        <v>1</v>
      </c>
      <c r="F971" s="17">
        <v>40</v>
      </c>
      <c r="G971" s="124">
        <v>0.8</v>
      </c>
      <c r="H971" s="14"/>
      <c r="I971" s="15" t="s">
        <v>680</v>
      </c>
    </row>
    <row r="972" spans="1:9" ht="15" customHeight="1">
      <c r="A972" s="123">
        <v>46064</v>
      </c>
      <c r="B972" s="94"/>
      <c r="C972" s="125" t="s">
        <v>666</v>
      </c>
      <c r="D972" s="15" t="s">
        <v>204</v>
      </c>
      <c r="E972" s="17">
        <v>1</v>
      </c>
      <c r="F972" s="17">
        <v>60</v>
      </c>
      <c r="G972" s="124">
        <v>0.9</v>
      </c>
      <c r="H972" s="14"/>
      <c r="I972" s="15" t="s">
        <v>729</v>
      </c>
    </row>
    <row r="973" spans="1:9" ht="15" customHeight="1">
      <c r="A973" s="123">
        <v>46064</v>
      </c>
      <c r="B973" s="94"/>
      <c r="C973" s="125" t="s">
        <v>666</v>
      </c>
      <c r="D973" s="15" t="s">
        <v>204</v>
      </c>
      <c r="E973" s="17">
        <v>20</v>
      </c>
      <c r="F973" s="17">
        <v>1000</v>
      </c>
      <c r="G973" s="124">
        <v>36</v>
      </c>
      <c r="H973" s="14"/>
      <c r="I973" s="15" t="s">
        <v>690</v>
      </c>
    </row>
    <row r="974" spans="1:9" ht="15" customHeight="1">
      <c r="A974" s="123">
        <v>46064</v>
      </c>
      <c r="B974" s="94"/>
      <c r="C974" s="125" t="s">
        <v>666</v>
      </c>
      <c r="D974" s="15" t="s">
        <v>204</v>
      </c>
      <c r="E974" s="17">
        <v>28</v>
      </c>
      <c r="F974" s="17">
        <v>60</v>
      </c>
      <c r="G974" s="124">
        <v>50.4</v>
      </c>
      <c r="H974" s="14"/>
      <c r="I974" s="15" t="s">
        <v>745</v>
      </c>
    </row>
    <row r="975" spans="1:9" ht="15" customHeight="1">
      <c r="A975" s="123">
        <v>46064</v>
      </c>
      <c r="B975" s="94"/>
      <c r="C975" s="125" t="s">
        <v>666</v>
      </c>
      <c r="D975" s="15" t="s">
        <v>204</v>
      </c>
      <c r="E975" s="17">
        <v>14</v>
      </c>
      <c r="F975" s="17">
        <v>60</v>
      </c>
      <c r="G975" s="124">
        <v>50.4</v>
      </c>
      <c r="H975" s="14"/>
      <c r="I975" s="15" t="s">
        <v>728</v>
      </c>
    </row>
    <row r="976" spans="1:9" ht="15" customHeight="1">
      <c r="A976" s="123">
        <v>46064</v>
      </c>
      <c r="B976" s="94"/>
      <c r="C976" s="125" t="s">
        <v>666</v>
      </c>
      <c r="D976" s="15" t="s">
        <v>205</v>
      </c>
      <c r="E976" s="17">
        <v>1</v>
      </c>
      <c r="F976" s="17">
        <v>60</v>
      </c>
      <c r="G976" s="124">
        <v>0.9</v>
      </c>
      <c r="H976" s="14"/>
      <c r="I976" s="15" t="s">
        <v>729</v>
      </c>
    </row>
    <row r="977" spans="1:9" ht="15" customHeight="1">
      <c r="A977" s="123">
        <v>46064</v>
      </c>
      <c r="B977" s="94"/>
      <c r="C977" s="125" t="s">
        <v>666</v>
      </c>
      <c r="D977" s="15" t="s">
        <v>205</v>
      </c>
      <c r="E977" s="17">
        <v>1</v>
      </c>
      <c r="F977" s="17">
        <v>60</v>
      </c>
      <c r="G977" s="124">
        <v>1.8</v>
      </c>
      <c r="H977" s="14"/>
      <c r="I977" s="15" t="s">
        <v>682</v>
      </c>
    </row>
    <row r="978" spans="1:9" ht="15" customHeight="1">
      <c r="A978" s="123">
        <v>46064</v>
      </c>
      <c r="B978" s="94"/>
      <c r="C978" s="125" t="s">
        <v>666</v>
      </c>
      <c r="D978" s="15" t="s">
        <v>205</v>
      </c>
      <c r="E978" s="17">
        <v>2</v>
      </c>
      <c r="F978" s="17">
        <v>60</v>
      </c>
      <c r="G978" s="124">
        <v>7.2</v>
      </c>
      <c r="H978" s="14"/>
      <c r="I978" s="15" t="s">
        <v>746</v>
      </c>
    </row>
    <row r="979" spans="1:9" ht="15" customHeight="1">
      <c r="A979" s="123">
        <v>46064</v>
      </c>
      <c r="B979" s="94"/>
      <c r="C979" s="125" t="s">
        <v>666</v>
      </c>
      <c r="D979" s="15" t="s">
        <v>205</v>
      </c>
      <c r="E979" s="17">
        <v>28</v>
      </c>
      <c r="F979" s="17">
        <v>60</v>
      </c>
      <c r="G979" s="124">
        <v>50.4</v>
      </c>
      <c r="H979" s="14"/>
      <c r="I979" s="15" t="s">
        <v>745</v>
      </c>
    </row>
    <row r="980" spans="1:9" ht="15" customHeight="1">
      <c r="A980" s="123">
        <v>46064</v>
      </c>
      <c r="B980" s="94"/>
      <c r="C980" s="125" t="s">
        <v>666</v>
      </c>
      <c r="D980" s="15" t="s">
        <v>206</v>
      </c>
      <c r="E980" s="17">
        <v>2</v>
      </c>
      <c r="F980" s="17">
        <v>30</v>
      </c>
      <c r="G980" s="124">
        <v>1.8</v>
      </c>
      <c r="H980" s="14"/>
      <c r="I980" s="15" t="s">
        <v>718</v>
      </c>
    </row>
    <row r="981" spans="1:9" ht="15" customHeight="1">
      <c r="A981" s="123">
        <v>46064</v>
      </c>
      <c r="B981" s="94"/>
      <c r="C981" s="125" t="s">
        <v>666</v>
      </c>
      <c r="D981" s="15" t="s">
        <v>206</v>
      </c>
      <c r="E981" s="17">
        <v>1</v>
      </c>
      <c r="F981" s="17">
        <v>40</v>
      </c>
      <c r="G981" s="124">
        <v>0.8</v>
      </c>
      <c r="H981" s="14"/>
      <c r="I981" s="15" t="s">
        <v>710</v>
      </c>
    </row>
    <row r="982" spans="1:9" ht="15" customHeight="1">
      <c r="A982" s="123">
        <v>46064</v>
      </c>
      <c r="B982" s="94"/>
      <c r="C982" s="125" t="s">
        <v>666</v>
      </c>
      <c r="D982" s="15" t="s">
        <v>207</v>
      </c>
      <c r="E982" s="17">
        <v>1</v>
      </c>
      <c r="F982" s="17">
        <v>1000</v>
      </c>
      <c r="G982" s="124">
        <v>2</v>
      </c>
      <c r="H982" s="14"/>
      <c r="I982" s="15" t="s">
        <v>697</v>
      </c>
    </row>
    <row r="983" spans="1:9" ht="15" customHeight="1">
      <c r="A983" s="123">
        <v>46064</v>
      </c>
      <c r="B983" s="94"/>
      <c r="C983" s="125" t="s">
        <v>666</v>
      </c>
      <c r="D983" s="15" t="s">
        <v>219</v>
      </c>
      <c r="E983" s="17">
        <v>8</v>
      </c>
      <c r="F983" s="17">
        <v>50</v>
      </c>
      <c r="G983" s="124">
        <v>0.4</v>
      </c>
      <c r="H983" s="14"/>
      <c r="I983" s="15" t="s">
        <v>727</v>
      </c>
    </row>
    <row r="984" spans="1:9" ht="15" customHeight="1">
      <c r="A984" s="123">
        <v>46065</v>
      </c>
      <c r="B984" s="94"/>
      <c r="C984" s="125" t="s">
        <v>666</v>
      </c>
      <c r="D984" s="94" t="s">
        <v>141</v>
      </c>
      <c r="E984" s="17">
        <v>1</v>
      </c>
      <c r="F984" s="17">
        <v>60</v>
      </c>
      <c r="G984" s="124">
        <v>1.2</v>
      </c>
      <c r="H984" s="14"/>
      <c r="I984" s="94" t="s">
        <v>692</v>
      </c>
    </row>
    <row r="985" spans="1:9" ht="15" customHeight="1">
      <c r="A985" s="123">
        <v>46065</v>
      </c>
      <c r="B985" s="94"/>
      <c r="C985" s="125" t="s">
        <v>666</v>
      </c>
      <c r="D985" s="15" t="s">
        <v>143</v>
      </c>
      <c r="E985" s="17">
        <v>1</v>
      </c>
      <c r="F985" s="17">
        <v>50</v>
      </c>
      <c r="G985" s="124">
        <v>1</v>
      </c>
      <c r="H985" s="14"/>
      <c r="I985" s="15" t="s">
        <v>669</v>
      </c>
    </row>
    <row r="986" spans="1:9" ht="15" customHeight="1">
      <c r="A986" s="123">
        <v>46065</v>
      </c>
      <c r="B986" s="94"/>
      <c r="C986" s="125" t="s">
        <v>666</v>
      </c>
      <c r="D986" s="15" t="s">
        <v>143</v>
      </c>
      <c r="E986" s="17">
        <v>2</v>
      </c>
      <c r="F986" s="17">
        <v>50</v>
      </c>
      <c r="G986" s="124">
        <v>0.5</v>
      </c>
      <c r="H986" s="14"/>
      <c r="I986" s="15" t="s">
        <v>739</v>
      </c>
    </row>
    <row r="987" spans="1:9" ht="15" customHeight="1">
      <c r="A987" s="123">
        <v>46065</v>
      </c>
      <c r="B987" s="94"/>
      <c r="C987" s="125" t="s">
        <v>666</v>
      </c>
      <c r="D987" s="15" t="s">
        <v>143</v>
      </c>
      <c r="E987" s="17">
        <v>4</v>
      </c>
      <c r="F987" s="17">
        <v>50</v>
      </c>
      <c r="G987" s="124">
        <v>4</v>
      </c>
      <c r="H987" s="14"/>
      <c r="I987" s="15" t="s">
        <v>707</v>
      </c>
    </row>
    <row r="988" spans="1:9" ht="15" customHeight="1">
      <c r="A988" s="123">
        <v>46065</v>
      </c>
      <c r="B988" s="94"/>
      <c r="C988" s="125" t="s">
        <v>666</v>
      </c>
      <c r="D988" s="15" t="s">
        <v>144</v>
      </c>
      <c r="E988" s="17">
        <v>1</v>
      </c>
      <c r="F988" s="17">
        <v>1000</v>
      </c>
      <c r="G988" s="124">
        <v>1</v>
      </c>
      <c r="H988" s="14"/>
      <c r="I988" s="15" t="s">
        <v>686</v>
      </c>
    </row>
    <row r="989" spans="1:9" ht="15" customHeight="1">
      <c r="A989" s="123">
        <v>46065</v>
      </c>
      <c r="B989" s="94"/>
      <c r="C989" s="125" t="s">
        <v>666</v>
      </c>
      <c r="D989" s="15" t="s">
        <v>144</v>
      </c>
      <c r="E989" s="17">
        <v>7</v>
      </c>
      <c r="F989" s="17">
        <v>1000</v>
      </c>
      <c r="G989" s="124">
        <v>14</v>
      </c>
      <c r="H989" s="14"/>
      <c r="I989" s="15" t="s">
        <v>672</v>
      </c>
    </row>
    <row r="990" spans="1:9" ht="15" customHeight="1">
      <c r="A990" s="123">
        <v>46065</v>
      </c>
      <c r="B990" s="94"/>
      <c r="C990" s="125" t="s">
        <v>666</v>
      </c>
      <c r="D990" s="15" t="s">
        <v>147</v>
      </c>
      <c r="E990" s="17">
        <v>1</v>
      </c>
      <c r="F990" s="17">
        <v>50</v>
      </c>
      <c r="G990" s="124">
        <v>1</v>
      </c>
      <c r="H990" s="14"/>
      <c r="I990" s="15" t="s">
        <v>687</v>
      </c>
    </row>
    <row r="991" spans="1:9" ht="15" customHeight="1">
      <c r="A991" s="123">
        <v>46065</v>
      </c>
      <c r="B991" s="94"/>
      <c r="C991" s="125" t="s">
        <v>666</v>
      </c>
      <c r="D991" s="15" t="s">
        <v>155</v>
      </c>
      <c r="E991" s="17">
        <v>2</v>
      </c>
      <c r="F991" s="17">
        <v>80</v>
      </c>
      <c r="G991" s="124">
        <v>2.4</v>
      </c>
      <c r="H991" s="14"/>
      <c r="I991" s="94" t="s">
        <v>741</v>
      </c>
    </row>
    <row r="992" spans="1:9" ht="15" customHeight="1">
      <c r="A992" s="123">
        <v>46065</v>
      </c>
      <c r="B992" s="94"/>
      <c r="C992" s="125" t="s">
        <v>666</v>
      </c>
      <c r="D992" s="15" t="s">
        <v>155</v>
      </c>
      <c r="E992" s="17">
        <v>1</v>
      </c>
      <c r="F992" s="17">
        <v>80</v>
      </c>
      <c r="G992" s="124">
        <v>1.6</v>
      </c>
      <c r="H992" s="14"/>
      <c r="I992" s="94" t="s">
        <v>673</v>
      </c>
    </row>
    <row r="993" spans="1:9" ht="15" customHeight="1">
      <c r="A993" s="123">
        <v>46065</v>
      </c>
      <c r="B993" s="94"/>
      <c r="C993" s="125" t="s">
        <v>666</v>
      </c>
      <c r="D993" s="15" t="s">
        <v>155</v>
      </c>
      <c r="E993" s="17">
        <v>5</v>
      </c>
      <c r="F993" s="17">
        <v>80</v>
      </c>
      <c r="G993" s="124">
        <v>8</v>
      </c>
      <c r="H993" s="14"/>
      <c r="I993" s="15" t="s">
        <v>743</v>
      </c>
    </row>
    <row r="994" spans="1:9" ht="15" customHeight="1">
      <c r="A994" s="123">
        <v>46065</v>
      </c>
      <c r="B994" s="94"/>
      <c r="C994" s="125" t="s">
        <v>666</v>
      </c>
      <c r="D994" s="15" t="s">
        <v>173</v>
      </c>
      <c r="E994" s="17">
        <v>2</v>
      </c>
      <c r="F994" s="17">
        <v>50</v>
      </c>
      <c r="G994" s="124">
        <v>0.5</v>
      </c>
      <c r="H994" s="14"/>
      <c r="I994" s="15" t="s">
        <v>739</v>
      </c>
    </row>
    <row r="995" spans="1:9" ht="15" customHeight="1">
      <c r="A995" s="123">
        <v>46065</v>
      </c>
      <c r="B995" s="94"/>
      <c r="C995" s="125" t="s">
        <v>666</v>
      </c>
      <c r="D995" s="15" t="s">
        <v>174</v>
      </c>
      <c r="E995" s="17">
        <v>11</v>
      </c>
      <c r="F995" s="17">
        <v>1000</v>
      </c>
      <c r="G995" s="124">
        <v>22</v>
      </c>
      <c r="H995" s="14"/>
      <c r="I995" s="15" t="s">
        <v>717</v>
      </c>
    </row>
    <row r="996" spans="1:9" ht="15" customHeight="1">
      <c r="A996" s="123">
        <v>46065</v>
      </c>
      <c r="B996" s="94"/>
      <c r="C996" s="125" t="s">
        <v>666</v>
      </c>
      <c r="D996" s="15" t="s">
        <v>181</v>
      </c>
      <c r="E996" s="17">
        <v>1</v>
      </c>
      <c r="F996" s="17">
        <v>1000</v>
      </c>
      <c r="G996" s="124">
        <v>2</v>
      </c>
      <c r="H996" s="14"/>
      <c r="I996" s="94" t="s">
        <v>747</v>
      </c>
    </row>
    <row r="997" spans="1:9" ht="15" customHeight="1">
      <c r="A997" s="123">
        <v>46065</v>
      </c>
      <c r="B997" s="94"/>
      <c r="C997" s="125" t="s">
        <v>666</v>
      </c>
      <c r="D997" s="15" t="s">
        <v>183</v>
      </c>
      <c r="E997" s="17">
        <v>2</v>
      </c>
      <c r="F997" s="17">
        <v>60</v>
      </c>
      <c r="G997" s="124">
        <v>3.6</v>
      </c>
      <c r="H997" s="14"/>
      <c r="I997" s="15" t="s">
        <v>676</v>
      </c>
    </row>
    <row r="998" spans="1:9" ht="15" customHeight="1">
      <c r="A998" s="123">
        <v>46065</v>
      </c>
      <c r="B998" s="94"/>
      <c r="C998" s="125" t="s">
        <v>666</v>
      </c>
      <c r="D998" s="15" t="s">
        <v>184</v>
      </c>
      <c r="E998" s="17">
        <v>4</v>
      </c>
      <c r="F998" s="17">
        <v>50</v>
      </c>
      <c r="G998" s="124">
        <v>4</v>
      </c>
      <c r="H998" s="14"/>
      <c r="I998" s="15" t="s">
        <v>707</v>
      </c>
    </row>
    <row r="999" spans="1:9" ht="15" customHeight="1">
      <c r="A999" s="123">
        <v>46065</v>
      </c>
      <c r="B999" s="94"/>
      <c r="C999" s="125" t="s">
        <v>666</v>
      </c>
      <c r="D999" s="15" t="s">
        <v>222</v>
      </c>
      <c r="E999" s="17">
        <v>3</v>
      </c>
      <c r="F999" s="17">
        <v>40</v>
      </c>
      <c r="G999" s="124">
        <v>2.4</v>
      </c>
      <c r="H999" s="14"/>
      <c r="I999" s="15" t="s">
        <v>679</v>
      </c>
    </row>
    <row r="1000" spans="1:9" ht="15" customHeight="1">
      <c r="A1000" s="123">
        <v>46065</v>
      </c>
      <c r="B1000" s="94"/>
      <c r="C1000" s="125" t="s">
        <v>666</v>
      </c>
      <c r="D1000" s="15" t="s">
        <v>204</v>
      </c>
      <c r="E1000" s="17">
        <v>5</v>
      </c>
      <c r="F1000" s="17">
        <v>60</v>
      </c>
      <c r="G1000" s="124">
        <v>9</v>
      </c>
      <c r="H1000" s="14"/>
      <c r="I1000" s="15" t="s">
        <v>681</v>
      </c>
    </row>
    <row r="1001" spans="1:9" ht="15" customHeight="1">
      <c r="A1001" s="123">
        <v>46065</v>
      </c>
      <c r="B1001" s="94"/>
      <c r="C1001" s="125" t="s">
        <v>666</v>
      </c>
      <c r="D1001" s="15" t="s">
        <v>204</v>
      </c>
      <c r="E1001" s="17">
        <v>14</v>
      </c>
      <c r="F1001" s="17">
        <v>60</v>
      </c>
      <c r="G1001" s="124">
        <v>25.2</v>
      </c>
      <c r="H1001" s="14"/>
      <c r="I1001" s="15" t="s">
        <v>745</v>
      </c>
    </row>
    <row r="1002" spans="1:9" ht="15" customHeight="1">
      <c r="A1002" s="123">
        <v>46065</v>
      </c>
      <c r="B1002" s="94"/>
      <c r="C1002" s="125" t="s">
        <v>666</v>
      </c>
      <c r="D1002" s="15" t="s">
        <v>204</v>
      </c>
      <c r="E1002" s="17">
        <v>19</v>
      </c>
      <c r="F1002" s="17">
        <v>60</v>
      </c>
      <c r="G1002" s="124">
        <v>68.400000000000006</v>
      </c>
      <c r="H1002" s="14"/>
      <c r="I1002" s="15" t="s">
        <v>728</v>
      </c>
    </row>
    <row r="1003" spans="1:9" ht="15" customHeight="1">
      <c r="A1003" s="123">
        <v>46065</v>
      </c>
      <c r="B1003" s="94"/>
      <c r="C1003" s="125" t="s">
        <v>666</v>
      </c>
      <c r="D1003" s="15" t="s">
        <v>205</v>
      </c>
      <c r="E1003" s="17">
        <v>2</v>
      </c>
      <c r="F1003" s="17">
        <v>60</v>
      </c>
      <c r="G1003" s="124">
        <v>7.2</v>
      </c>
      <c r="H1003" s="14"/>
      <c r="I1003" s="15" t="s">
        <v>746</v>
      </c>
    </row>
    <row r="1004" spans="1:9" ht="15" customHeight="1">
      <c r="A1004" s="123">
        <v>46065</v>
      </c>
      <c r="B1004" s="94"/>
      <c r="C1004" s="125" t="s">
        <v>666</v>
      </c>
      <c r="D1004" s="15" t="s">
        <v>205</v>
      </c>
      <c r="E1004" s="17">
        <v>14</v>
      </c>
      <c r="F1004" s="17">
        <v>60</v>
      </c>
      <c r="G1004" s="124">
        <v>25.2</v>
      </c>
      <c r="H1004" s="14"/>
      <c r="I1004" s="15" t="s">
        <v>745</v>
      </c>
    </row>
    <row r="1005" spans="1:9" ht="15" customHeight="1">
      <c r="A1005" s="123">
        <v>46065</v>
      </c>
      <c r="B1005" s="94"/>
      <c r="C1005" s="125" t="s">
        <v>666</v>
      </c>
      <c r="D1005" s="15" t="s">
        <v>212</v>
      </c>
      <c r="E1005" s="17">
        <v>2</v>
      </c>
      <c r="F1005" s="17">
        <v>50</v>
      </c>
      <c r="G1005" s="124">
        <v>0.5</v>
      </c>
      <c r="H1005" s="14"/>
      <c r="I1005" s="15" t="s">
        <v>739</v>
      </c>
    </row>
    <row r="1006" spans="1:9" ht="15" customHeight="1">
      <c r="A1006" s="123">
        <v>46065</v>
      </c>
      <c r="B1006" s="15" t="s">
        <v>719</v>
      </c>
      <c r="C1006" s="14" t="s">
        <v>657</v>
      </c>
      <c r="D1006" s="15" t="s">
        <v>149</v>
      </c>
      <c r="E1006" s="17">
        <v>3</v>
      </c>
      <c r="F1006" s="17">
        <v>360</v>
      </c>
      <c r="G1006" s="124">
        <v>1.08</v>
      </c>
      <c r="H1006" s="14"/>
      <c r="I1006" s="15" t="s">
        <v>720</v>
      </c>
    </row>
    <row r="1007" spans="1:9" ht="15" customHeight="1">
      <c r="A1007" s="123">
        <v>46065</v>
      </c>
      <c r="B1007" s="15" t="s">
        <v>719</v>
      </c>
      <c r="C1007" s="14" t="s">
        <v>657</v>
      </c>
      <c r="D1007" s="15" t="s">
        <v>151</v>
      </c>
      <c r="E1007" s="17">
        <v>2</v>
      </c>
      <c r="F1007" s="17">
        <v>360</v>
      </c>
      <c r="G1007" s="124">
        <v>0.72</v>
      </c>
      <c r="H1007" s="14"/>
      <c r="I1007" s="15" t="s">
        <v>722</v>
      </c>
    </row>
    <row r="1008" spans="1:9" ht="15" customHeight="1">
      <c r="A1008" s="123">
        <v>46065</v>
      </c>
      <c r="B1008" s="15" t="s">
        <v>719</v>
      </c>
      <c r="C1008" s="14" t="s">
        <v>657</v>
      </c>
      <c r="D1008" s="15" t="s">
        <v>153</v>
      </c>
      <c r="E1008" s="17">
        <v>6</v>
      </c>
      <c r="F1008" s="17">
        <v>360</v>
      </c>
      <c r="G1008" s="124">
        <v>2.16</v>
      </c>
      <c r="H1008" s="14"/>
      <c r="I1008" s="15" t="s">
        <v>724</v>
      </c>
    </row>
    <row r="1009" spans="1:9" ht="15" customHeight="1">
      <c r="A1009" s="123">
        <v>46065</v>
      </c>
      <c r="B1009" s="15" t="s">
        <v>719</v>
      </c>
      <c r="C1009" s="14" t="s">
        <v>657</v>
      </c>
      <c r="D1009" s="15" t="s">
        <v>154</v>
      </c>
      <c r="E1009" s="17">
        <v>4</v>
      </c>
      <c r="F1009" s="17">
        <v>360</v>
      </c>
      <c r="G1009" s="124">
        <v>1.44</v>
      </c>
      <c r="H1009" s="14"/>
      <c r="I1009" s="15" t="s">
        <v>725</v>
      </c>
    </row>
    <row r="1010" spans="1:9" ht="15" customHeight="1">
      <c r="A1010" s="123">
        <v>46066</v>
      </c>
      <c r="B1010" s="15" t="s">
        <v>656</v>
      </c>
      <c r="C1010" s="14" t="s">
        <v>657</v>
      </c>
      <c r="D1010" s="94" t="s">
        <v>141</v>
      </c>
      <c r="E1010" s="17">
        <v>20</v>
      </c>
      <c r="F1010" s="17">
        <v>60</v>
      </c>
      <c r="G1010" s="124">
        <v>1.2</v>
      </c>
      <c r="H1010" s="14"/>
      <c r="I1010" s="15" t="s">
        <v>209</v>
      </c>
    </row>
    <row r="1011" spans="1:9" ht="15" customHeight="1">
      <c r="A1011" s="123">
        <v>46066</v>
      </c>
      <c r="B1011" s="15" t="s">
        <v>656</v>
      </c>
      <c r="C1011" s="14" t="s">
        <v>657</v>
      </c>
      <c r="D1011" s="15" t="s">
        <v>155</v>
      </c>
      <c r="E1011" s="17">
        <v>200</v>
      </c>
      <c r="F1011" s="17">
        <v>80</v>
      </c>
      <c r="G1011" s="124">
        <v>16</v>
      </c>
      <c r="H1011" s="14"/>
      <c r="I1011" s="15" t="s">
        <v>756</v>
      </c>
    </row>
    <row r="1012" spans="1:9" ht="15" customHeight="1">
      <c r="A1012" s="123">
        <v>46066</v>
      </c>
      <c r="B1012" s="15" t="s">
        <v>656</v>
      </c>
      <c r="C1012" s="14" t="s">
        <v>657</v>
      </c>
      <c r="D1012" s="15" t="s">
        <v>155</v>
      </c>
      <c r="E1012" s="17">
        <v>600</v>
      </c>
      <c r="F1012" s="17">
        <v>80</v>
      </c>
      <c r="G1012" s="124">
        <v>48</v>
      </c>
      <c r="H1012" s="14"/>
      <c r="I1012" s="94" t="s">
        <v>757</v>
      </c>
    </row>
    <row r="1013" spans="1:9" ht="15" customHeight="1">
      <c r="A1013" s="123">
        <v>46066</v>
      </c>
      <c r="B1013" s="15" t="s">
        <v>656</v>
      </c>
      <c r="C1013" s="14" t="s">
        <v>657</v>
      </c>
      <c r="D1013" s="15" t="s">
        <v>155</v>
      </c>
      <c r="E1013" s="17">
        <v>600</v>
      </c>
      <c r="F1013" s="17">
        <v>80</v>
      </c>
      <c r="G1013" s="124">
        <v>48</v>
      </c>
      <c r="H1013" s="14"/>
      <c r="I1013" s="94" t="s">
        <v>757</v>
      </c>
    </row>
    <row r="1014" spans="1:9" ht="15" customHeight="1">
      <c r="A1014" s="123">
        <v>46066</v>
      </c>
      <c r="B1014" s="15" t="s">
        <v>656</v>
      </c>
      <c r="C1014" s="14" t="s">
        <v>657</v>
      </c>
      <c r="D1014" s="15" t="s">
        <v>155</v>
      </c>
      <c r="E1014" s="17">
        <v>20</v>
      </c>
      <c r="F1014" s="17">
        <v>80</v>
      </c>
      <c r="G1014" s="124">
        <v>1.6</v>
      </c>
      <c r="H1014" s="14"/>
      <c r="I1014" s="15" t="s">
        <v>756</v>
      </c>
    </row>
    <row r="1015" spans="1:9" ht="15" customHeight="1">
      <c r="A1015" s="123">
        <v>46066</v>
      </c>
      <c r="B1015" s="15" t="s">
        <v>656</v>
      </c>
      <c r="C1015" s="14" t="s">
        <v>657</v>
      </c>
      <c r="D1015" s="15" t="s">
        <v>155</v>
      </c>
      <c r="E1015" s="17">
        <v>20</v>
      </c>
      <c r="F1015" s="17">
        <v>80</v>
      </c>
      <c r="G1015" s="124">
        <v>1.6</v>
      </c>
      <c r="H1015" s="14"/>
      <c r="I1015" s="94" t="s">
        <v>757</v>
      </c>
    </row>
    <row r="1016" spans="1:9" ht="15" customHeight="1">
      <c r="A1016" s="123">
        <v>46066</v>
      </c>
      <c r="B1016" s="15" t="s">
        <v>656</v>
      </c>
      <c r="C1016" s="14" t="s">
        <v>657</v>
      </c>
      <c r="D1016" s="15" t="s">
        <v>221</v>
      </c>
      <c r="E1016" s="17">
        <v>200</v>
      </c>
      <c r="F1016" s="17">
        <v>40</v>
      </c>
      <c r="G1016" s="124">
        <v>8</v>
      </c>
      <c r="H1016" s="14"/>
      <c r="I1016" s="15" t="s">
        <v>221</v>
      </c>
    </row>
    <row r="1017" spans="1:9" ht="15" customHeight="1">
      <c r="A1017" s="123">
        <v>46066</v>
      </c>
      <c r="B1017" s="15" t="s">
        <v>656</v>
      </c>
      <c r="C1017" s="14" t="s">
        <v>657</v>
      </c>
      <c r="D1017" s="15" t="s">
        <v>204</v>
      </c>
      <c r="E1017" s="17">
        <v>210</v>
      </c>
      <c r="F1017" s="17">
        <v>60</v>
      </c>
      <c r="G1017" s="124">
        <v>12.6</v>
      </c>
      <c r="H1017" s="14"/>
      <c r="I1017" s="15" t="s">
        <v>204</v>
      </c>
    </row>
    <row r="1018" spans="1:9" ht="15" customHeight="1">
      <c r="A1018" s="123">
        <v>46072</v>
      </c>
      <c r="B1018" s="94"/>
      <c r="C1018" s="125" t="s">
        <v>666</v>
      </c>
      <c r="D1018" s="94" t="s">
        <v>141</v>
      </c>
      <c r="E1018" s="17">
        <v>2</v>
      </c>
      <c r="F1018" s="17">
        <v>60</v>
      </c>
      <c r="G1018" s="124">
        <v>2.4</v>
      </c>
      <c r="H1018" s="14"/>
      <c r="I1018" s="94" t="s">
        <v>692</v>
      </c>
    </row>
    <row r="1019" spans="1:9" ht="15" customHeight="1">
      <c r="A1019" s="123">
        <v>46072</v>
      </c>
      <c r="B1019" s="94"/>
      <c r="C1019" s="125" t="s">
        <v>666</v>
      </c>
      <c r="D1019" s="94" t="s">
        <v>141</v>
      </c>
      <c r="E1019" s="17">
        <v>1</v>
      </c>
      <c r="F1019" s="17">
        <v>60</v>
      </c>
      <c r="G1019" s="124">
        <v>1.2</v>
      </c>
      <c r="H1019" s="14"/>
      <c r="I1019" s="15" t="s">
        <v>684</v>
      </c>
    </row>
    <row r="1020" spans="1:9" ht="15" customHeight="1">
      <c r="A1020" s="123">
        <v>46072</v>
      </c>
      <c r="B1020" s="94"/>
      <c r="C1020" s="125" t="s">
        <v>666</v>
      </c>
      <c r="D1020" s="15" t="s">
        <v>142</v>
      </c>
      <c r="E1020" s="17">
        <v>10</v>
      </c>
      <c r="F1020" s="17">
        <v>50</v>
      </c>
      <c r="G1020" s="124">
        <v>0.5</v>
      </c>
      <c r="H1020" s="14"/>
      <c r="I1020" s="15" t="s">
        <v>668</v>
      </c>
    </row>
    <row r="1021" spans="1:9" ht="15" customHeight="1">
      <c r="A1021" s="123">
        <v>46072</v>
      </c>
      <c r="B1021" s="94"/>
      <c r="C1021" s="125" t="s">
        <v>666</v>
      </c>
      <c r="D1021" s="15" t="s">
        <v>143</v>
      </c>
      <c r="E1021" s="17">
        <v>6</v>
      </c>
      <c r="F1021" s="17">
        <v>50</v>
      </c>
      <c r="G1021" s="124">
        <v>6</v>
      </c>
      <c r="H1021" s="14"/>
      <c r="I1021" s="15" t="s">
        <v>669</v>
      </c>
    </row>
    <row r="1022" spans="1:9" ht="15" customHeight="1">
      <c r="A1022" s="123">
        <v>46072</v>
      </c>
      <c r="B1022" s="94"/>
      <c r="C1022" s="125" t="s">
        <v>666</v>
      </c>
      <c r="D1022" s="15" t="s">
        <v>143</v>
      </c>
      <c r="E1022" s="17">
        <v>2</v>
      </c>
      <c r="F1022" s="17">
        <v>50</v>
      </c>
      <c r="G1022" s="124">
        <v>4</v>
      </c>
      <c r="H1022" s="14"/>
      <c r="I1022" s="15" t="s">
        <v>670</v>
      </c>
    </row>
    <row r="1023" spans="1:9" ht="15" customHeight="1">
      <c r="A1023" s="123">
        <v>46072</v>
      </c>
      <c r="B1023" s="94"/>
      <c r="C1023" s="125" t="s">
        <v>666</v>
      </c>
      <c r="D1023" s="15" t="s">
        <v>143</v>
      </c>
      <c r="E1023" s="17">
        <v>2</v>
      </c>
      <c r="F1023" s="17">
        <v>50</v>
      </c>
      <c r="G1023" s="124">
        <v>4</v>
      </c>
      <c r="H1023" s="14"/>
      <c r="I1023" s="15" t="s">
        <v>712</v>
      </c>
    </row>
    <row r="1024" spans="1:9" ht="15" customHeight="1">
      <c r="A1024" s="123">
        <v>46072</v>
      </c>
      <c r="B1024" s="94"/>
      <c r="C1024" s="125" t="s">
        <v>666</v>
      </c>
      <c r="D1024" s="15" t="s">
        <v>143</v>
      </c>
      <c r="E1024" s="17">
        <v>10</v>
      </c>
      <c r="F1024" s="17">
        <v>50</v>
      </c>
      <c r="G1024" s="124">
        <v>10</v>
      </c>
      <c r="H1024" s="14"/>
      <c r="I1024" s="15" t="s">
        <v>707</v>
      </c>
    </row>
    <row r="1025" spans="1:9" ht="15" customHeight="1">
      <c r="A1025" s="123">
        <v>46072</v>
      </c>
      <c r="B1025" s="94"/>
      <c r="C1025" s="125" t="s">
        <v>666</v>
      </c>
      <c r="D1025" s="15" t="s">
        <v>144</v>
      </c>
      <c r="E1025" s="17">
        <v>14</v>
      </c>
      <c r="F1025" s="17">
        <v>1000</v>
      </c>
      <c r="G1025" s="124">
        <v>28</v>
      </c>
      <c r="H1025" s="14"/>
      <c r="I1025" s="15" t="s">
        <v>672</v>
      </c>
    </row>
    <row r="1026" spans="1:9" ht="15" customHeight="1">
      <c r="A1026" s="123">
        <v>46072</v>
      </c>
      <c r="B1026" s="94"/>
      <c r="C1026" s="125" t="s">
        <v>666</v>
      </c>
      <c r="D1026" s="15" t="s">
        <v>146</v>
      </c>
      <c r="E1026" s="17">
        <v>1</v>
      </c>
      <c r="F1026" s="17">
        <v>50</v>
      </c>
      <c r="G1026" s="124">
        <v>1</v>
      </c>
      <c r="H1026" s="14"/>
      <c r="I1026" s="15" t="s">
        <v>704</v>
      </c>
    </row>
    <row r="1027" spans="1:9" ht="15" customHeight="1">
      <c r="A1027" s="123">
        <v>46072</v>
      </c>
      <c r="B1027" s="94"/>
      <c r="C1027" s="125" t="s">
        <v>666</v>
      </c>
      <c r="D1027" s="15" t="s">
        <v>146</v>
      </c>
      <c r="E1027" s="17">
        <v>10</v>
      </c>
      <c r="F1027" s="17">
        <v>50</v>
      </c>
      <c r="G1027" s="124">
        <v>0.5</v>
      </c>
      <c r="H1027" s="14"/>
      <c r="I1027" s="15" t="s">
        <v>668</v>
      </c>
    </row>
    <row r="1028" spans="1:9" ht="15" customHeight="1">
      <c r="A1028" s="123">
        <v>46072</v>
      </c>
      <c r="B1028" s="94"/>
      <c r="C1028" s="125" t="s">
        <v>666</v>
      </c>
      <c r="D1028" s="15" t="s">
        <v>147</v>
      </c>
      <c r="E1028" s="17">
        <v>1</v>
      </c>
      <c r="F1028" s="17">
        <v>50</v>
      </c>
      <c r="G1028" s="124">
        <v>1</v>
      </c>
      <c r="H1028" s="14"/>
      <c r="I1028" s="15" t="s">
        <v>687</v>
      </c>
    </row>
    <row r="1029" spans="1:9" ht="15" customHeight="1">
      <c r="A1029" s="123">
        <v>46072</v>
      </c>
      <c r="B1029" s="94"/>
      <c r="C1029" s="125" t="s">
        <v>666</v>
      </c>
      <c r="D1029" s="15" t="s">
        <v>147</v>
      </c>
      <c r="E1029" s="17">
        <v>10</v>
      </c>
      <c r="F1029" s="17">
        <v>50</v>
      </c>
      <c r="G1029" s="124">
        <v>0.5</v>
      </c>
      <c r="H1029" s="14"/>
      <c r="I1029" s="15" t="s">
        <v>668</v>
      </c>
    </row>
    <row r="1030" spans="1:9" ht="15" customHeight="1">
      <c r="A1030" s="123">
        <v>46072</v>
      </c>
      <c r="B1030" s="94"/>
      <c r="C1030" s="125" t="s">
        <v>666</v>
      </c>
      <c r="D1030" s="15" t="s">
        <v>155</v>
      </c>
      <c r="E1030" s="17">
        <v>12</v>
      </c>
      <c r="F1030" s="17">
        <v>80</v>
      </c>
      <c r="G1030" s="124">
        <v>19.2</v>
      </c>
      <c r="H1030" s="14"/>
      <c r="I1030" s="94" t="s">
        <v>673</v>
      </c>
    </row>
    <row r="1031" spans="1:9" ht="15" customHeight="1">
      <c r="A1031" s="123">
        <v>46072</v>
      </c>
      <c r="B1031" s="94"/>
      <c r="C1031" s="125" t="s">
        <v>666</v>
      </c>
      <c r="D1031" s="15" t="s">
        <v>155</v>
      </c>
      <c r="E1031" s="17">
        <v>1</v>
      </c>
      <c r="F1031" s="17">
        <v>80</v>
      </c>
      <c r="G1031" s="124">
        <v>1.6</v>
      </c>
      <c r="H1031" s="14"/>
      <c r="I1031" s="15" t="s">
        <v>743</v>
      </c>
    </row>
    <row r="1032" spans="1:9" ht="15" customHeight="1">
      <c r="A1032" s="123">
        <v>46072</v>
      </c>
      <c r="B1032" s="94"/>
      <c r="C1032" s="125" t="s">
        <v>666</v>
      </c>
      <c r="D1032" s="15" t="s">
        <v>161</v>
      </c>
      <c r="E1032" s="17">
        <v>6</v>
      </c>
      <c r="F1032" s="17">
        <v>1000</v>
      </c>
      <c r="G1032" s="124">
        <v>12</v>
      </c>
      <c r="H1032" s="14"/>
      <c r="I1032" s="15" t="s">
        <v>758</v>
      </c>
    </row>
    <row r="1033" spans="1:9" ht="15" customHeight="1">
      <c r="A1033" s="123">
        <v>46072</v>
      </c>
      <c r="B1033" s="94"/>
      <c r="C1033" s="125" t="s">
        <v>666</v>
      </c>
      <c r="D1033" s="15" t="s">
        <v>173</v>
      </c>
      <c r="E1033" s="17">
        <v>2</v>
      </c>
      <c r="F1033" s="17">
        <v>50</v>
      </c>
      <c r="G1033" s="124">
        <v>1</v>
      </c>
      <c r="H1033" s="14"/>
      <c r="I1033" s="15" t="s">
        <v>715</v>
      </c>
    </row>
    <row r="1034" spans="1:9" ht="15" customHeight="1">
      <c r="A1034" s="123">
        <v>46072</v>
      </c>
      <c r="B1034" s="94"/>
      <c r="C1034" s="125" t="s">
        <v>666</v>
      </c>
      <c r="D1034" s="15" t="s">
        <v>174</v>
      </c>
      <c r="E1034" s="17">
        <v>35</v>
      </c>
      <c r="F1034" s="17">
        <v>1000</v>
      </c>
      <c r="G1034" s="124">
        <v>70</v>
      </c>
      <c r="H1034" s="14"/>
      <c r="I1034" s="15" t="s">
        <v>717</v>
      </c>
    </row>
    <row r="1035" spans="1:9" ht="15" customHeight="1">
      <c r="A1035" s="123">
        <v>46072</v>
      </c>
      <c r="B1035" s="94"/>
      <c r="C1035" s="125" t="s">
        <v>666</v>
      </c>
      <c r="D1035" s="15" t="s">
        <v>183</v>
      </c>
      <c r="E1035" s="17">
        <v>12</v>
      </c>
      <c r="F1035" s="17">
        <v>60</v>
      </c>
      <c r="G1035" s="124">
        <v>21.6</v>
      </c>
      <c r="H1035" s="14"/>
      <c r="I1035" s="15" t="s">
        <v>676</v>
      </c>
    </row>
    <row r="1036" spans="1:9" ht="15" customHeight="1">
      <c r="A1036" s="123">
        <v>46072</v>
      </c>
      <c r="B1036" s="94"/>
      <c r="C1036" s="125" t="s">
        <v>666</v>
      </c>
      <c r="D1036" s="15" t="s">
        <v>184</v>
      </c>
      <c r="E1036" s="17">
        <v>4</v>
      </c>
      <c r="F1036" s="17">
        <v>50</v>
      </c>
      <c r="G1036" s="124">
        <v>8</v>
      </c>
      <c r="H1036" s="14"/>
      <c r="I1036" s="15" t="s">
        <v>678</v>
      </c>
    </row>
    <row r="1037" spans="1:9" ht="15" customHeight="1">
      <c r="A1037" s="123">
        <v>46072</v>
      </c>
      <c r="B1037" s="94"/>
      <c r="C1037" s="125" t="s">
        <v>666</v>
      </c>
      <c r="D1037" s="15" t="s">
        <v>184</v>
      </c>
      <c r="E1037" s="17">
        <v>10</v>
      </c>
      <c r="F1037" s="17">
        <v>50</v>
      </c>
      <c r="G1037" s="124">
        <v>10</v>
      </c>
      <c r="H1037" s="14"/>
      <c r="I1037" s="15" t="s">
        <v>707</v>
      </c>
    </row>
    <row r="1038" spans="1:9" ht="15" customHeight="1">
      <c r="A1038" s="123">
        <v>46072</v>
      </c>
      <c r="B1038" s="94"/>
      <c r="C1038" s="125" t="s">
        <v>666</v>
      </c>
      <c r="D1038" s="15" t="s">
        <v>222</v>
      </c>
      <c r="E1038" s="17">
        <v>13</v>
      </c>
      <c r="F1038" s="17">
        <v>40</v>
      </c>
      <c r="G1038" s="124">
        <v>10.4</v>
      </c>
      <c r="H1038" s="14"/>
      <c r="I1038" s="15" t="s">
        <v>679</v>
      </c>
    </row>
    <row r="1039" spans="1:9" ht="15" customHeight="1">
      <c r="A1039" s="123">
        <v>46072</v>
      </c>
      <c r="B1039" s="94"/>
      <c r="C1039" s="125" t="s">
        <v>666</v>
      </c>
      <c r="D1039" s="15" t="s">
        <v>204</v>
      </c>
      <c r="E1039" s="17">
        <v>12</v>
      </c>
      <c r="F1039" s="17">
        <v>1000</v>
      </c>
      <c r="G1039" s="124">
        <v>21.6</v>
      </c>
      <c r="H1039" s="14"/>
      <c r="I1039" s="15" t="s">
        <v>690</v>
      </c>
    </row>
    <row r="1040" spans="1:9" ht="15" customHeight="1">
      <c r="A1040" s="123">
        <v>46072</v>
      </c>
      <c r="B1040" s="94"/>
      <c r="C1040" s="125" t="s">
        <v>666</v>
      </c>
      <c r="D1040" s="15" t="s">
        <v>204</v>
      </c>
      <c r="E1040" s="17">
        <v>4</v>
      </c>
      <c r="F1040" s="17">
        <v>60</v>
      </c>
      <c r="G1040" s="124">
        <v>3.6</v>
      </c>
      <c r="H1040" s="14"/>
      <c r="I1040" s="15" t="s">
        <v>744</v>
      </c>
    </row>
    <row r="1041" spans="1:9" ht="15" customHeight="1">
      <c r="A1041" s="123">
        <v>46072</v>
      </c>
      <c r="B1041" s="94"/>
      <c r="C1041" s="125" t="s">
        <v>666</v>
      </c>
      <c r="D1041" s="15" t="s">
        <v>204</v>
      </c>
      <c r="E1041" s="17">
        <v>1</v>
      </c>
      <c r="F1041" s="17">
        <v>60</v>
      </c>
      <c r="G1041" s="124">
        <v>0.9</v>
      </c>
      <c r="H1041" s="14"/>
      <c r="I1041" s="15" t="s">
        <v>695</v>
      </c>
    </row>
    <row r="1042" spans="1:9" ht="15" customHeight="1">
      <c r="A1042" s="123">
        <v>46072</v>
      </c>
      <c r="B1042" s="94"/>
      <c r="C1042" s="125" t="s">
        <v>666</v>
      </c>
      <c r="D1042" s="15" t="s">
        <v>204</v>
      </c>
      <c r="E1042" s="17">
        <v>3</v>
      </c>
      <c r="F1042" s="17">
        <v>60</v>
      </c>
      <c r="G1042" s="124">
        <v>5.4</v>
      </c>
      <c r="H1042" s="14"/>
      <c r="I1042" s="15" t="s">
        <v>681</v>
      </c>
    </row>
    <row r="1043" spans="1:9" ht="15" customHeight="1">
      <c r="A1043" s="123">
        <v>46072</v>
      </c>
      <c r="B1043" s="94"/>
      <c r="C1043" s="125" t="s">
        <v>666</v>
      </c>
      <c r="D1043" s="15" t="s">
        <v>204</v>
      </c>
      <c r="E1043" s="17">
        <v>14</v>
      </c>
      <c r="F1043" s="17">
        <v>60</v>
      </c>
      <c r="G1043" s="124">
        <v>25.2</v>
      </c>
      <c r="H1043" s="14"/>
      <c r="I1043" s="15" t="s">
        <v>745</v>
      </c>
    </row>
    <row r="1044" spans="1:9" ht="15" customHeight="1">
      <c r="A1044" s="123">
        <v>46072</v>
      </c>
      <c r="B1044" s="94"/>
      <c r="C1044" s="125" t="s">
        <v>666</v>
      </c>
      <c r="D1044" s="15" t="s">
        <v>204</v>
      </c>
      <c r="E1044" s="17">
        <v>8</v>
      </c>
      <c r="F1044" s="17">
        <v>60</v>
      </c>
      <c r="G1044" s="124">
        <v>28.8</v>
      </c>
      <c r="H1044" s="14"/>
      <c r="I1044" s="15" t="s">
        <v>728</v>
      </c>
    </row>
    <row r="1045" spans="1:9" ht="15" customHeight="1">
      <c r="A1045" s="123">
        <v>46072</v>
      </c>
      <c r="B1045" s="94"/>
      <c r="C1045" s="125" t="s">
        <v>666</v>
      </c>
      <c r="D1045" s="15" t="s">
        <v>205</v>
      </c>
      <c r="E1045" s="17">
        <v>4</v>
      </c>
      <c r="F1045" s="17">
        <v>60</v>
      </c>
      <c r="G1045" s="124">
        <v>7.2</v>
      </c>
      <c r="H1045" s="14"/>
      <c r="I1045" s="15" t="s">
        <v>682</v>
      </c>
    </row>
    <row r="1046" spans="1:9" ht="15" customHeight="1">
      <c r="A1046" s="123">
        <v>46072</v>
      </c>
      <c r="B1046" s="94"/>
      <c r="C1046" s="125" t="s">
        <v>666</v>
      </c>
      <c r="D1046" s="15" t="s">
        <v>205</v>
      </c>
      <c r="E1046" s="17">
        <v>4</v>
      </c>
      <c r="F1046" s="17">
        <v>60</v>
      </c>
      <c r="G1046" s="124">
        <v>14.4</v>
      </c>
      <c r="H1046" s="14"/>
      <c r="I1046" s="15" t="s">
        <v>746</v>
      </c>
    </row>
    <row r="1047" spans="1:9" ht="15" customHeight="1">
      <c r="A1047" s="123">
        <v>46072</v>
      </c>
      <c r="B1047" s="94"/>
      <c r="C1047" s="125" t="s">
        <v>666</v>
      </c>
      <c r="D1047" s="15" t="s">
        <v>205</v>
      </c>
      <c r="E1047" s="17">
        <v>4</v>
      </c>
      <c r="F1047" s="17">
        <v>60</v>
      </c>
      <c r="G1047" s="124">
        <v>3.6</v>
      </c>
      <c r="H1047" s="14"/>
      <c r="I1047" s="15" t="s">
        <v>744</v>
      </c>
    </row>
    <row r="1048" spans="1:9" ht="15" customHeight="1">
      <c r="A1048" s="123">
        <v>46072</v>
      </c>
      <c r="B1048" s="94"/>
      <c r="C1048" s="125" t="s">
        <v>666</v>
      </c>
      <c r="D1048" s="15" t="s">
        <v>205</v>
      </c>
      <c r="E1048" s="17">
        <v>14</v>
      </c>
      <c r="F1048" s="17">
        <v>60</v>
      </c>
      <c r="G1048" s="124">
        <v>25.2</v>
      </c>
      <c r="H1048" s="14"/>
      <c r="I1048" s="15" t="s">
        <v>745</v>
      </c>
    </row>
    <row r="1049" spans="1:9" ht="15" customHeight="1">
      <c r="A1049" s="123">
        <v>46072</v>
      </c>
      <c r="B1049" s="94"/>
      <c r="C1049" s="125" t="s">
        <v>666</v>
      </c>
      <c r="D1049" s="15" t="s">
        <v>206</v>
      </c>
      <c r="E1049" s="17">
        <v>2</v>
      </c>
      <c r="F1049" s="17">
        <v>30</v>
      </c>
      <c r="G1049" s="124">
        <v>1.8</v>
      </c>
      <c r="H1049" s="14"/>
      <c r="I1049" s="15" t="s">
        <v>718</v>
      </c>
    </row>
    <row r="1050" spans="1:9" ht="15" customHeight="1">
      <c r="A1050" s="123">
        <v>46072</v>
      </c>
      <c r="B1050" s="94"/>
      <c r="C1050" s="125" t="s">
        <v>666</v>
      </c>
      <c r="D1050" s="15" t="s">
        <v>220</v>
      </c>
      <c r="E1050" s="17">
        <v>10</v>
      </c>
      <c r="F1050" s="17">
        <v>50</v>
      </c>
      <c r="G1050" s="124">
        <v>0.5</v>
      </c>
      <c r="H1050" s="14"/>
      <c r="I1050" s="15" t="s">
        <v>668</v>
      </c>
    </row>
    <row r="1051" spans="1:9" ht="15" customHeight="1">
      <c r="A1051" s="123">
        <v>46073</v>
      </c>
      <c r="B1051" s="94"/>
      <c r="C1051" s="125" t="s">
        <v>666</v>
      </c>
      <c r="D1051" s="15" t="s">
        <v>143</v>
      </c>
      <c r="E1051" s="17">
        <v>2</v>
      </c>
      <c r="F1051" s="17">
        <v>50</v>
      </c>
      <c r="G1051" s="124">
        <v>2</v>
      </c>
      <c r="H1051" s="14"/>
      <c r="I1051" s="15" t="s">
        <v>669</v>
      </c>
    </row>
    <row r="1052" spans="1:9" ht="15" customHeight="1">
      <c r="A1052" s="123">
        <v>46073</v>
      </c>
      <c r="B1052" s="94"/>
      <c r="C1052" s="125" t="s">
        <v>666</v>
      </c>
      <c r="D1052" s="15" t="s">
        <v>143</v>
      </c>
      <c r="E1052" s="17">
        <v>1</v>
      </c>
      <c r="F1052" s="17">
        <v>50</v>
      </c>
      <c r="G1052" s="124">
        <v>2</v>
      </c>
      <c r="H1052" s="14"/>
      <c r="I1052" s="15" t="s">
        <v>670</v>
      </c>
    </row>
    <row r="1053" spans="1:9" ht="15" customHeight="1">
      <c r="A1053" s="123">
        <v>46073</v>
      </c>
      <c r="B1053" s="94"/>
      <c r="C1053" s="125" t="s">
        <v>666</v>
      </c>
      <c r="D1053" s="15" t="s">
        <v>144</v>
      </c>
      <c r="E1053" s="17">
        <v>9</v>
      </c>
      <c r="F1053" s="17">
        <v>1000</v>
      </c>
      <c r="G1053" s="124">
        <v>18</v>
      </c>
      <c r="H1053" s="14"/>
      <c r="I1053" s="15" t="s">
        <v>672</v>
      </c>
    </row>
    <row r="1054" spans="1:9" ht="15" customHeight="1">
      <c r="A1054" s="123">
        <v>46073</v>
      </c>
      <c r="B1054" s="94"/>
      <c r="C1054" s="125" t="s">
        <v>666</v>
      </c>
      <c r="D1054" s="15" t="s">
        <v>147</v>
      </c>
      <c r="E1054" s="17">
        <v>1</v>
      </c>
      <c r="F1054" s="17">
        <v>50</v>
      </c>
      <c r="G1054" s="124">
        <v>1</v>
      </c>
      <c r="H1054" s="14"/>
      <c r="I1054" s="15" t="s">
        <v>687</v>
      </c>
    </row>
    <row r="1055" spans="1:9" ht="15" customHeight="1">
      <c r="A1055" s="123">
        <v>46073</v>
      </c>
      <c r="B1055" s="94"/>
      <c r="C1055" s="125" t="s">
        <v>666</v>
      </c>
      <c r="D1055" s="15" t="s">
        <v>155</v>
      </c>
      <c r="E1055" s="17">
        <v>18</v>
      </c>
      <c r="F1055" s="17">
        <v>80</v>
      </c>
      <c r="G1055" s="124">
        <v>28.8</v>
      </c>
      <c r="H1055" s="14"/>
      <c r="I1055" s="94" t="s">
        <v>673</v>
      </c>
    </row>
    <row r="1056" spans="1:9" ht="15" customHeight="1">
      <c r="A1056" s="123">
        <v>46073</v>
      </c>
      <c r="B1056" s="94"/>
      <c r="C1056" s="125" t="s">
        <v>666</v>
      </c>
      <c r="D1056" s="15" t="s">
        <v>161</v>
      </c>
      <c r="E1056" s="17">
        <v>2</v>
      </c>
      <c r="F1056" s="17">
        <v>1000</v>
      </c>
      <c r="G1056" s="124">
        <v>2</v>
      </c>
      <c r="H1056" s="14"/>
      <c r="I1056" s="15" t="s">
        <v>694</v>
      </c>
    </row>
    <row r="1057" spans="1:9" ht="15" customHeight="1">
      <c r="A1057" s="123">
        <v>46073</v>
      </c>
      <c r="B1057" s="94"/>
      <c r="C1057" s="125" t="s">
        <v>666</v>
      </c>
      <c r="D1057" s="15" t="s">
        <v>173</v>
      </c>
      <c r="E1057" s="17">
        <v>2</v>
      </c>
      <c r="F1057" s="17">
        <v>50</v>
      </c>
      <c r="G1057" s="124">
        <v>1</v>
      </c>
      <c r="H1057" s="14"/>
      <c r="I1057" s="15" t="s">
        <v>715</v>
      </c>
    </row>
    <row r="1058" spans="1:9" ht="15" customHeight="1">
      <c r="A1058" s="123">
        <v>46073</v>
      </c>
      <c r="B1058" s="94"/>
      <c r="C1058" s="125" t="s">
        <v>666</v>
      </c>
      <c r="D1058" s="15" t="s">
        <v>174</v>
      </c>
      <c r="E1058" s="17">
        <v>16</v>
      </c>
      <c r="F1058" s="17">
        <v>1000</v>
      </c>
      <c r="G1058" s="124">
        <v>16</v>
      </c>
      <c r="H1058" s="14"/>
      <c r="I1058" s="15" t="s">
        <v>674</v>
      </c>
    </row>
    <row r="1059" spans="1:9" ht="15" customHeight="1">
      <c r="A1059" s="123">
        <v>46073</v>
      </c>
      <c r="B1059" s="94"/>
      <c r="C1059" s="125" t="s">
        <v>666</v>
      </c>
      <c r="D1059" s="15" t="s">
        <v>183</v>
      </c>
      <c r="E1059" s="17">
        <v>1</v>
      </c>
      <c r="F1059" s="17">
        <v>60</v>
      </c>
      <c r="G1059" s="124">
        <v>0.6</v>
      </c>
      <c r="H1059" s="14"/>
      <c r="I1059" s="94" t="s">
        <v>709</v>
      </c>
    </row>
    <row r="1060" spans="1:9" ht="15" customHeight="1">
      <c r="A1060" s="123">
        <v>46073</v>
      </c>
      <c r="B1060" s="94"/>
      <c r="C1060" s="125" t="s">
        <v>666</v>
      </c>
      <c r="D1060" s="15" t="s">
        <v>183</v>
      </c>
      <c r="E1060" s="17">
        <v>2</v>
      </c>
      <c r="F1060" s="17">
        <v>60</v>
      </c>
      <c r="G1060" s="124">
        <v>3.6</v>
      </c>
      <c r="H1060" s="14"/>
      <c r="I1060" s="15" t="s">
        <v>676</v>
      </c>
    </row>
    <row r="1061" spans="1:9" ht="15" customHeight="1">
      <c r="A1061" s="123">
        <v>46073</v>
      </c>
      <c r="B1061" s="94"/>
      <c r="C1061" s="125" t="s">
        <v>666</v>
      </c>
      <c r="D1061" s="15" t="s">
        <v>184</v>
      </c>
      <c r="E1061" s="17">
        <v>4</v>
      </c>
      <c r="F1061" s="17">
        <v>50</v>
      </c>
      <c r="G1061" s="124">
        <v>4</v>
      </c>
      <c r="H1061" s="14"/>
      <c r="I1061" s="15" t="s">
        <v>677</v>
      </c>
    </row>
    <row r="1062" spans="1:9" ht="15" customHeight="1">
      <c r="A1062" s="123">
        <v>46073</v>
      </c>
      <c r="B1062" s="94"/>
      <c r="C1062" s="125" t="s">
        <v>666</v>
      </c>
      <c r="D1062" s="15" t="s">
        <v>222</v>
      </c>
      <c r="E1062" s="17">
        <v>1</v>
      </c>
      <c r="F1062" s="17">
        <v>40</v>
      </c>
      <c r="G1062" s="124">
        <v>0.2</v>
      </c>
      <c r="H1062" s="14"/>
      <c r="I1062" s="94" t="s">
        <v>709</v>
      </c>
    </row>
    <row r="1063" spans="1:9" ht="15" customHeight="1">
      <c r="A1063" s="123">
        <v>46073</v>
      </c>
      <c r="B1063" s="94"/>
      <c r="C1063" s="125" t="s">
        <v>666</v>
      </c>
      <c r="D1063" s="15" t="s">
        <v>222</v>
      </c>
      <c r="E1063" s="17">
        <v>3</v>
      </c>
      <c r="F1063" s="17">
        <v>40</v>
      </c>
      <c r="G1063" s="124">
        <v>2.4</v>
      </c>
      <c r="H1063" s="14"/>
      <c r="I1063" s="15" t="s">
        <v>679</v>
      </c>
    </row>
    <row r="1064" spans="1:9" ht="15" customHeight="1">
      <c r="A1064" s="123">
        <v>46073</v>
      </c>
      <c r="B1064" s="94"/>
      <c r="C1064" s="125" t="s">
        <v>666</v>
      </c>
      <c r="D1064" s="15" t="s">
        <v>221</v>
      </c>
      <c r="E1064" s="17">
        <v>1</v>
      </c>
      <c r="F1064" s="17">
        <v>40</v>
      </c>
      <c r="G1064" s="124">
        <v>0.2</v>
      </c>
      <c r="H1064" s="14"/>
      <c r="I1064" s="94" t="s">
        <v>709</v>
      </c>
    </row>
    <row r="1065" spans="1:9" ht="15" customHeight="1">
      <c r="A1065" s="123">
        <v>46073</v>
      </c>
      <c r="B1065" s="94"/>
      <c r="C1065" s="125" t="s">
        <v>666</v>
      </c>
      <c r="D1065" s="15" t="s">
        <v>221</v>
      </c>
      <c r="E1065" s="17">
        <v>2</v>
      </c>
      <c r="F1065" s="17">
        <v>40</v>
      </c>
      <c r="G1065" s="124">
        <v>1.6</v>
      </c>
      <c r="H1065" s="14"/>
      <c r="I1065" s="15" t="s">
        <v>680</v>
      </c>
    </row>
    <row r="1066" spans="1:9" ht="15" customHeight="1">
      <c r="A1066" s="123">
        <v>46073</v>
      </c>
      <c r="B1066" s="94"/>
      <c r="C1066" s="125" t="s">
        <v>666</v>
      </c>
      <c r="D1066" s="15" t="s">
        <v>204</v>
      </c>
      <c r="E1066" s="17">
        <v>1</v>
      </c>
      <c r="F1066" s="17">
        <v>60</v>
      </c>
      <c r="G1066" s="124">
        <v>0.3</v>
      </c>
      <c r="H1066" s="14"/>
      <c r="I1066" s="94" t="s">
        <v>709</v>
      </c>
    </row>
    <row r="1067" spans="1:9" ht="15" customHeight="1">
      <c r="A1067" s="123">
        <v>46073</v>
      </c>
      <c r="B1067" s="94"/>
      <c r="C1067" s="125" t="s">
        <v>666</v>
      </c>
      <c r="D1067" s="15" t="s">
        <v>204</v>
      </c>
      <c r="E1067" s="17">
        <v>12</v>
      </c>
      <c r="F1067" s="17">
        <v>60</v>
      </c>
      <c r="G1067" s="124">
        <v>21.6</v>
      </c>
      <c r="H1067" s="14"/>
      <c r="I1067" s="15" t="s">
        <v>681</v>
      </c>
    </row>
    <row r="1068" spans="1:9" ht="15" customHeight="1">
      <c r="A1068" s="123">
        <v>46073</v>
      </c>
      <c r="B1068" s="94"/>
      <c r="C1068" s="125" t="s">
        <v>666</v>
      </c>
      <c r="D1068" s="15" t="s">
        <v>205</v>
      </c>
      <c r="E1068" s="17">
        <v>1</v>
      </c>
      <c r="F1068" s="17">
        <v>60</v>
      </c>
      <c r="G1068" s="124">
        <v>0.3</v>
      </c>
      <c r="H1068" s="14"/>
      <c r="I1068" s="94" t="s">
        <v>709</v>
      </c>
    </row>
    <row r="1069" spans="1:9" ht="15" customHeight="1">
      <c r="A1069" s="123">
        <v>46073</v>
      </c>
      <c r="B1069" s="94"/>
      <c r="C1069" s="125" t="s">
        <v>666</v>
      </c>
      <c r="D1069" s="15" t="s">
        <v>205</v>
      </c>
      <c r="E1069" s="17">
        <v>9</v>
      </c>
      <c r="F1069" s="17">
        <v>60</v>
      </c>
      <c r="G1069" s="124">
        <v>16.2</v>
      </c>
      <c r="H1069" s="14"/>
      <c r="I1069" s="15" t="s">
        <v>682</v>
      </c>
    </row>
    <row r="1070" spans="1:9" ht="15" customHeight="1">
      <c r="A1070" s="123">
        <v>46073</v>
      </c>
      <c r="B1070" s="94"/>
      <c r="C1070" s="125" t="s">
        <v>666</v>
      </c>
      <c r="D1070" s="15" t="s">
        <v>207</v>
      </c>
      <c r="E1070" s="17">
        <v>5</v>
      </c>
      <c r="F1070" s="17">
        <v>1000</v>
      </c>
      <c r="G1070" s="124">
        <v>5</v>
      </c>
      <c r="H1070" s="14"/>
      <c r="I1070" s="15" t="s">
        <v>691</v>
      </c>
    </row>
    <row r="1071" spans="1:9" ht="15" customHeight="1">
      <c r="A1071" s="123">
        <v>46073</v>
      </c>
      <c r="B1071" s="94"/>
      <c r="C1071" s="125" t="s">
        <v>666</v>
      </c>
      <c r="D1071" s="15" t="s">
        <v>207</v>
      </c>
      <c r="E1071" s="17">
        <v>1</v>
      </c>
      <c r="F1071" s="17">
        <v>1000</v>
      </c>
      <c r="G1071" s="124">
        <v>2</v>
      </c>
      <c r="H1071" s="14"/>
      <c r="I1071" s="15" t="s">
        <v>697</v>
      </c>
    </row>
    <row r="1072" spans="1:9" ht="15" customHeight="1">
      <c r="A1072" s="123">
        <v>46066</v>
      </c>
      <c r="B1072" s="15" t="s">
        <v>656</v>
      </c>
      <c r="C1072" s="14" t="s">
        <v>657</v>
      </c>
      <c r="D1072" s="15" t="s">
        <v>155</v>
      </c>
      <c r="E1072" s="17">
        <v>1176</v>
      </c>
      <c r="F1072" s="17">
        <v>80</v>
      </c>
      <c r="G1072" s="124">
        <v>94.08</v>
      </c>
      <c r="H1072" s="14"/>
      <c r="I1072" s="15" t="s">
        <v>759</v>
      </c>
    </row>
    <row r="1073" spans="1:9" ht="15" customHeight="1">
      <c r="A1073" s="123">
        <v>46066</v>
      </c>
      <c r="B1073" s="15" t="s">
        <v>656</v>
      </c>
      <c r="C1073" s="14" t="s">
        <v>657</v>
      </c>
      <c r="D1073" s="15" t="s">
        <v>158</v>
      </c>
      <c r="E1073" s="17">
        <v>196</v>
      </c>
      <c r="F1073" s="17">
        <v>80</v>
      </c>
      <c r="G1073" s="124">
        <v>15.68</v>
      </c>
      <c r="H1073" s="14"/>
      <c r="I1073" s="15" t="s">
        <v>760</v>
      </c>
    </row>
    <row r="1074" spans="1:9" ht="15" customHeight="1">
      <c r="A1074" s="123">
        <v>46066</v>
      </c>
      <c r="B1074" s="15" t="s">
        <v>656</v>
      </c>
      <c r="C1074" s="14" t="s">
        <v>657</v>
      </c>
      <c r="D1074" s="15" t="s">
        <v>156</v>
      </c>
      <c r="E1074" s="17">
        <v>196</v>
      </c>
      <c r="F1074" s="17">
        <v>80</v>
      </c>
      <c r="G1074" s="124">
        <v>15.68</v>
      </c>
      <c r="H1074" s="14"/>
      <c r="I1074" s="15" t="s">
        <v>760</v>
      </c>
    </row>
    <row r="1075" spans="1:9" ht="15" customHeight="1">
      <c r="A1075" s="123">
        <v>46066</v>
      </c>
      <c r="B1075" s="15" t="s">
        <v>656</v>
      </c>
      <c r="C1075" s="14" t="s">
        <v>657</v>
      </c>
      <c r="D1075" s="15" t="s">
        <v>157</v>
      </c>
      <c r="E1075" s="17">
        <v>196</v>
      </c>
      <c r="F1075" s="17">
        <v>80</v>
      </c>
      <c r="G1075" s="124">
        <v>15.68</v>
      </c>
      <c r="H1075" s="14"/>
      <c r="I1075" s="15" t="s">
        <v>760</v>
      </c>
    </row>
    <row r="1076" spans="1:9" ht="15" customHeight="1">
      <c r="A1076" s="123">
        <v>46051</v>
      </c>
      <c r="B1076" s="15" t="s">
        <v>761</v>
      </c>
      <c r="C1076" s="14" t="s">
        <v>657</v>
      </c>
      <c r="D1076" s="15" t="s">
        <v>206</v>
      </c>
      <c r="E1076" s="17">
        <v>51</v>
      </c>
      <c r="F1076" s="17">
        <v>1000</v>
      </c>
      <c r="G1076" s="124">
        <v>51</v>
      </c>
      <c r="H1076" s="14"/>
      <c r="I1076" s="15" t="s">
        <v>762</v>
      </c>
    </row>
    <row r="1077" spans="1:9" ht="15" customHeight="1">
      <c r="A1077" s="123">
        <v>46051</v>
      </c>
      <c r="B1077" s="15" t="s">
        <v>761</v>
      </c>
      <c r="C1077" s="14" t="s">
        <v>657</v>
      </c>
      <c r="D1077" s="15" t="s">
        <v>179</v>
      </c>
      <c r="E1077" s="17">
        <v>39</v>
      </c>
      <c r="F1077" s="17">
        <v>1000</v>
      </c>
      <c r="G1077" s="124">
        <v>39</v>
      </c>
      <c r="H1077" s="14"/>
      <c r="I1077" s="15" t="s">
        <v>763</v>
      </c>
    </row>
    <row r="1078" spans="1:9" ht="15" customHeight="1">
      <c r="A1078" s="123">
        <v>46052</v>
      </c>
      <c r="B1078" s="15" t="s">
        <v>761</v>
      </c>
      <c r="C1078" s="14" t="s">
        <v>657</v>
      </c>
      <c r="D1078" s="15" t="s">
        <v>152</v>
      </c>
      <c r="E1078" s="17">
        <v>200</v>
      </c>
      <c r="F1078" s="17">
        <v>60</v>
      </c>
      <c r="G1078" s="124">
        <v>12</v>
      </c>
      <c r="H1078" s="14"/>
      <c r="I1078" s="15" t="s">
        <v>764</v>
      </c>
    </row>
    <row r="1079" spans="1:9" ht="15" customHeight="1">
      <c r="A1079" s="123">
        <v>46052</v>
      </c>
      <c r="B1079" s="15" t="s">
        <v>761</v>
      </c>
      <c r="C1079" s="14" t="s">
        <v>657</v>
      </c>
      <c r="D1079" s="15" t="s">
        <v>155</v>
      </c>
      <c r="E1079" s="17">
        <v>40</v>
      </c>
      <c r="F1079" s="17">
        <v>60</v>
      </c>
      <c r="G1079" s="124">
        <v>2.4</v>
      </c>
      <c r="H1079" s="14"/>
      <c r="I1079" s="15" t="s">
        <v>765</v>
      </c>
    </row>
    <row r="1080" spans="1:9" ht="15" customHeight="1">
      <c r="A1080" s="123">
        <v>46060</v>
      </c>
      <c r="B1080" s="15" t="s">
        <v>761</v>
      </c>
      <c r="C1080" s="14" t="s">
        <v>657</v>
      </c>
      <c r="D1080" s="15" t="s">
        <v>206</v>
      </c>
      <c r="E1080" s="17">
        <v>15</v>
      </c>
      <c r="F1080" s="17">
        <v>1000</v>
      </c>
      <c r="G1080" s="124">
        <v>15</v>
      </c>
      <c r="H1080" s="14"/>
      <c r="I1080" s="15" t="s">
        <v>766</v>
      </c>
    </row>
    <row r="1081" spans="1:9" ht="15" customHeight="1">
      <c r="A1081" s="123">
        <v>46060</v>
      </c>
      <c r="B1081" s="15" t="s">
        <v>761</v>
      </c>
      <c r="C1081" s="14" t="s">
        <v>657</v>
      </c>
      <c r="D1081" s="15" t="s">
        <v>179</v>
      </c>
      <c r="E1081" s="17">
        <v>30</v>
      </c>
      <c r="F1081" s="17">
        <v>1000</v>
      </c>
      <c r="G1081" s="124">
        <v>30</v>
      </c>
      <c r="H1081" s="14"/>
      <c r="I1081" s="15" t="s">
        <v>767</v>
      </c>
    </row>
    <row r="1082" spans="1:9" ht="15" customHeight="1">
      <c r="A1082" s="123">
        <v>46060</v>
      </c>
      <c r="B1082" s="15" t="s">
        <v>761</v>
      </c>
      <c r="C1082" s="14" t="s">
        <v>657</v>
      </c>
      <c r="D1082" s="15" t="s">
        <v>155</v>
      </c>
      <c r="E1082" s="17">
        <v>160</v>
      </c>
      <c r="F1082" s="17">
        <v>80</v>
      </c>
      <c r="G1082" s="124">
        <v>12.8</v>
      </c>
      <c r="H1082" s="14"/>
      <c r="I1082" s="15" t="s">
        <v>768</v>
      </c>
    </row>
    <row r="1083" spans="1:9" ht="15" customHeight="1">
      <c r="A1083" s="123">
        <v>46062</v>
      </c>
      <c r="B1083" s="15" t="s">
        <v>761</v>
      </c>
      <c r="C1083" s="14" t="s">
        <v>657</v>
      </c>
      <c r="D1083" s="15" t="s">
        <v>151</v>
      </c>
      <c r="E1083" s="17">
        <v>175</v>
      </c>
      <c r="F1083" s="17">
        <v>60</v>
      </c>
      <c r="G1083" s="124">
        <v>10.5</v>
      </c>
      <c r="H1083" s="14"/>
      <c r="I1083" s="15" t="s">
        <v>769</v>
      </c>
    </row>
    <row r="1084" spans="1:9" ht="15" customHeight="1">
      <c r="A1084" s="123">
        <v>46062</v>
      </c>
      <c r="B1084" s="15" t="s">
        <v>761</v>
      </c>
      <c r="C1084" s="14" t="s">
        <v>657</v>
      </c>
      <c r="D1084" s="15" t="s">
        <v>152</v>
      </c>
      <c r="E1084" s="17">
        <v>500</v>
      </c>
      <c r="F1084" s="17">
        <v>60</v>
      </c>
      <c r="G1084" s="124">
        <v>30</v>
      </c>
      <c r="H1084" s="14"/>
      <c r="I1084" s="15" t="s">
        <v>770</v>
      </c>
    </row>
    <row r="1085" spans="1:9" ht="15" customHeight="1">
      <c r="A1085" s="123">
        <v>46062</v>
      </c>
      <c r="B1085" s="15" t="s">
        <v>761</v>
      </c>
      <c r="C1085" s="14" t="s">
        <v>657</v>
      </c>
      <c r="D1085" s="15" t="s">
        <v>150</v>
      </c>
      <c r="E1085" s="17">
        <v>75</v>
      </c>
      <c r="F1085" s="17">
        <v>60</v>
      </c>
      <c r="G1085" s="124">
        <v>4.5</v>
      </c>
      <c r="H1085" s="14"/>
      <c r="I1085" s="15" t="s">
        <v>771</v>
      </c>
    </row>
    <row r="1086" spans="1:9" ht="15" customHeight="1">
      <c r="A1086" s="123">
        <v>46062</v>
      </c>
      <c r="B1086" s="15" t="s">
        <v>761</v>
      </c>
      <c r="C1086" s="14" t="s">
        <v>657</v>
      </c>
      <c r="D1086" s="15" t="s">
        <v>154</v>
      </c>
      <c r="E1086" s="17">
        <v>50</v>
      </c>
      <c r="F1086" s="17">
        <v>60</v>
      </c>
      <c r="G1086" s="124">
        <v>3</v>
      </c>
      <c r="H1086" s="14"/>
      <c r="I1086" s="15" t="s">
        <v>772</v>
      </c>
    </row>
    <row r="1087" spans="1:9" ht="15" customHeight="1">
      <c r="A1087" s="123">
        <v>46062</v>
      </c>
      <c r="B1087" s="15" t="s">
        <v>761</v>
      </c>
      <c r="C1087" s="14" t="s">
        <v>657</v>
      </c>
      <c r="D1087" s="15" t="s">
        <v>149</v>
      </c>
      <c r="E1087" s="17">
        <v>50</v>
      </c>
      <c r="F1087" s="17">
        <v>60</v>
      </c>
      <c r="G1087" s="124">
        <v>3</v>
      </c>
      <c r="H1087" s="14"/>
      <c r="I1087" s="15" t="s">
        <v>773</v>
      </c>
    </row>
    <row r="1088" spans="1:9" ht="15" customHeight="1">
      <c r="A1088" s="123">
        <v>46062</v>
      </c>
      <c r="B1088" s="15" t="s">
        <v>761</v>
      </c>
      <c r="C1088" s="14" t="s">
        <v>657</v>
      </c>
      <c r="D1088" s="15" t="s">
        <v>153</v>
      </c>
      <c r="E1088" s="17">
        <v>50</v>
      </c>
      <c r="F1088" s="17">
        <v>60</v>
      </c>
      <c r="G1088" s="124">
        <v>3</v>
      </c>
      <c r="H1088" s="14"/>
      <c r="I1088" s="15" t="s">
        <v>774</v>
      </c>
    </row>
    <row r="1089" spans="1:9" ht="15" customHeight="1">
      <c r="A1089" s="123">
        <v>46062</v>
      </c>
      <c r="B1089" s="15" t="s">
        <v>761</v>
      </c>
      <c r="C1089" s="14" t="s">
        <v>657</v>
      </c>
      <c r="D1089" s="15" t="s">
        <v>221</v>
      </c>
      <c r="E1089" s="17">
        <v>100</v>
      </c>
      <c r="F1089" s="17">
        <v>40</v>
      </c>
      <c r="G1089" s="124">
        <v>4</v>
      </c>
      <c r="H1089" s="14"/>
      <c r="I1089" s="15" t="s">
        <v>775</v>
      </c>
    </row>
    <row r="1090" spans="1:9" ht="15" customHeight="1">
      <c r="A1090" s="123">
        <v>46062</v>
      </c>
      <c r="B1090" s="15" t="s">
        <v>761</v>
      </c>
      <c r="C1090" s="14" t="s">
        <v>657</v>
      </c>
      <c r="D1090" s="15" t="s">
        <v>206</v>
      </c>
      <c r="E1090" s="17">
        <v>15</v>
      </c>
      <c r="F1090" s="17">
        <v>1000</v>
      </c>
      <c r="G1090" s="124">
        <v>15</v>
      </c>
      <c r="H1090" s="14"/>
      <c r="I1090" s="15" t="s">
        <v>766</v>
      </c>
    </row>
    <row r="1091" spans="1:9" ht="15" customHeight="1">
      <c r="A1091" s="123">
        <v>46063</v>
      </c>
      <c r="B1091" s="15" t="s">
        <v>761</v>
      </c>
      <c r="C1091" s="14" t="s">
        <v>657</v>
      </c>
      <c r="D1091" s="15" t="s">
        <v>155</v>
      </c>
      <c r="E1091" s="17">
        <v>100</v>
      </c>
      <c r="F1091" s="17">
        <v>80</v>
      </c>
      <c r="G1091" s="124">
        <v>8</v>
      </c>
      <c r="H1091" s="14"/>
      <c r="I1091" s="94" t="s">
        <v>776</v>
      </c>
    </row>
    <row r="1092" spans="1:9" ht="15" customHeight="1">
      <c r="A1092" s="123">
        <v>46063</v>
      </c>
      <c r="B1092" s="15" t="s">
        <v>761</v>
      </c>
      <c r="C1092" s="14" t="s">
        <v>657</v>
      </c>
      <c r="D1092" s="15" t="s">
        <v>153</v>
      </c>
      <c r="E1092" s="17">
        <v>200</v>
      </c>
      <c r="F1092" s="17">
        <v>60</v>
      </c>
      <c r="G1092" s="124">
        <v>12</v>
      </c>
      <c r="H1092" s="14"/>
      <c r="I1092" s="15" t="s">
        <v>774</v>
      </c>
    </row>
    <row r="1093" spans="1:9" ht="15" customHeight="1">
      <c r="A1093" s="123">
        <v>46063</v>
      </c>
      <c r="B1093" s="15" t="s">
        <v>761</v>
      </c>
      <c r="C1093" s="14" t="s">
        <v>657</v>
      </c>
      <c r="D1093" s="15" t="s">
        <v>154</v>
      </c>
      <c r="E1093" s="17">
        <v>150</v>
      </c>
      <c r="F1093" s="17">
        <v>60</v>
      </c>
      <c r="G1093" s="124">
        <v>9</v>
      </c>
      <c r="H1093" s="14"/>
      <c r="I1093" s="15" t="s">
        <v>772</v>
      </c>
    </row>
    <row r="1094" spans="1:9" ht="15" customHeight="1">
      <c r="A1094" s="123">
        <v>46063</v>
      </c>
      <c r="B1094" s="15" t="s">
        <v>761</v>
      </c>
      <c r="C1094" s="14" t="s">
        <v>657</v>
      </c>
      <c r="D1094" s="15" t="s">
        <v>149</v>
      </c>
      <c r="E1094" s="17">
        <v>150</v>
      </c>
      <c r="F1094" s="17">
        <v>60</v>
      </c>
      <c r="G1094" s="124">
        <v>9</v>
      </c>
      <c r="H1094" s="14"/>
      <c r="I1094" s="15" t="s">
        <v>773</v>
      </c>
    </row>
    <row r="1095" spans="1:9" ht="15" customHeight="1">
      <c r="A1095" s="123">
        <v>46063</v>
      </c>
      <c r="B1095" s="15" t="s">
        <v>761</v>
      </c>
      <c r="C1095" s="14" t="s">
        <v>657</v>
      </c>
      <c r="D1095" s="15" t="s">
        <v>150</v>
      </c>
      <c r="E1095" s="17">
        <v>125</v>
      </c>
      <c r="F1095" s="17">
        <v>60</v>
      </c>
      <c r="G1095" s="124">
        <v>7.5</v>
      </c>
      <c r="H1095" s="14"/>
      <c r="I1095" s="15" t="s">
        <v>771</v>
      </c>
    </row>
    <row r="1096" spans="1:9" ht="15" customHeight="1">
      <c r="A1096" s="123">
        <v>46063</v>
      </c>
      <c r="B1096" s="15" t="s">
        <v>761</v>
      </c>
      <c r="C1096" s="14" t="s">
        <v>657</v>
      </c>
      <c r="D1096" s="15" t="s">
        <v>151</v>
      </c>
      <c r="E1096" s="17">
        <v>75</v>
      </c>
      <c r="F1096" s="17">
        <v>60</v>
      </c>
      <c r="G1096" s="124">
        <v>4.5</v>
      </c>
      <c r="H1096" s="14"/>
      <c r="I1096" s="15" t="s">
        <v>769</v>
      </c>
    </row>
    <row r="1097" spans="1:9" ht="15" customHeight="1">
      <c r="A1097" s="123">
        <v>46065</v>
      </c>
      <c r="B1097" s="15" t="s">
        <v>761</v>
      </c>
      <c r="C1097" s="14" t="s">
        <v>657</v>
      </c>
      <c r="D1097" s="15" t="s">
        <v>204</v>
      </c>
      <c r="E1097" s="17">
        <v>150</v>
      </c>
      <c r="F1097" s="17">
        <v>60</v>
      </c>
      <c r="G1097" s="124">
        <v>9</v>
      </c>
      <c r="H1097" s="14"/>
      <c r="I1097" s="15" t="s">
        <v>777</v>
      </c>
    </row>
    <row r="1098" spans="1:9" ht="15" customHeight="1">
      <c r="A1098" s="123">
        <v>46065</v>
      </c>
      <c r="B1098" s="15" t="s">
        <v>761</v>
      </c>
      <c r="C1098" s="14" t="s">
        <v>657</v>
      </c>
      <c r="D1098" s="15" t="s">
        <v>206</v>
      </c>
      <c r="E1098" s="17">
        <v>63</v>
      </c>
      <c r="F1098" s="17">
        <v>1000</v>
      </c>
      <c r="G1098" s="124">
        <v>63</v>
      </c>
      <c r="H1098" s="14"/>
      <c r="I1098" s="15" t="s">
        <v>766</v>
      </c>
    </row>
    <row r="1099" spans="1:9" ht="15" customHeight="1">
      <c r="A1099" s="123">
        <v>46065</v>
      </c>
      <c r="B1099" s="15" t="s">
        <v>761</v>
      </c>
      <c r="C1099" s="14" t="s">
        <v>657</v>
      </c>
      <c r="D1099" s="15" t="s">
        <v>179</v>
      </c>
      <c r="E1099" s="17">
        <v>30</v>
      </c>
      <c r="F1099" s="17">
        <v>1000</v>
      </c>
      <c r="G1099" s="124">
        <v>30</v>
      </c>
      <c r="H1099" s="14"/>
      <c r="I1099" s="15" t="s">
        <v>778</v>
      </c>
    </row>
    <row r="1100" spans="1:9" ht="15" customHeight="1">
      <c r="A1100" s="123">
        <v>46065</v>
      </c>
      <c r="B1100" s="15" t="s">
        <v>761</v>
      </c>
      <c r="C1100" s="14" t="s">
        <v>657</v>
      </c>
      <c r="D1100" s="15" t="s">
        <v>149</v>
      </c>
      <c r="E1100" s="17">
        <v>250</v>
      </c>
      <c r="F1100" s="17">
        <v>60</v>
      </c>
      <c r="G1100" s="124">
        <v>15</v>
      </c>
      <c r="H1100" s="14"/>
      <c r="I1100" s="15" t="s">
        <v>773</v>
      </c>
    </row>
    <row r="1101" spans="1:9" ht="15" customHeight="1">
      <c r="A1101" s="123">
        <v>46065</v>
      </c>
      <c r="B1101" s="15" t="s">
        <v>761</v>
      </c>
      <c r="C1101" s="14" t="s">
        <v>657</v>
      </c>
      <c r="D1101" s="15" t="s">
        <v>154</v>
      </c>
      <c r="E1101" s="17">
        <v>250</v>
      </c>
      <c r="F1101" s="17">
        <v>60</v>
      </c>
      <c r="G1101" s="124">
        <v>15</v>
      </c>
      <c r="H1101" s="14"/>
      <c r="I1101" s="15" t="s">
        <v>772</v>
      </c>
    </row>
    <row r="1102" spans="1:9" ht="15" customHeight="1">
      <c r="A1102" s="123">
        <v>46065</v>
      </c>
      <c r="B1102" s="15" t="s">
        <v>761</v>
      </c>
      <c r="C1102" s="14" t="s">
        <v>657</v>
      </c>
      <c r="D1102" s="15" t="s">
        <v>153</v>
      </c>
      <c r="E1102" s="17">
        <v>150</v>
      </c>
      <c r="F1102" s="17">
        <v>60</v>
      </c>
      <c r="G1102" s="124">
        <v>9</v>
      </c>
      <c r="H1102" s="14"/>
      <c r="I1102" s="15" t="s">
        <v>774</v>
      </c>
    </row>
    <row r="1103" spans="1:9" ht="15" customHeight="1">
      <c r="A1103" s="123">
        <v>46065</v>
      </c>
      <c r="B1103" s="15" t="s">
        <v>761</v>
      </c>
      <c r="C1103" s="14" t="s">
        <v>657</v>
      </c>
      <c r="D1103" s="15" t="s">
        <v>150</v>
      </c>
      <c r="E1103" s="17">
        <v>150</v>
      </c>
      <c r="F1103" s="17">
        <v>60</v>
      </c>
      <c r="G1103" s="124">
        <v>9</v>
      </c>
      <c r="H1103" s="14"/>
      <c r="I1103" s="15" t="s">
        <v>771</v>
      </c>
    </row>
    <row r="1104" spans="1:9" ht="15" customHeight="1">
      <c r="A1104" s="123">
        <v>46065</v>
      </c>
      <c r="B1104" s="15" t="s">
        <v>761</v>
      </c>
      <c r="C1104" s="14" t="s">
        <v>657</v>
      </c>
      <c r="D1104" s="15" t="s">
        <v>151</v>
      </c>
      <c r="E1104" s="17">
        <v>100</v>
      </c>
      <c r="F1104" s="17">
        <v>60</v>
      </c>
      <c r="G1104" s="124">
        <v>6</v>
      </c>
      <c r="H1104" s="14"/>
      <c r="I1104" s="15" t="s">
        <v>769</v>
      </c>
    </row>
    <row r="1105" spans="1:9" ht="15" customHeight="1">
      <c r="A1105" s="123">
        <v>46065</v>
      </c>
      <c r="B1105" s="15" t="s">
        <v>761</v>
      </c>
      <c r="C1105" s="14" t="s">
        <v>657</v>
      </c>
      <c r="D1105" s="15" t="s">
        <v>152</v>
      </c>
      <c r="E1105" s="17">
        <v>50</v>
      </c>
      <c r="F1105" s="17">
        <v>60</v>
      </c>
      <c r="G1105" s="124">
        <v>3</v>
      </c>
      <c r="H1105" s="14"/>
      <c r="I1105" s="15" t="s">
        <v>770</v>
      </c>
    </row>
    <row r="1106" spans="1:9" ht="15" customHeight="1">
      <c r="A1106" s="123">
        <v>46065</v>
      </c>
      <c r="B1106" s="15" t="s">
        <v>761</v>
      </c>
      <c r="C1106" s="14" t="s">
        <v>657</v>
      </c>
      <c r="D1106" s="15" t="s">
        <v>158</v>
      </c>
      <c r="E1106" s="17">
        <v>160</v>
      </c>
      <c r="F1106" s="17">
        <v>80</v>
      </c>
      <c r="G1106" s="124">
        <v>12.8</v>
      </c>
      <c r="H1106" s="14"/>
      <c r="I1106" s="15" t="s">
        <v>779</v>
      </c>
    </row>
    <row r="1107" spans="1:9" ht="15" customHeight="1">
      <c r="A1107" s="123">
        <v>46065</v>
      </c>
      <c r="B1107" s="15" t="s">
        <v>761</v>
      </c>
      <c r="C1107" s="14" t="s">
        <v>657</v>
      </c>
      <c r="D1107" s="15" t="s">
        <v>157</v>
      </c>
      <c r="E1107" s="17">
        <v>160</v>
      </c>
      <c r="F1107" s="17">
        <v>80</v>
      </c>
      <c r="G1107" s="124">
        <v>12.8</v>
      </c>
      <c r="H1107" s="14"/>
      <c r="I1107" s="15" t="s">
        <v>780</v>
      </c>
    </row>
    <row r="1108" spans="1:9" ht="15" customHeight="1">
      <c r="A1108" s="123">
        <v>46065</v>
      </c>
      <c r="B1108" s="15" t="s">
        <v>761</v>
      </c>
      <c r="C1108" s="14" t="s">
        <v>657</v>
      </c>
      <c r="D1108" s="15" t="s">
        <v>156</v>
      </c>
      <c r="E1108" s="17">
        <v>160</v>
      </c>
      <c r="F1108" s="17">
        <v>80</v>
      </c>
      <c r="G1108" s="124">
        <v>12.8</v>
      </c>
      <c r="H1108" s="14"/>
      <c r="I1108" s="15" t="s">
        <v>781</v>
      </c>
    </row>
    <row r="1109" spans="1:9" ht="15" customHeight="1">
      <c r="A1109" s="127">
        <v>46049</v>
      </c>
      <c r="B1109" s="128" t="s">
        <v>782</v>
      </c>
      <c r="C1109" s="129" t="s">
        <v>666</v>
      </c>
      <c r="D1109" s="128" t="s">
        <v>191</v>
      </c>
      <c r="E1109" s="130">
        <v>168</v>
      </c>
      <c r="F1109" s="130">
        <v>9600</v>
      </c>
      <c r="G1109" s="131">
        <v>1612.8</v>
      </c>
      <c r="H1109" s="128"/>
      <c r="I1109" s="128" t="s">
        <v>783</v>
      </c>
    </row>
    <row r="1110" spans="1:9" ht="15" customHeight="1">
      <c r="A1110" s="127">
        <v>46052</v>
      </c>
      <c r="B1110" s="128" t="s">
        <v>782</v>
      </c>
      <c r="C1110" s="129" t="s">
        <v>666</v>
      </c>
      <c r="D1110" s="128" t="s">
        <v>191</v>
      </c>
      <c r="E1110" s="130">
        <v>285</v>
      </c>
      <c r="F1110" s="130">
        <v>9600</v>
      </c>
      <c r="G1110" s="131">
        <v>2736</v>
      </c>
      <c r="H1110" s="128"/>
      <c r="I1110" s="128" t="s">
        <v>784</v>
      </c>
    </row>
    <row r="1111" spans="1:9" ht="15" customHeight="1">
      <c r="A1111" s="127">
        <v>46056</v>
      </c>
      <c r="B1111" s="128" t="s">
        <v>782</v>
      </c>
      <c r="C1111" s="129" t="s">
        <v>666</v>
      </c>
      <c r="D1111" s="128" t="s">
        <v>191</v>
      </c>
      <c r="E1111" s="130">
        <v>268</v>
      </c>
      <c r="F1111" s="130">
        <v>9600</v>
      </c>
      <c r="G1111" s="131">
        <v>2572.8000000000002</v>
      </c>
      <c r="H1111" s="128"/>
      <c r="I1111" s="128" t="s">
        <v>785</v>
      </c>
    </row>
    <row r="1112" spans="1:9" ht="15" customHeight="1">
      <c r="A1112" s="127">
        <v>46059</v>
      </c>
      <c r="B1112" s="128" t="s">
        <v>782</v>
      </c>
      <c r="C1112" s="129" t="s">
        <v>666</v>
      </c>
      <c r="D1112" s="128" t="s">
        <v>191</v>
      </c>
      <c r="E1112" s="130">
        <v>321</v>
      </c>
      <c r="F1112" s="130">
        <v>9600</v>
      </c>
      <c r="G1112" s="131">
        <v>3081.6</v>
      </c>
      <c r="H1112" s="128"/>
      <c r="I1112" s="128" t="s">
        <v>786</v>
      </c>
    </row>
    <row r="1113" spans="1:9" ht="15" customHeight="1">
      <c r="A1113" s="127">
        <v>46065</v>
      </c>
      <c r="B1113" s="128" t="s">
        <v>782</v>
      </c>
      <c r="C1113" s="129" t="s">
        <v>666</v>
      </c>
      <c r="D1113" s="128" t="s">
        <v>191</v>
      </c>
      <c r="E1113" s="130">
        <v>240</v>
      </c>
      <c r="F1113" s="130">
        <v>9600</v>
      </c>
      <c r="G1113" s="131">
        <v>2304</v>
      </c>
      <c r="H1113" s="128"/>
      <c r="I1113" s="128" t="s">
        <v>787</v>
      </c>
    </row>
    <row r="1114" spans="1:9" ht="15" customHeight="1">
      <c r="A1114" s="127">
        <v>46076</v>
      </c>
      <c r="B1114" s="128" t="s">
        <v>782</v>
      </c>
      <c r="C1114" s="129" t="s">
        <v>666</v>
      </c>
      <c r="D1114" s="128" t="s">
        <v>191</v>
      </c>
      <c r="E1114" s="130">
        <v>274</v>
      </c>
      <c r="F1114" s="130">
        <v>9600</v>
      </c>
      <c r="G1114" s="131">
        <v>2630.4</v>
      </c>
      <c r="H1114" s="128"/>
      <c r="I1114" s="128" t="s">
        <v>788</v>
      </c>
    </row>
    <row r="1115" spans="1:9" ht="15" customHeight="1"/>
    <row r="1116" spans="1:9" ht="15" customHeight="1"/>
    <row r="1117" spans="1:9" ht="15" customHeight="1"/>
    <row r="1118" spans="1:9" ht="15" customHeight="1"/>
    <row r="1119" spans="1:9" ht="15" customHeight="1"/>
    <row r="1120" spans="1:9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</sheetData>
  <mergeCells count="2">
    <mergeCell ref="A1:I1"/>
    <mergeCell ref="A2:I2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9"/>
  <sheetViews>
    <sheetView zoomScaleNormal="100" workbookViewId="0"/>
  </sheetViews>
  <sheetFormatPr defaultColWidth="8.5" defaultRowHeight="16.5"/>
  <cols>
    <col min="1" max="1" width="5" customWidth="1"/>
    <col min="2" max="2" width="25" customWidth="1"/>
    <col min="3" max="3" width="12" customWidth="1"/>
    <col min="4" max="4" width="15" customWidth="1"/>
  </cols>
  <sheetData>
    <row r="1" spans="1:4" ht="34.5" customHeight="1">
      <c r="A1" s="182" t="s">
        <v>789</v>
      </c>
      <c r="B1" s="178"/>
      <c r="C1" s="178"/>
      <c r="D1" s="178"/>
    </row>
    <row r="4" spans="1:4" ht="15" customHeight="1">
      <c r="A4" s="126" t="s">
        <v>790</v>
      </c>
    </row>
    <row r="5" spans="1:4" ht="30" customHeight="1">
      <c r="A5" s="5" t="s">
        <v>46</v>
      </c>
      <c r="B5" s="6" t="s">
        <v>648</v>
      </c>
      <c r="C5" s="6" t="s">
        <v>791</v>
      </c>
      <c r="D5" s="6" t="s">
        <v>792</v>
      </c>
    </row>
    <row r="6" spans="1:4" ht="15" customHeight="1">
      <c r="A6" s="132">
        <v>1</v>
      </c>
      <c r="B6" s="133" t="s">
        <v>191</v>
      </c>
      <c r="C6" s="134">
        <v>6</v>
      </c>
      <c r="D6" s="135">
        <v>14937.6</v>
      </c>
    </row>
    <row r="7" spans="1:4" ht="16.5" customHeight="1">
      <c r="A7" s="132">
        <v>2</v>
      </c>
      <c r="B7" s="133" t="s">
        <v>204</v>
      </c>
      <c r="C7" s="134">
        <v>86</v>
      </c>
      <c r="D7" s="135">
        <v>3205.5</v>
      </c>
    </row>
    <row r="8" spans="1:4" ht="15" customHeight="1">
      <c r="A8" s="132">
        <v>3</v>
      </c>
      <c r="B8" s="133" t="s">
        <v>205</v>
      </c>
      <c r="C8" s="134">
        <v>69</v>
      </c>
      <c r="D8" s="135">
        <v>2068.1999999999998</v>
      </c>
    </row>
    <row r="9" spans="1:4" ht="15" customHeight="1">
      <c r="A9" s="132">
        <v>4</v>
      </c>
      <c r="B9" s="133" t="s">
        <v>183</v>
      </c>
      <c r="C9" s="134">
        <v>41</v>
      </c>
      <c r="D9" s="135">
        <v>2059.1999999999998</v>
      </c>
    </row>
    <row r="10" spans="1:4" ht="15" customHeight="1">
      <c r="A10" s="132">
        <v>5</v>
      </c>
      <c r="B10" s="133" t="s">
        <v>155</v>
      </c>
      <c r="C10" s="134">
        <v>58</v>
      </c>
      <c r="D10" s="135">
        <v>921.7</v>
      </c>
    </row>
    <row r="11" spans="1:4" ht="15" customHeight="1">
      <c r="A11" s="132">
        <v>6</v>
      </c>
      <c r="B11" s="133" t="s">
        <v>144</v>
      </c>
      <c r="C11" s="134">
        <v>39</v>
      </c>
      <c r="D11" s="135">
        <v>394</v>
      </c>
    </row>
    <row r="12" spans="1:4" ht="15" customHeight="1">
      <c r="A12" s="132">
        <v>7</v>
      </c>
      <c r="B12" s="133" t="s">
        <v>143</v>
      </c>
      <c r="C12" s="134">
        <v>88</v>
      </c>
      <c r="D12" s="135">
        <v>365.8</v>
      </c>
    </row>
    <row r="13" spans="1:4" ht="16.5" customHeight="1">
      <c r="A13" s="132">
        <v>8</v>
      </c>
      <c r="B13" s="133" t="s">
        <v>174</v>
      </c>
      <c r="C13" s="134">
        <v>38</v>
      </c>
      <c r="D13" s="135">
        <v>316</v>
      </c>
    </row>
    <row r="14" spans="1:4" ht="16.5" customHeight="1">
      <c r="A14" s="132">
        <v>9</v>
      </c>
      <c r="B14" s="133" t="s">
        <v>152</v>
      </c>
      <c r="C14" s="134">
        <v>11</v>
      </c>
      <c r="D14" s="135">
        <v>272.60000000000002</v>
      </c>
    </row>
    <row r="15" spans="1:4" ht="15" customHeight="1">
      <c r="A15" s="132">
        <v>10</v>
      </c>
      <c r="B15" s="133" t="s">
        <v>206</v>
      </c>
      <c r="C15" s="134">
        <v>38</v>
      </c>
      <c r="D15" s="135">
        <v>267.3</v>
      </c>
    </row>
    <row r="16" spans="1:4" ht="16.5" customHeight="1">
      <c r="A16" s="132">
        <v>11</v>
      </c>
      <c r="B16" s="133" t="s">
        <v>150</v>
      </c>
      <c r="C16" s="134">
        <v>12</v>
      </c>
      <c r="D16" s="135">
        <v>255.4</v>
      </c>
    </row>
    <row r="17" spans="1:4" ht="16.5" customHeight="1">
      <c r="A17" s="132">
        <v>12</v>
      </c>
      <c r="B17" s="133" t="s">
        <v>153</v>
      </c>
      <c r="C17" s="134">
        <v>21</v>
      </c>
      <c r="D17" s="135">
        <v>247.3</v>
      </c>
    </row>
    <row r="18" spans="1:4" ht="16.5" customHeight="1">
      <c r="A18" s="132">
        <v>13</v>
      </c>
      <c r="B18" s="133" t="s">
        <v>154</v>
      </c>
      <c r="C18" s="134">
        <v>21</v>
      </c>
      <c r="D18" s="135">
        <v>245.2</v>
      </c>
    </row>
    <row r="19" spans="1:4" ht="16.5" customHeight="1">
      <c r="A19" s="132">
        <v>14</v>
      </c>
      <c r="B19" s="133" t="s">
        <v>149</v>
      </c>
      <c r="C19" s="134">
        <v>21</v>
      </c>
      <c r="D19" s="135">
        <v>241.3</v>
      </c>
    </row>
    <row r="20" spans="1:4" ht="15" customHeight="1">
      <c r="A20" s="132">
        <v>15</v>
      </c>
      <c r="B20" s="133" t="s">
        <v>184</v>
      </c>
      <c r="C20" s="134">
        <v>60</v>
      </c>
      <c r="D20" s="135">
        <v>226.8</v>
      </c>
    </row>
    <row r="21" spans="1:4" ht="15" customHeight="1">
      <c r="A21" s="132">
        <v>16</v>
      </c>
      <c r="B21" s="133" t="s">
        <v>151</v>
      </c>
      <c r="C21" s="134">
        <v>21</v>
      </c>
      <c r="D21" s="135">
        <v>186.3</v>
      </c>
    </row>
    <row r="22" spans="1:4" ht="16.5" customHeight="1">
      <c r="A22" s="132">
        <v>17</v>
      </c>
      <c r="B22" s="133" t="s">
        <v>179</v>
      </c>
      <c r="C22" s="134">
        <v>22</v>
      </c>
      <c r="D22" s="135">
        <v>138.6</v>
      </c>
    </row>
    <row r="23" spans="1:4" ht="15" customHeight="1">
      <c r="A23" s="132">
        <v>18</v>
      </c>
      <c r="B23" s="133" t="s">
        <v>222</v>
      </c>
      <c r="C23" s="134">
        <v>36</v>
      </c>
      <c r="D23" s="135">
        <v>77</v>
      </c>
    </row>
    <row r="24" spans="1:4" ht="15" customHeight="1">
      <c r="A24" s="132">
        <v>19</v>
      </c>
      <c r="B24" s="133" t="s">
        <v>141</v>
      </c>
      <c r="C24" s="134">
        <v>26</v>
      </c>
      <c r="D24" s="135">
        <v>70.8</v>
      </c>
    </row>
    <row r="25" spans="1:4" ht="15" customHeight="1">
      <c r="A25" s="132">
        <v>20</v>
      </c>
      <c r="B25" s="133" t="s">
        <v>181</v>
      </c>
      <c r="C25" s="134">
        <v>19</v>
      </c>
      <c r="D25" s="135">
        <v>61</v>
      </c>
    </row>
    <row r="26" spans="1:4" ht="15" customHeight="1">
      <c r="A26" s="132">
        <v>21</v>
      </c>
      <c r="B26" s="133" t="s">
        <v>147</v>
      </c>
      <c r="C26" s="134">
        <v>41</v>
      </c>
      <c r="D26" s="135">
        <v>52.2</v>
      </c>
    </row>
    <row r="27" spans="1:4" ht="15" customHeight="1">
      <c r="A27" s="132">
        <v>22</v>
      </c>
      <c r="B27" s="133" t="s">
        <v>221</v>
      </c>
      <c r="C27" s="134">
        <v>30</v>
      </c>
      <c r="D27" s="135">
        <v>49.9</v>
      </c>
    </row>
    <row r="28" spans="1:4" ht="15" customHeight="1">
      <c r="A28" s="132">
        <v>23</v>
      </c>
      <c r="B28" s="133" t="s">
        <v>161</v>
      </c>
      <c r="C28" s="134">
        <v>13</v>
      </c>
      <c r="D28" s="135">
        <v>46</v>
      </c>
    </row>
    <row r="29" spans="1:4" ht="15" customHeight="1">
      <c r="A29" s="132">
        <v>24</v>
      </c>
      <c r="B29" s="133" t="s">
        <v>207</v>
      </c>
      <c r="C29" s="134">
        <v>11</v>
      </c>
      <c r="D29" s="135">
        <v>43</v>
      </c>
    </row>
    <row r="30" spans="1:4" ht="15" customHeight="1">
      <c r="A30" s="132">
        <v>25</v>
      </c>
      <c r="B30" s="133" t="s">
        <v>158</v>
      </c>
      <c r="C30" s="134">
        <v>2</v>
      </c>
      <c r="D30" s="135">
        <v>28.5</v>
      </c>
    </row>
    <row r="31" spans="1:4" ht="15" customHeight="1">
      <c r="A31" s="132">
        <v>26</v>
      </c>
      <c r="B31" s="133" t="s">
        <v>156</v>
      </c>
      <c r="C31" s="134">
        <v>2</v>
      </c>
      <c r="D31" s="135">
        <v>28.5</v>
      </c>
    </row>
    <row r="32" spans="1:4" ht="15" customHeight="1">
      <c r="A32" s="132">
        <v>27</v>
      </c>
      <c r="B32" s="133" t="s">
        <v>157</v>
      </c>
      <c r="C32" s="134">
        <v>2</v>
      </c>
      <c r="D32" s="135">
        <v>28.5</v>
      </c>
    </row>
    <row r="33" spans="1:4" ht="15" customHeight="1">
      <c r="A33" s="132">
        <v>28</v>
      </c>
      <c r="B33" s="133" t="s">
        <v>142</v>
      </c>
      <c r="C33" s="134">
        <v>29</v>
      </c>
      <c r="D33" s="135">
        <v>26.2</v>
      </c>
    </row>
    <row r="34" spans="1:4" ht="15" customHeight="1">
      <c r="A34" s="132">
        <v>29</v>
      </c>
      <c r="B34" s="133" t="s">
        <v>220</v>
      </c>
      <c r="C34" s="134">
        <v>28</v>
      </c>
      <c r="D34" s="135">
        <v>22.2</v>
      </c>
    </row>
    <row r="35" spans="1:4" ht="15" customHeight="1">
      <c r="A35" s="132">
        <v>30</v>
      </c>
      <c r="B35" s="133" t="s">
        <v>146</v>
      </c>
      <c r="C35" s="134">
        <v>29</v>
      </c>
      <c r="D35" s="135">
        <v>21.2</v>
      </c>
    </row>
    <row r="36" spans="1:4" ht="15" customHeight="1">
      <c r="A36" s="132">
        <v>31</v>
      </c>
      <c r="B36" s="133" t="s">
        <v>169</v>
      </c>
      <c r="C36" s="134">
        <v>9</v>
      </c>
      <c r="D36" s="135">
        <v>16</v>
      </c>
    </row>
    <row r="37" spans="1:4" ht="15" customHeight="1">
      <c r="A37" s="132">
        <v>32</v>
      </c>
      <c r="B37" s="133" t="s">
        <v>195</v>
      </c>
      <c r="C37" s="134">
        <v>25</v>
      </c>
      <c r="D37" s="135">
        <v>7.5</v>
      </c>
    </row>
    <row r="38" spans="1:4" ht="15" customHeight="1">
      <c r="A38" s="132">
        <v>33</v>
      </c>
      <c r="B38" s="133" t="s">
        <v>145</v>
      </c>
      <c r="C38" s="134">
        <v>23</v>
      </c>
      <c r="D38" s="135">
        <v>7.3</v>
      </c>
    </row>
    <row r="39" spans="1:4" ht="15" customHeight="1">
      <c r="A39" s="132">
        <v>34</v>
      </c>
      <c r="B39" s="133" t="s">
        <v>192</v>
      </c>
      <c r="C39" s="134">
        <v>23</v>
      </c>
      <c r="D39" s="135">
        <v>7.3</v>
      </c>
    </row>
    <row r="40" spans="1:4" ht="15" customHeight="1">
      <c r="A40" s="132">
        <v>35</v>
      </c>
      <c r="B40" s="133" t="s">
        <v>173</v>
      </c>
      <c r="C40" s="134">
        <v>10</v>
      </c>
      <c r="D40" s="135">
        <v>7</v>
      </c>
    </row>
    <row r="41" spans="1:4" ht="15" customHeight="1">
      <c r="A41" s="132">
        <v>36</v>
      </c>
      <c r="B41" s="133" t="s">
        <v>148</v>
      </c>
      <c r="C41" s="134">
        <v>23</v>
      </c>
      <c r="D41" s="135">
        <v>6</v>
      </c>
    </row>
    <row r="42" spans="1:4" ht="15" customHeight="1">
      <c r="A42" s="132">
        <v>37</v>
      </c>
      <c r="B42" s="133" t="s">
        <v>159</v>
      </c>
      <c r="C42" s="134">
        <v>23</v>
      </c>
      <c r="D42" s="135">
        <v>6</v>
      </c>
    </row>
    <row r="43" spans="1:4" ht="15" customHeight="1">
      <c r="A43" s="132">
        <v>38</v>
      </c>
      <c r="B43" s="133" t="s">
        <v>186</v>
      </c>
      <c r="C43" s="134">
        <v>23</v>
      </c>
      <c r="D43" s="135">
        <v>6</v>
      </c>
    </row>
    <row r="44" spans="1:4" ht="15" customHeight="1">
      <c r="A44" s="132">
        <v>39</v>
      </c>
      <c r="B44" s="133" t="s">
        <v>219</v>
      </c>
      <c r="C44" s="134">
        <v>23</v>
      </c>
      <c r="D44" s="135">
        <v>6</v>
      </c>
    </row>
    <row r="45" spans="1:4" ht="15" customHeight="1">
      <c r="A45" s="132">
        <v>40</v>
      </c>
      <c r="B45" s="136" t="s">
        <v>212</v>
      </c>
      <c r="C45" s="137">
        <v>9</v>
      </c>
      <c r="D45" s="138">
        <v>5</v>
      </c>
    </row>
    <row r="46" spans="1:4" ht="15" customHeight="1">
      <c r="A46" s="132"/>
      <c r="B46" s="139" t="s">
        <v>793</v>
      </c>
      <c r="C46" s="140">
        <v>1111</v>
      </c>
      <c r="D46" s="141">
        <v>26977.8</v>
      </c>
    </row>
    <row r="47" spans="1:4" ht="15" customHeight="1">
      <c r="A47" s="142"/>
      <c r="B47" s="143"/>
      <c r="C47" s="144"/>
      <c r="D47" s="145"/>
    </row>
    <row r="48" spans="1:4" ht="15" customHeight="1">
      <c r="A48" s="142"/>
      <c r="B48" s="143"/>
      <c r="C48" s="144"/>
      <c r="D48" s="145"/>
    </row>
    <row r="49" spans="1:4" ht="15" customHeight="1">
      <c r="A49" s="143"/>
      <c r="B49" s="146"/>
      <c r="C49" s="147"/>
      <c r="D49" s="148"/>
    </row>
    <row r="50" spans="1:4" ht="15" customHeight="1">
      <c r="A50" s="149"/>
      <c r="B50" s="149"/>
      <c r="C50" s="149"/>
      <c r="D50" s="149"/>
    </row>
    <row r="51" spans="1:4" ht="15" customHeight="1">
      <c r="A51" s="149"/>
      <c r="B51" s="149"/>
      <c r="C51" s="149"/>
      <c r="D51" s="149"/>
    </row>
    <row r="52" spans="1:4" ht="15" customHeight="1">
      <c r="A52" s="149"/>
      <c r="B52" s="149"/>
      <c r="C52" s="149"/>
      <c r="D52" s="149"/>
    </row>
    <row r="53" spans="1:4" ht="15" customHeight="1">
      <c r="A53" s="149"/>
      <c r="B53" s="149"/>
      <c r="C53" s="149"/>
      <c r="D53" s="149"/>
    </row>
    <row r="54" spans="1:4" ht="15" customHeight="1">
      <c r="A54" s="149"/>
      <c r="B54" s="149"/>
      <c r="C54" s="149"/>
      <c r="D54" s="149"/>
    </row>
    <row r="55" spans="1:4" ht="15" customHeight="1">
      <c r="A55" s="149"/>
      <c r="B55" s="149"/>
      <c r="C55" s="149"/>
      <c r="D55" s="149"/>
    </row>
    <row r="56" spans="1:4" ht="15" customHeight="1">
      <c r="A56" s="149"/>
      <c r="B56" s="149"/>
      <c r="C56" s="149"/>
      <c r="D56" s="149"/>
    </row>
    <row r="57" spans="1:4" ht="15" customHeight="1">
      <c r="A57" s="149"/>
      <c r="B57" s="149"/>
      <c r="C57" s="149"/>
      <c r="D57" s="149"/>
    </row>
    <row r="58" spans="1:4" ht="15" customHeight="1">
      <c r="A58" s="149"/>
      <c r="B58" s="149"/>
      <c r="C58" s="149"/>
      <c r="D58" s="149"/>
    </row>
    <row r="59" spans="1:4" ht="15" customHeight="1">
      <c r="A59" s="149"/>
      <c r="B59" s="149"/>
      <c r="C59" s="149"/>
      <c r="D59" s="149"/>
    </row>
    <row r="60" spans="1:4" ht="15" customHeight="1">
      <c r="A60" s="149"/>
      <c r="B60" s="149"/>
      <c r="C60" s="149"/>
      <c r="D60" s="149"/>
    </row>
    <row r="61" spans="1:4" ht="15" customHeight="1">
      <c r="A61" s="149"/>
      <c r="B61" s="149"/>
      <c r="C61" s="149"/>
      <c r="D61" s="149"/>
    </row>
    <row r="62" spans="1:4" ht="15" customHeight="1">
      <c r="A62" s="149"/>
      <c r="B62" s="149"/>
      <c r="C62" s="149"/>
      <c r="D62" s="149"/>
    </row>
    <row r="63" spans="1:4" ht="15" customHeight="1">
      <c r="A63" s="149"/>
      <c r="B63" s="149"/>
      <c r="C63" s="149"/>
      <c r="D63" s="149"/>
    </row>
    <row r="64" spans="1:4" ht="15" customHeight="1">
      <c r="A64" s="149"/>
      <c r="B64" s="149"/>
      <c r="C64" s="149"/>
      <c r="D64" s="149"/>
    </row>
    <row r="65" spans="1:4" ht="15" customHeight="1">
      <c r="A65" s="149"/>
      <c r="B65" s="149"/>
      <c r="C65" s="149"/>
      <c r="D65" s="149"/>
    </row>
    <row r="66" spans="1:4" ht="15" customHeight="1">
      <c r="A66" s="149"/>
      <c r="B66" s="149"/>
      <c r="C66" s="149"/>
      <c r="D66" s="149"/>
    </row>
    <row r="67" spans="1:4" ht="15" customHeight="1">
      <c r="A67" s="149"/>
      <c r="B67" s="149"/>
      <c r="C67" s="149"/>
      <c r="D67" s="149"/>
    </row>
    <row r="68" spans="1:4" ht="15" customHeight="1">
      <c r="A68" s="149"/>
      <c r="B68" s="149"/>
      <c r="C68" s="149"/>
      <c r="D68" s="149"/>
    </row>
    <row r="69" spans="1:4" ht="15" customHeight="1">
      <c r="A69" s="149"/>
      <c r="B69" s="149"/>
      <c r="C69" s="149"/>
      <c r="D69" s="149"/>
    </row>
    <row r="70" spans="1:4" ht="15" customHeight="1">
      <c r="A70" s="149"/>
      <c r="B70" s="149"/>
      <c r="C70" s="149"/>
      <c r="D70" s="149"/>
    </row>
    <row r="71" spans="1:4" ht="15" customHeight="1">
      <c r="A71" s="149"/>
      <c r="B71" s="149"/>
      <c r="C71" s="149"/>
      <c r="D71" s="149"/>
    </row>
    <row r="72" spans="1:4" ht="15" customHeight="1">
      <c r="A72" s="149"/>
      <c r="B72" s="149"/>
      <c r="C72" s="149"/>
      <c r="D72" s="149"/>
    </row>
    <row r="73" spans="1:4" ht="15" customHeight="1">
      <c r="A73" s="149"/>
      <c r="B73" s="149"/>
      <c r="C73" s="149"/>
      <c r="D73" s="149"/>
    </row>
    <row r="74" spans="1:4" ht="15" customHeight="1">
      <c r="A74" s="149"/>
      <c r="B74" s="149"/>
      <c r="C74" s="149"/>
      <c r="D74" s="149"/>
    </row>
    <row r="75" spans="1:4" ht="15" customHeight="1">
      <c r="A75" s="149"/>
      <c r="B75" s="149"/>
      <c r="C75" s="149"/>
      <c r="D75" s="149"/>
    </row>
    <row r="76" spans="1:4" ht="15" customHeight="1">
      <c r="A76" s="149"/>
      <c r="B76" s="149"/>
      <c r="C76" s="149"/>
      <c r="D76" s="149"/>
    </row>
    <row r="77" spans="1:4" ht="15" customHeight="1">
      <c r="A77" s="149"/>
      <c r="B77" s="149"/>
      <c r="C77" s="149"/>
      <c r="D77" s="149"/>
    </row>
    <row r="78" spans="1:4" ht="15" customHeight="1">
      <c r="A78" s="149"/>
      <c r="B78" s="149"/>
      <c r="C78" s="149"/>
      <c r="D78" s="149"/>
    </row>
    <row r="79" spans="1:4" ht="15" customHeight="1">
      <c r="A79" s="149"/>
      <c r="B79" s="149"/>
      <c r="C79" s="149"/>
      <c r="D79" s="149"/>
    </row>
    <row r="80" spans="1:4" ht="15" customHeight="1">
      <c r="A80" s="149"/>
      <c r="B80" s="149"/>
      <c r="C80" s="149"/>
      <c r="D80" s="149"/>
    </row>
    <row r="81" spans="1:4" ht="15" customHeight="1">
      <c r="A81" s="149"/>
      <c r="B81" s="149"/>
      <c r="C81" s="149"/>
      <c r="D81" s="149"/>
    </row>
    <row r="82" spans="1:4" ht="15" customHeight="1">
      <c r="A82" s="149"/>
      <c r="B82" s="149"/>
      <c r="C82" s="149"/>
      <c r="D82" s="149"/>
    </row>
    <row r="83" spans="1:4" ht="15" customHeight="1">
      <c r="A83" s="149"/>
      <c r="B83" s="149"/>
      <c r="C83" s="149"/>
      <c r="D83" s="149"/>
    </row>
    <row r="84" spans="1:4" ht="15" customHeight="1">
      <c r="A84" s="149"/>
      <c r="B84" s="149"/>
      <c r="C84" s="149"/>
      <c r="D84" s="149"/>
    </row>
    <row r="85" spans="1:4" ht="15" customHeight="1">
      <c r="A85" s="149"/>
      <c r="B85" s="149"/>
      <c r="C85" s="149"/>
      <c r="D85" s="149"/>
    </row>
    <row r="86" spans="1:4" ht="15" customHeight="1">
      <c r="A86" s="149"/>
      <c r="B86" s="149"/>
      <c r="C86" s="149"/>
      <c r="D86" s="149"/>
    </row>
    <row r="87" spans="1:4" ht="15" customHeight="1">
      <c r="A87" s="149"/>
      <c r="B87" s="149"/>
      <c r="C87" s="149"/>
      <c r="D87" s="149"/>
    </row>
    <row r="88" spans="1:4" ht="15" customHeight="1">
      <c r="A88" s="149"/>
      <c r="B88" s="149"/>
      <c r="C88" s="149"/>
      <c r="D88" s="149"/>
    </row>
    <row r="89" spans="1:4" ht="15" customHeight="1">
      <c r="A89" s="149"/>
      <c r="B89" s="149"/>
      <c r="C89" s="149"/>
      <c r="D89" s="149"/>
    </row>
  </sheetData>
  <mergeCells count="1">
    <mergeCell ref="A1:D1"/>
  </mergeCells>
  <phoneticPr fontId="5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582"/>
  <sheetViews>
    <sheetView workbookViewId="0"/>
  </sheetViews>
  <sheetFormatPr defaultRowHeight="16.5"/>
  <cols>
    <col min="1" max="1" width="5" customWidth="1"/>
    <col min="2" max="2" width="12" customWidth="1"/>
    <col min="3" max="3" width="28" customWidth="1"/>
    <col min="4" max="5" width="14" customWidth="1"/>
  </cols>
  <sheetData>
    <row r="1" spans="1:5" ht="39.950000000000003" customHeight="1">
      <c r="A1" s="201" t="s">
        <v>794</v>
      </c>
      <c r="B1" s="178"/>
      <c r="C1" s="178"/>
      <c r="D1" s="178"/>
      <c r="E1" s="178"/>
    </row>
    <row r="2" spans="1:5">
      <c r="A2" s="203" t="s">
        <v>795</v>
      </c>
      <c r="B2" s="178"/>
      <c r="C2" s="178"/>
      <c r="D2" s="178"/>
      <c r="E2" s="178"/>
    </row>
    <row r="3" spans="1:5">
      <c r="A3" s="150">
        <v>1</v>
      </c>
      <c r="B3" s="202" t="s">
        <v>796</v>
      </c>
      <c r="C3" s="199"/>
      <c r="D3" s="151">
        <v>240</v>
      </c>
      <c r="E3" s="150" t="s">
        <v>797</v>
      </c>
    </row>
    <row r="4" spans="1:5">
      <c r="A4" s="152">
        <v>2</v>
      </c>
      <c r="B4" s="206" t="s">
        <v>798</v>
      </c>
      <c r="C4" s="199"/>
      <c r="D4" s="153">
        <v>137.19999999999999</v>
      </c>
      <c r="E4" s="152" t="s">
        <v>799</v>
      </c>
    </row>
    <row r="5" spans="1:5">
      <c r="A5" s="150">
        <v>3</v>
      </c>
      <c r="B5" s="202" t="s">
        <v>800</v>
      </c>
      <c r="C5" s="199"/>
      <c r="D5" s="151">
        <v>200</v>
      </c>
      <c r="E5" s="150" t="s">
        <v>801</v>
      </c>
    </row>
    <row r="7" spans="1:5">
      <c r="A7" s="200" t="s">
        <v>802</v>
      </c>
      <c r="B7" s="178"/>
      <c r="C7" s="178"/>
      <c r="D7" s="178"/>
      <c r="E7" s="178"/>
    </row>
    <row r="8" spans="1:5">
      <c r="A8" s="154" t="s">
        <v>46</v>
      </c>
      <c r="B8" s="154" t="s">
        <v>803</v>
      </c>
      <c r="C8" s="154" t="s">
        <v>648</v>
      </c>
      <c r="D8" s="154" t="s">
        <v>804</v>
      </c>
      <c r="E8" s="154"/>
    </row>
    <row r="9" spans="1:5">
      <c r="A9" s="150">
        <v>1</v>
      </c>
      <c r="B9" s="155">
        <v>46024</v>
      </c>
      <c r="C9" s="156" t="s">
        <v>143</v>
      </c>
      <c r="D9" s="157">
        <v>195</v>
      </c>
      <c r="E9" s="158"/>
    </row>
    <row r="10" spans="1:5">
      <c r="A10" s="152">
        <v>2</v>
      </c>
      <c r="B10" s="159">
        <v>46024</v>
      </c>
      <c r="C10" s="160" t="s">
        <v>215</v>
      </c>
      <c r="D10" s="161">
        <v>45</v>
      </c>
      <c r="E10" s="162"/>
    </row>
    <row r="11" spans="1:5">
      <c r="A11" s="197" t="s">
        <v>805</v>
      </c>
      <c r="B11" s="198"/>
      <c r="C11" s="199"/>
      <c r="D11" s="163">
        <v>240</v>
      </c>
      <c r="E11" s="164"/>
    </row>
    <row r="13" spans="1:5">
      <c r="A13" s="204" t="s">
        <v>806</v>
      </c>
      <c r="B13" s="178"/>
      <c r="C13" s="178"/>
      <c r="D13" s="178"/>
      <c r="E13" s="178"/>
    </row>
    <row r="14" spans="1:5">
      <c r="A14" s="154" t="s">
        <v>46</v>
      </c>
      <c r="B14" s="154"/>
      <c r="C14" s="154" t="s">
        <v>648</v>
      </c>
      <c r="D14" s="154" t="s">
        <v>807</v>
      </c>
      <c r="E14" s="154"/>
    </row>
    <row r="15" spans="1:5">
      <c r="A15" s="150">
        <v>1</v>
      </c>
      <c r="B15" s="158"/>
      <c r="C15" s="156" t="s">
        <v>183</v>
      </c>
      <c r="D15" s="157">
        <v>30.6</v>
      </c>
      <c r="E15" s="158"/>
    </row>
    <row r="16" spans="1:5">
      <c r="A16" s="152">
        <v>2</v>
      </c>
      <c r="B16" s="162"/>
      <c r="C16" s="160" t="s">
        <v>204</v>
      </c>
      <c r="D16" s="161">
        <v>30.6</v>
      </c>
      <c r="E16" s="162"/>
    </row>
    <row r="17" spans="1:5">
      <c r="A17" s="150">
        <v>3</v>
      </c>
      <c r="B17" s="158"/>
      <c r="C17" s="156" t="s">
        <v>205</v>
      </c>
      <c r="D17" s="157">
        <v>19.8</v>
      </c>
      <c r="E17" s="158"/>
    </row>
    <row r="18" spans="1:5">
      <c r="A18" s="152">
        <v>4</v>
      </c>
      <c r="B18" s="162"/>
      <c r="C18" s="160" t="s">
        <v>155</v>
      </c>
      <c r="D18" s="161">
        <v>19.2</v>
      </c>
      <c r="E18" s="162"/>
    </row>
    <row r="19" spans="1:5">
      <c r="A19" s="150">
        <v>5</v>
      </c>
      <c r="B19" s="158"/>
      <c r="C19" s="156" t="s">
        <v>144</v>
      </c>
      <c r="D19" s="157">
        <v>8</v>
      </c>
      <c r="E19" s="158"/>
    </row>
    <row r="20" spans="1:5">
      <c r="A20" s="152">
        <v>6</v>
      </c>
      <c r="B20" s="162"/>
      <c r="C20" s="160" t="s">
        <v>143</v>
      </c>
      <c r="D20" s="161">
        <v>6.2</v>
      </c>
      <c r="E20" s="162"/>
    </row>
    <row r="21" spans="1:5">
      <c r="A21" s="150">
        <v>7</v>
      </c>
      <c r="B21" s="158"/>
      <c r="C21" s="156" t="s">
        <v>184</v>
      </c>
      <c r="D21" s="157">
        <v>6.2</v>
      </c>
      <c r="E21" s="158"/>
    </row>
    <row r="22" spans="1:5">
      <c r="A22" s="152">
        <v>8</v>
      </c>
      <c r="B22" s="162"/>
      <c r="C22" s="160" t="s">
        <v>174</v>
      </c>
      <c r="D22" s="161">
        <v>4</v>
      </c>
      <c r="E22" s="162"/>
    </row>
    <row r="23" spans="1:5">
      <c r="A23" s="150">
        <v>9</v>
      </c>
      <c r="B23" s="158"/>
      <c r="C23" s="156" t="s">
        <v>206</v>
      </c>
      <c r="D23" s="157">
        <v>3.6</v>
      </c>
      <c r="E23" s="158"/>
    </row>
    <row r="24" spans="1:5">
      <c r="A24" s="152">
        <v>10</v>
      </c>
      <c r="B24" s="162"/>
      <c r="C24" s="160" t="s">
        <v>142</v>
      </c>
      <c r="D24" s="161">
        <v>3.5</v>
      </c>
      <c r="E24" s="162"/>
    </row>
    <row r="25" spans="1:5">
      <c r="A25" s="150">
        <v>11</v>
      </c>
      <c r="B25" s="158"/>
      <c r="C25" s="156" t="s">
        <v>179</v>
      </c>
      <c r="D25" s="157">
        <v>0.8</v>
      </c>
      <c r="E25" s="158"/>
    </row>
    <row r="26" spans="1:5">
      <c r="A26" s="152">
        <v>12</v>
      </c>
      <c r="B26" s="162"/>
      <c r="C26" s="160" t="s">
        <v>222</v>
      </c>
      <c r="D26" s="161">
        <v>0.8</v>
      </c>
      <c r="E26" s="162"/>
    </row>
    <row r="27" spans="1:5">
      <c r="A27" s="150">
        <v>13</v>
      </c>
      <c r="B27" s="158"/>
      <c r="C27" s="156" t="s">
        <v>221</v>
      </c>
      <c r="D27" s="157">
        <v>0.8</v>
      </c>
      <c r="E27" s="158"/>
    </row>
    <row r="28" spans="1:5">
      <c r="A28" s="152">
        <v>14</v>
      </c>
      <c r="B28" s="162"/>
      <c r="C28" s="160" t="s">
        <v>146</v>
      </c>
      <c r="D28" s="161">
        <v>0.5</v>
      </c>
      <c r="E28" s="162"/>
    </row>
    <row r="29" spans="1:5">
      <c r="A29" s="150">
        <v>15</v>
      </c>
      <c r="B29" s="158"/>
      <c r="C29" s="156" t="s">
        <v>147</v>
      </c>
      <c r="D29" s="157">
        <v>0.5</v>
      </c>
      <c r="E29" s="158"/>
    </row>
    <row r="30" spans="1:5">
      <c r="A30" s="152">
        <v>16</v>
      </c>
      <c r="B30" s="162"/>
      <c r="C30" s="160" t="s">
        <v>220</v>
      </c>
      <c r="D30" s="161">
        <v>0.5</v>
      </c>
      <c r="E30" s="162"/>
    </row>
    <row r="31" spans="1:5">
      <c r="A31" s="150">
        <v>17</v>
      </c>
      <c r="B31" s="158"/>
      <c r="C31" s="156" t="s">
        <v>145</v>
      </c>
      <c r="D31" s="157">
        <v>0.2</v>
      </c>
      <c r="E31" s="158"/>
    </row>
    <row r="32" spans="1:5">
      <c r="A32" s="152">
        <v>18</v>
      </c>
      <c r="B32" s="162"/>
      <c r="C32" s="160" t="s">
        <v>192</v>
      </c>
      <c r="D32" s="161">
        <v>0.2</v>
      </c>
      <c r="E32" s="162"/>
    </row>
    <row r="33" spans="1:5">
      <c r="A33" s="150">
        <v>19</v>
      </c>
      <c r="B33" s="158"/>
      <c r="C33" s="156" t="s">
        <v>148</v>
      </c>
      <c r="D33" s="157">
        <v>0.2</v>
      </c>
      <c r="E33" s="158"/>
    </row>
    <row r="34" spans="1:5">
      <c r="A34" s="152">
        <v>20</v>
      </c>
      <c r="B34" s="162"/>
      <c r="C34" s="160" t="s">
        <v>159</v>
      </c>
      <c r="D34" s="161">
        <v>0.2</v>
      </c>
      <c r="E34" s="162"/>
    </row>
    <row r="35" spans="1:5">
      <c r="A35" s="150">
        <v>21</v>
      </c>
      <c r="B35" s="158"/>
      <c r="C35" s="156" t="s">
        <v>186</v>
      </c>
      <c r="D35" s="157">
        <v>0.2</v>
      </c>
      <c r="E35" s="158"/>
    </row>
    <row r="36" spans="1:5">
      <c r="A36" s="152">
        <v>22</v>
      </c>
      <c r="B36" s="162"/>
      <c r="C36" s="160" t="s">
        <v>195</v>
      </c>
      <c r="D36" s="161">
        <v>0.2</v>
      </c>
      <c r="E36" s="162"/>
    </row>
    <row r="37" spans="1:5">
      <c r="A37" s="150">
        <v>23</v>
      </c>
      <c r="B37" s="158"/>
      <c r="C37" s="156" t="s">
        <v>219</v>
      </c>
      <c r="D37" s="157">
        <v>0.2</v>
      </c>
      <c r="E37" s="158"/>
    </row>
    <row r="38" spans="1:5">
      <c r="A38" s="197" t="s">
        <v>805</v>
      </c>
      <c r="B38" s="198"/>
      <c r="C38" s="199"/>
      <c r="D38" s="163">
        <v>137.19999999999999</v>
      </c>
      <c r="E38" s="164"/>
    </row>
    <row r="40" spans="1:5">
      <c r="A40" s="205" t="s">
        <v>808</v>
      </c>
      <c r="B40" s="178"/>
      <c r="C40" s="178"/>
      <c r="D40" s="178"/>
      <c r="E40" s="178"/>
    </row>
    <row r="41" spans="1:5">
      <c r="A41" s="154" t="s">
        <v>46</v>
      </c>
      <c r="B41" s="154" t="s">
        <v>803</v>
      </c>
      <c r="C41" s="154" t="s">
        <v>140</v>
      </c>
      <c r="D41" s="154" t="s">
        <v>809</v>
      </c>
      <c r="E41" s="154"/>
    </row>
    <row r="42" spans="1:5">
      <c r="A42" s="150">
        <v>1</v>
      </c>
      <c r="B42" s="155">
        <v>46025</v>
      </c>
      <c r="C42" s="156" t="s">
        <v>120</v>
      </c>
      <c r="D42" s="157">
        <v>200</v>
      </c>
      <c r="E42" s="158"/>
    </row>
    <row r="43" spans="1:5">
      <c r="A43" s="197" t="s">
        <v>805</v>
      </c>
      <c r="B43" s="198"/>
      <c r="C43" s="199"/>
      <c r="D43" s="163">
        <v>200</v>
      </c>
      <c r="E43" s="164"/>
    </row>
    <row r="45" spans="1:5" ht="39.950000000000003" customHeight="1">
      <c r="A45" s="201" t="s">
        <v>810</v>
      </c>
      <c r="B45" s="178"/>
      <c r="C45" s="178"/>
      <c r="D45" s="178"/>
      <c r="E45" s="178"/>
    </row>
    <row r="46" spans="1:5">
      <c r="A46" s="203" t="s">
        <v>795</v>
      </c>
      <c r="B46" s="178"/>
      <c r="C46" s="178"/>
      <c r="D46" s="178"/>
      <c r="E46" s="178"/>
    </row>
    <row r="47" spans="1:5">
      <c r="A47" s="150">
        <v>1</v>
      </c>
      <c r="B47" s="202" t="s">
        <v>796</v>
      </c>
      <c r="C47" s="199"/>
      <c r="D47" s="151">
        <v>740</v>
      </c>
      <c r="E47" s="150" t="s">
        <v>811</v>
      </c>
    </row>
    <row r="48" spans="1:5">
      <c r="A48" s="152">
        <v>2</v>
      </c>
      <c r="B48" s="206" t="s">
        <v>798</v>
      </c>
      <c r="C48" s="199"/>
      <c r="D48" s="153">
        <v>732.8</v>
      </c>
      <c r="E48" s="152" t="s">
        <v>812</v>
      </c>
    </row>
    <row r="49" spans="1:5">
      <c r="A49" s="150">
        <v>3</v>
      </c>
      <c r="B49" s="202" t="s">
        <v>800</v>
      </c>
      <c r="C49" s="199"/>
      <c r="D49" s="151">
        <v>2430</v>
      </c>
      <c r="E49" s="150" t="s">
        <v>813</v>
      </c>
    </row>
    <row r="51" spans="1:5">
      <c r="A51" s="200" t="s">
        <v>802</v>
      </c>
      <c r="B51" s="178"/>
      <c r="C51" s="178"/>
      <c r="D51" s="178"/>
      <c r="E51" s="178"/>
    </row>
    <row r="52" spans="1:5">
      <c r="A52" s="154" t="s">
        <v>46</v>
      </c>
      <c r="B52" s="154" t="s">
        <v>803</v>
      </c>
      <c r="C52" s="154" t="s">
        <v>648</v>
      </c>
      <c r="D52" s="154" t="s">
        <v>804</v>
      </c>
      <c r="E52" s="154"/>
    </row>
    <row r="53" spans="1:5">
      <c r="A53" s="150">
        <v>1</v>
      </c>
      <c r="B53" s="155">
        <v>46027</v>
      </c>
      <c r="C53" s="156" t="s">
        <v>144</v>
      </c>
      <c r="D53" s="157">
        <v>70</v>
      </c>
      <c r="E53" s="158"/>
    </row>
    <row r="54" spans="1:5">
      <c r="A54" s="152">
        <v>2</v>
      </c>
      <c r="B54" s="159">
        <v>46027</v>
      </c>
      <c r="C54" s="160" t="s">
        <v>179</v>
      </c>
      <c r="D54" s="161">
        <v>70</v>
      </c>
      <c r="E54" s="162"/>
    </row>
    <row r="55" spans="1:5">
      <c r="A55" s="150">
        <v>3</v>
      </c>
      <c r="B55" s="155">
        <v>46027</v>
      </c>
      <c r="C55" s="156" t="s">
        <v>183</v>
      </c>
      <c r="D55" s="157">
        <v>140</v>
      </c>
      <c r="E55" s="158"/>
    </row>
    <row r="56" spans="1:5">
      <c r="A56" s="152">
        <v>4</v>
      </c>
      <c r="B56" s="159">
        <v>46028</v>
      </c>
      <c r="C56" s="160" t="s">
        <v>148</v>
      </c>
      <c r="D56" s="161">
        <v>27.5</v>
      </c>
      <c r="E56" s="162"/>
    </row>
    <row r="57" spans="1:5">
      <c r="A57" s="150">
        <v>5</v>
      </c>
      <c r="B57" s="155">
        <v>46028</v>
      </c>
      <c r="C57" s="156" t="s">
        <v>159</v>
      </c>
      <c r="D57" s="157">
        <v>77.5</v>
      </c>
      <c r="E57" s="158"/>
    </row>
    <row r="58" spans="1:5">
      <c r="A58" s="152">
        <v>6</v>
      </c>
      <c r="B58" s="159">
        <v>46028</v>
      </c>
      <c r="C58" s="160" t="s">
        <v>160</v>
      </c>
      <c r="D58" s="161">
        <v>20</v>
      </c>
      <c r="E58" s="162"/>
    </row>
    <row r="59" spans="1:5">
      <c r="A59" s="150">
        <v>7</v>
      </c>
      <c r="B59" s="155">
        <v>46028</v>
      </c>
      <c r="C59" s="156" t="s">
        <v>193</v>
      </c>
      <c r="D59" s="157">
        <v>45</v>
      </c>
      <c r="E59" s="158"/>
    </row>
    <row r="60" spans="1:5">
      <c r="A60" s="152">
        <v>8</v>
      </c>
      <c r="B60" s="159">
        <v>46029</v>
      </c>
      <c r="C60" s="160" t="s">
        <v>145</v>
      </c>
      <c r="D60" s="161">
        <v>50</v>
      </c>
      <c r="E60" s="162"/>
    </row>
    <row r="61" spans="1:5">
      <c r="A61" s="150">
        <v>9</v>
      </c>
      <c r="B61" s="155">
        <v>46029</v>
      </c>
      <c r="C61" s="156" t="s">
        <v>192</v>
      </c>
      <c r="D61" s="157">
        <v>25</v>
      </c>
      <c r="E61" s="158"/>
    </row>
    <row r="62" spans="1:5">
      <c r="A62" s="152">
        <v>10</v>
      </c>
      <c r="B62" s="159">
        <v>46029</v>
      </c>
      <c r="C62" s="160" t="s">
        <v>195</v>
      </c>
      <c r="D62" s="161">
        <v>50</v>
      </c>
      <c r="E62" s="162"/>
    </row>
    <row r="63" spans="1:5">
      <c r="A63" s="150">
        <v>11</v>
      </c>
      <c r="B63" s="155">
        <v>46029</v>
      </c>
      <c r="C63" s="156" t="s">
        <v>219</v>
      </c>
      <c r="D63" s="157">
        <v>37.5</v>
      </c>
      <c r="E63" s="158"/>
    </row>
    <row r="64" spans="1:5">
      <c r="A64" s="152">
        <v>12</v>
      </c>
      <c r="B64" s="159">
        <v>46031</v>
      </c>
      <c r="C64" s="160" t="s">
        <v>212</v>
      </c>
      <c r="D64" s="161">
        <v>127.5</v>
      </c>
      <c r="E64" s="162"/>
    </row>
    <row r="65" spans="1:5">
      <c r="A65" s="197" t="s">
        <v>805</v>
      </c>
      <c r="B65" s="198"/>
      <c r="C65" s="199"/>
      <c r="D65" s="163">
        <v>740</v>
      </c>
      <c r="E65" s="164"/>
    </row>
    <row r="67" spans="1:5">
      <c r="A67" s="204" t="s">
        <v>806</v>
      </c>
      <c r="B67" s="178"/>
      <c r="C67" s="178"/>
      <c r="D67" s="178"/>
      <c r="E67" s="178"/>
    </row>
    <row r="68" spans="1:5">
      <c r="A68" s="154" t="s">
        <v>46</v>
      </c>
      <c r="B68" s="154"/>
      <c r="C68" s="154" t="s">
        <v>648</v>
      </c>
      <c r="D68" s="154" t="s">
        <v>807</v>
      </c>
      <c r="E68" s="154"/>
    </row>
    <row r="69" spans="1:5">
      <c r="A69" s="150">
        <v>1</v>
      </c>
      <c r="B69" s="158"/>
      <c r="C69" s="156" t="s">
        <v>183</v>
      </c>
      <c r="D69" s="157">
        <v>216</v>
      </c>
      <c r="E69" s="158"/>
    </row>
    <row r="70" spans="1:5">
      <c r="A70" s="152">
        <v>2</v>
      </c>
      <c r="B70" s="162"/>
      <c r="C70" s="160" t="s">
        <v>204</v>
      </c>
      <c r="D70" s="161">
        <v>162</v>
      </c>
      <c r="E70" s="162"/>
    </row>
    <row r="71" spans="1:5">
      <c r="A71" s="150">
        <v>3</v>
      </c>
      <c r="B71" s="158"/>
      <c r="C71" s="156" t="s">
        <v>144</v>
      </c>
      <c r="D71" s="157">
        <v>81</v>
      </c>
      <c r="E71" s="158"/>
    </row>
    <row r="72" spans="1:5">
      <c r="A72" s="152">
        <v>4</v>
      </c>
      <c r="B72" s="162"/>
      <c r="C72" s="160" t="s">
        <v>205</v>
      </c>
      <c r="D72" s="161">
        <v>81</v>
      </c>
      <c r="E72" s="162"/>
    </row>
    <row r="73" spans="1:5">
      <c r="A73" s="150">
        <v>5</v>
      </c>
      <c r="B73" s="158"/>
      <c r="C73" s="156" t="s">
        <v>143</v>
      </c>
      <c r="D73" s="157">
        <v>40.5</v>
      </c>
      <c r="E73" s="158"/>
    </row>
    <row r="74" spans="1:5">
      <c r="A74" s="152">
        <v>6</v>
      </c>
      <c r="B74" s="162"/>
      <c r="C74" s="160" t="s">
        <v>184</v>
      </c>
      <c r="D74" s="161">
        <v>30.5</v>
      </c>
      <c r="E74" s="162"/>
    </row>
    <row r="75" spans="1:5">
      <c r="A75" s="150">
        <v>7</v>
      </c>
      <c r="B75" s="158"/>
      <c r="C75" s="156" t="s">
        <v>155</v>
      </c>
      <c r="D75" s="157">
        <v>28.8</v>
      </c>
      <c r="E75" s="158"/>
    </row>
    <row r="76" spans="1:5">
      <c r="A76" s="152">
        <v>8</v>
      </c>
      <c r="B76" s="162"/>
      <c r="C76" s="160" t="s">
        <v>174</v>
      </c>
      <c r="D76" s="161">
        <v>15</v>
      </c>
      <c r="E76" s="162"/>
    </row>
    <row r="77" spans="1:5">
      <c r="A77" s="150">
        <v>9</v>
      </c>
      <c r="B77" s="158"/>
      <c r="C77" s="156" t="s">
        <v>206</v>
      </c>
      <c r="D77" s="157">
        <v>10.8</v>
      </c>
      <c r="E77" s="158"/>
    </row>
    <row r="78" spans="1:5">
      <c r="A78" s="152">
        <v>10</v>
      </c>
      <c r="B78" s="162"/>
      <c r="C78" s="160" t="s">
        <v>147</v>
      </c>
      <c r="D78" s="161">
        <v>10.8</v>
      </c>
      <c r="E78" s="162"/>
    </row>
    <row r="79" spans="1:5">
      <c r="A79" s="150">
        <v>11</v>
      </c>
      <c r="B79" s="158"/>
      <c r="C79" s="156" t="s">
        <v>141</v>
      </c>
      <c r="D79" s="157">
        <v>7.2</v>
      </c>
      <c r="E79" s="158"/>
    </row>
    <row r="80" spans="1:5">
      <c r="A80" s="152">
        <v>12</v>
      </c>
      <c r="B80" s="162"/>
      <c r="C80" s="160" t="s">
        <v>207</v>
      </c>
      <c r="D80" s="161">
        <v>7</v>
      </c>
      <c r="E80" s="162"/>
    </row>
    <row r="81" spans="1:5">
      <c r="A81" s="150">
        <v>13</v>
      </c>
      <c r="B81" s="158"/>
      <c r="C81" s="156" t="s">
        <v>220</v>
      </c>
      <c r="D81" s="157">
        <v>6.8</v>
      </c>
      <c r="E81" s="158"/>
    </row>
    <row r="82" spans="1:5">
      <c r="A82" s="152">
        <v>14</v>
      </c>
      <c r="B82" s="162"/>
      <c r="C82" s="160" t="s">
        <v>146</v>
      </c>
      <c r="D82" s="161">
        <v>5.8</v>
      </c>
      <c r="E82" s="162"/>
    </row>
    <row r="83" spans="1:5">
      <c r="A83" s="150">
        <v>15</v>
      </c>
      <c r="B83" s="158"/>
      <c r="C83" s="156" t="s">
        <v>222</v>
      </c>
      <c r="D83" s="157">
        <v>4.8</v>
      </c>
      <c r="E83" s="158"/>
    </row>
    <row r="84" spans="1:5">
      <c r="A84" s="152">
        <v>16</v>
      </c>
      <c r="B84" s="162"/>
      <c r="C84" s="160" t="s">
        <v>142</v>
      </c>
      <c r="D84" s="161">
        <v>4.8</v>
      </c>
      <c r="E84" s="162"/>
    </row>
    <row r="85" spans="1:5">
      <c r="A85" s="150">
        <v>17</v>
      </c>
      <c r="B85" s="158"/>
      <c r="C85" s="156" t="s">
        <v>161</v>
      </c>
      <c r="D85" s="157">
        <v>4</v>
      </c>
      <c r="E85" s="158"/>
    </row>
    <row r="86" spans="1:5">
      <c r="A86" s="152">
        <v>18</v>
      </c>
      <c r="B86" s="162"/>
      <c r="C86" s="160" t="s">
        <v>181</v>
      </c>
      <c r="D86" s="161">
        <v>4</v>
      </c>
      <c r="E86" s="162"/>
    </row>
    <row r="87" spans="1:5">
      <c r="A87" s="150">
        <v>19</v>
      </c>
      <c r="B87" s="158"/>
      <c r="C87" s="156" t="s">
        <v>221</v>
      </c>
      <c r="D87" s="157">
        <v>3.2</v>
      </c>
      <c r="E87" s="158"/>
    </row>
    <row r="88" spans="1:5">
      <c r="A88" s="152">
        <v>20</v>
      </c>
      <c r="B88" s="162"/>
      <c r="C88" s="160" t="s">
        <v>179</v>
      </c>
      <c r="D88" s="161">
        <v>2</v>
      </c>
      <c r="E88" s="162"/>
    </row>
    <row r="89" spans="1:5">
      <c r="A89" s="150">
        <v>21</v>
      </c>
      <c r="B89" s="158"/>
      <c r="C89" s="156" t="s">
        <v>169</v>
      </c>
      <c r="D89" s="157">
        <v>2</v>
      </c>
      <c r="E89" s="158"/>
    </row>
    <row r="90" spans="1:5">
      <c r="A90" s="152">
        <v>22</v>
      </c>
      <c r="B90" s="162"/>
      <c r="C90" s="160" t="s">
        <v>195</v>
      </c>
      <c r="D90" s="161">
        <v>1.4</v>
      </c>
      <c r="E90" s="162"/>
    </row>
    <row r="91" spans="1:5">
      <c r="A91" s="150">
        <v>23</v>
      </c>
      <c r="B91" s="158"/>
      <c r="C91" s="156" t="s">
        <v>212</v>
      </c>
      <c r="D91" s="157">
        <v>1</v>
      </c>
      <c r="E91" s="158"/>
    </row>
    <row r="92" spans="1:5">
      <c r="A92" s="152">
        <v>24</v>
      </c>
      <c r="B92" s="162"/>
      <c r="C92" s="160" t="s">
        <v>145</v>
      </c>
      <c r="D92" s="161">
        <v>0.5</v>
      </c>
      <c r="E92" s="162"/>
    </row>
    <row r="93" spans="1:5">
      <c r="A93" s="150">
        <v>25</v>
      </c>
      <c r="B93" s="158"/>
      <c r="C93" s="156" t="s">
        <v>192</v>
      </c>
      <c r="D93" s="157">
        <v>0.5</v>
      </c>
      <c r="E93" s="158"/>
    </row>
    <row r="94" spans="1:5">
      <c r="A94" s="152">
        <v>26</v>
      </c>
      <c r="B94" s="162"/>
      <c r="C94" s="160" t="s">
        <v>148</v>
      </c>
      <c r="D94" s="161">
        <v>0.4</v>
      </c>
      <c r="E94" s="162"/>
    </row>
    <row r="95" spans="1:5">
      <c r="A95" s="150">
        <v>27</v>
      </c>
      <c r="B95" s="158"/>
      <c r="C95" s="156" t="s">
        <v>159</v>
      </c>
      <c r="D95" s="157">
        <v>0.4</v>
      </c>
      <c r="E95" s="158"/>
    </row>
    <row r="96" spans="1:5">
      <c r="A96" s="152">
        <v>28</v>
      </c>
      <c r="B96" s="162"/>
      <c r="C96" s="160" t="s">
        <v>186</v>
      </c>
      <c r="D96" s="161">
        <v>0.4</v>
      </c>
      <c r="E96" s="162"/>
    </row>
    <row r="97" spans="1:5">
      <c r="A97" s="150">
        <v>29</v>
      </c>
      <c r="B97" s="158"/>
      <c r="C97" s="156" t="s">
        <v>219</v>
      </c>
      <c r="D97" s="157">
        <v>0.4</v>
      </c>
      <c r="E97" s="158"/>
    </row>
    <row r="98" spans="1:5">
      <c r="A98" s="197" t="s">
        <v>805</v>
      </c>
      <c r="B98" s="198"/>
      <c r="C98" s="199"/>
      <c r="D98" s="163">
        <v>732.8</v>
      </c>
      <c r="E98" s="164"/>
    </row>
    <row r="100" spans="1:5">
      <c r="A100" s="205" t="s">
        <v>808</v>
      </c>
      <c r="B100" s="178"/>
      <c r="C100" s="178"/>
      <c r="D100" s="178"/>
      <c r="E100" s="178"/>
    </row>
    <row r="101" spans="1:5">
      <c r="A101" s="154" t="s">
        <v>46</v>
      </c>
      <c r="B101" s="154" t="s">
        <v>803</v>
      </c>
      <c r="C101" s="154" t="s">
        <v>140</v>
      </c>
      <c r="D101" s="154" t="s">
        <v>809</v>
      </c>
      <c r="E101" s="154"/>
    </row>
    <row r="102" spans="1:5">
      <c r="A102" s="150">
        <v>1</v>
      </c>
      <c r="B102" s="155">
        <v>46028</v>
      </c>
      <c r="C102" s="156" t="s">
        <v>71</v>
      </c>
      <c r="D102" s="157">
        <v>10</v>
      </c>
      <c r="E102" s="158"/>
    </row>
    <row r="103" spans="1:5">
      <c r="A103" s="152">
        <v>2</v>
      </c>
      <c r="B103" s="159">
        <v>46031</v>
      </c>
      <c r="C103" s="160" t="s">
        <v>116</v>
      </c>
      <c r="D103" s="161">
        <v>1500</v>
      </c>
      <c r="E103" s="162"/>
    </row>
    <row r="104" spans="1:5">
      <c r="A104" s="150">
        <v>3</v>
      </c>
      <c r="B104" s="155">
        <v>46031</v>
      </c>
      <c r="C104" s="156" t="s">
        <v>116</v>
      </c>
      <c r="D104" s="157">
        <v>500</v>
      </c>
      <c r="E104" s="158"/>
    </row>
    <row r="105" spans="1:5">
      <c r="A105" s="152">
        <v>4</v>
      </c>
      <c r="B105" s="159">
        <v>46032</v>
      </c>
      <c r="C105" s="160" t="s">
        <v>120</v>
      </c>
      <c r="D105" s="161">
        <v>420</v>
      </c>
      <c r="E105" s="162"/>
    </row>
    <row r="106" spans="1:5">
      <c r="A106" s="197" t="s">
        <v>805</v>
      </c>
      <c r="B106" s="198"/>
      <c r="C106" s="199"/>
      <c r="D106" s="163">
        <v>2430</v>
      </c>
      <c r="E106" s="164"/>
    </row>
    <row r="108" spans="1:5" ht="39.950000000000003" customHeight="1">
      <c r="A108" s="201" t="s">
        <v>814</v>
      </c>
      <c r="B108" s="178"/>
      <c r="C108" s="178"/>
      <c r="D108" s="178"/>
      <c r="E108" s="178"/>
    </row>
    <row r="109" spans="1:5">
      <c r="A109" s="203" t="s">
        <v>795</v>
      </c>
      <c r="B109" s="178"/>
      <c r="C109" s="178"/>
      <c r="D109" s="178"/>
      <c r="E109" s="178"/>
    </row>
    <row r="110" spans="1:5">
      <c r="A110" s="150">
        <v>1</v>
      </c>
      <c r="B110" s="202" t="s">
        <v>796</v>
      </c>
      <c r="C110" s="199"/>
      <c r="D110" s="151">
        <v>1057.5</v>
      </c>
      <c r="E110" s="150" t="s">
        <v>815</v>
      </c>
    </row>
    <row r="111" spans="1:5">
      <c r="A111" s="152">
        <v>2</v>
      </c>
      <c r="B111" s="206" t="s">
        <v>798</v>
      </c>
      <c r="C111" s="199"/>
      <c r="D111" s="153">
        <v>519.20000000000005</v>
      </c>
      <c r="E111" s="152" t="s">
        <v>816</v>
      </c>
    </row>
    <row r="112" spans="1:5">
      <c r="A112" s="150">
        <v>3</v>
      </c>
      <c r="B112" s="202" t="s">
        <v>800</v>
      </c>
      <c r="C112" s="199"/>
      <c r="D112" s="151">
        <v>2702</v>
      </c>
      <c r="E112" s="150" t="s">
        <v>817</v>
      </c>
    </row>
    <row r="114" spans="1:5">
      <c r="A114" s="200" t="s">
        <v>802</v>
      </c>
      <c r="B114" s="178"/>
      <c r="C114" s="178"/>
      <c r="D114" s="178"/>
      <c r="E114" s="178"/>
    </row>
    <row r="115" spans="1:5">
      <c r="A115" s="154" t="s">
        <v>46</v>
      </c>
      <c r="B115" s="154" t="s">
        <v>803</v>
      </c>
      <c r="C115" s="154" t="s">
        <v>648</v>
      </c>
      <c r="D115" s="154" t="s">
        <v>804</v>
      </c>
      <c r="E115" s="154"/>
    </row>
    <row r="116" spans="1:5">
      <c r="A116" s="150">
        <v>1</v>
      </c>
      <c r="B116" s="155">
        <v>46034</v>
      </c>
      <c r="C116" s="156" t="s">
        <v>183</v>
      </c>
      <c r="D116" s="157">
        <v>140</v>
      </c>
      <c r="E116" s="158"/>
    </row>
    <row r="117" spans="1:5">
      <c r="A117" s="152">
        <v>2</v>
      </c>
      <c r="B117" s="159">
        <v>46034</v>
      </c>
      <c r="C117" s="160" t="s">
        <v>204</v>
      </c>
      <c r="D117" s="161">
        <v>210</v>
      </c>
      <c r="E117" s="162"/>
    </row>
    <row r="118" spans="1:5">
      <c r="A118" s="150">
        <v>3</v>
      </c>
      <c r="B118" s="155">
        <v>46035</v>
      </c>
      <c r="C118" s="156" t="s">
        <v>144</v>
      </c>
      <c r="D118" s="157">
        <v>70</v>
      </c>
      <c r="E118" s="158"/>
    </row>
    <row r="119" spans="1:5">
      <c r="A119" s="152">
        <v>4</v>
      </c>
      <c r="B119" s="159">
        <v>46035</v>
      </c>
      <c r="C119" s="160" t="s">
        <v>183</v>
      </c>
      <c r="D119" s="161">
        <v>70</v>
      </c>
      <c r="E119" s="162"/>
    </row>
    <row r="120" spans="1:5">
      <c r="A120" s="150">
        <v>5</v>
      </c>
      <c r="B120" s="155">
        <v>46035</v>
      </c>
      <c r="C120" s="156" t="s">
        <v>186</v>
      </c>
      <c r="D120" s="157">
        <v>37.5</v>
      </c>
      <c r="E120" s="158"/>
    </row>
    <row r="121" spans="1:5">
      <c r="A121" s="152">
        <v>6</v>
      </c>
      <c r="B121" s="159">
        <v>46036</v>
      </c>
      <c r="C121" s="160" t="s">
        <v>147</v>
      </c>
      <c r="D121" s="161">
        <v>40</v>
      </c>
      <c r="E121" s="162"/>
    </row>
    <row r="122" spans="1:5">
      <c r="A122" s="150">
        <v>7</v>
      </c>
      <c r="B122" s="155">
        <v>46036</v>
      </c>
      <c r="C122" s="156" t="s">
        <v>156</v>
      </c>
      <c r="D122" s="157">
        <v>70</v>
      </c>
      <c r="E122" s="158"/>
    </row>
    <row r="123" spans="1:5">
      <c r="A123" s="152">
        <v>8</v>
      </c>
      <c r="B123" s="159">
        <v>46036</v>
      </c>
      <c r="C123" s="160" t="s">
        <v>157</v>
      </c>
      <c r="D123" s="161">
        <v>70</v>
      </c>
      <c r="E123" s="162"/>
    </row>
    <row r="124" spans="1:5">
      <c r="A124" s="150">
        <v>9</v>
      </c>
      <c r="B124" s="155">
        <v>46036</v>
      </c>
      <c r="C124" s="156" t="s">
        <v>158</v>
      </c>
      <c r="D124" s="157">
        <v>70</v>
      </c>
      <c r="E124" s="158"/>
    </row>
    <row r="125" spans="1:5">
      <c r="A125" s="152">
        <v>10</v>
      </c>
      <c r="B125" s="159">
        <v>46037</v>
      </c>
      <c r="C125" s="160" t="s">
        <v>183</v>
      </c>
      <c r="D125" s="161">
        <v>70</v>
      </c>
      <c r="E125" s="162"/>
    </row>
    <row r="126" spans="1:5">
      <c r="A126" s="150">
        <v>11</v>
      </c>
      <c r="B126" s="155">
        <v>46038</v>
      </c>
      <c r="C126" s="156" t="s">
        <v>179</v>
      </c>
      <c r="D126" s="157">
        <v>70</v>
      </c>
      <c r="E126" s="158"/>
    </row>
    <row r="127" spans="1:5">
      <c r="A127" s="152">
        <v>12</v>
      </c>
      <c r="B127" s="159">
        <v>46038</v>
      </c>
      <c r="C127" s="160" t="s">
        <v>206</v>
      </c>
      <c r="D127" s="161">
        <v>140</v>
      </c>
      <c r="E127" s="162"/>
    </row>
    <row r="128" spans="1:5">
      <c r="A128" s="197" t="s">
        <v>805</v>
      </c>
      <c r="B128" s="198"/>
      <c r="C128" s="199"/>
      <c r="D128" s="163">
        <v>1057.5</v>
      </c>
      <c r="E128" s="164"/>
    </row>
    <row r="130" spans="1:5">
      <c r="A130" s="204" t="s">
        <v>806</v>
      </c>
      <c r="B130" s="178"/>
      <c r="C130" s="178"/>
      <c r="D130" s="178"/>
      <c r="E130" s="178"/>
    </row>
    <row r="131" spans="1:5">
      <c r="A131" s="154" t="s">
        <v>46</v>
      </c>
      <c r="B131" s="154"/>
      <c r="C131" s="154" t="s">
        <v>648</v>
      </c>
      <c r="D131" s="154" t="s">
        <v>807</v>
      </c>
      <c r="E131" s="154"/>
    </row>
    <row r="132" spans="1:5">
      <c r="A132" s="150">
        <v>1</v>
      </c>
      <c r="B132" s="158"/>
      <c r="C132" s="156" t="s">
        <v>204</v>
      </c>
      <c r="D132" s="157">
        <v>146.69999999999999</v>
      </c>
      <c r="E132" s="158"/>
    </row>
    <row r="133" spans="1:5">
      <c r="A133" s="152">
        <v>2</v>
      </c>
      <c r="B133" s="162"/>
      <c r="C133" s="160" t="s">
        <v>183</v>
      </c>
      <c r="D133" s="161">
        <v>114.6</v>
      </c>
      <c r="E133" s="162"/>
    </row>
    <row r="134" spans="1:5">
      <c r="A134" s="150">
        <v>3</v>
      </c>
      <c r="B134" s="158"/>
      <c r="C134" s="156" t="s">
        <v>205</v>
      </c>
      <c r="D134" s="157">
        <v>77.7</v>
      </c>
      <c r="E134" s="158"/>
    </row>
    <row r="135" spans="1:5">
      <c r="A135" s="152">
        <v>4</v>
      </c>
      <c r="B135" s="162"/>
      <c r="C135" s="160" t="s">
        <v>155</v>
      </c>
      <c r="D135" s="161">
        <v>38.4</v>
      </c>
      <c r="E135" s="162"/>
    </row>
    <row r="136" spans="1:5">
      <c r="A136" s="150">
        <v>5</v>
      </c>
      <c r="B136" s="158"/>
      <c r="C136" s="156" t="s">
        <v>144</v>
      </c>
      <c r="D136" s="157">
        <v>36</v>
      </c>
      <c r="E136" s="158"/>
    </row>
    <row r="137" spans="1:5">
      <c r="A137" s="152">
        <v>6</v>
      </c>
      <c r="B137" s="162"/>
      <c r="C137" s="160" t="s">
        <v>206</v>
      </c>
      <c r="D137" s="161">
        <v>18.8</v>
      </c>
      <c r="E137" s="162"/>
    </row>
    <row r="138" spans="1:5">
      <c r="A138" s="150">
        <v>7</v>
      </c>
      <c r="B138" s="158"/>
      <c r="C138" s="156" t="s">
        <v>143</v>
      </c>
      <c r="D138" s="157">
        <v>15.2</v>
      </c>
      <c r="E138" s="158"/>
    </row>
    <row r="139" spans="1:5">
      <c r="A139" s="152">
        <v>8</v>
      </c>
      <c r="B139" s="162"/>
      <c r="C139" s="160" t="s">
        <v>184</v>
      </c>
      <c r="D139" s="161">
        <v>15.2</v>
      </c>
      <c r="E139" s="162"/>
    </row>
    <row r="140" spans="1:5">
      <c r="A140" s="150">
        <v>9</v>
      </c>
      <c r="B140" s="158"/>
      <c r="C140" s="156" t="s">
        <v>174</v>
      </c>
      <c r="D140" s="157">
        <v>12</v>
      </c>
      <c r="E140" s="158"/>
    </row>
    <row r="141" spans="1:5">
      <c r="A141" s="152">
        <v>10</v>
      </c>
      <c r="B141" s="162"/>
      <c r="C141" s="160" t="s">
        <v>161</v>
      </c>
      <c r="D141" s="161">
        <v>8</v>
      </c>
      <c r="E141" s="162"/>
    </row>
    <row r="142" spans="1:5">
      <c r="A142" s="150">
        <v>11</v>
      </c>
      <c r="B142" s="158"/>
      <c r="C142" s="156" t="s">
        <v>222</v>
      </c>
      <c r="D142" s="157">
        <v>6.6</v>
      </c>
      <c r="E142" s="158"/>
    </row>
    <row r="143" spans="1:5">
      <c r="A143" s="152">
        <v>12</v>
      </c>
      <c r="B143" s="162"/>
      <c r="C143" s="160" t="s">
        <v>141</v>
      </c>
      <c r="D143" s="161">
        <v>6</v>
      </c>
      <c r="E143" s="162"/>
    </row>
    <row r="144" spans="1:5">
      <c r="A144" s="150">
        <v>13</v>
      </c>
      <c r="B144" s="158"/>
      <c r="C144" s="156" t="s">
        <v>179</v>
      </c>
      <c r="D144" s="157">
        <v>2.8</v>
      </c>
      <c r="E144" s="158"/>
    </row>
    <row r="145" spans="1:5">
      <c r="A145" s="152">
        <v>14</v>
      </c>
      <c r="B145" s="162"/>
      <c r="C145" s="160" t="s">
        <v>221</v>
      </c>
      <c r="D145" s="161">
        <v>2.6</v>
      </c>
      <c r="E145" s="162"/>
    </row>
    <row r="146" spans="1:5">
      <c r="A146" s="150">
        <v>15</v>
      </c>
      <c r="B146" s="158"/>
      <c r="C146" s="156" t="s">
        <v>147</v>
      </c>
      <c r="D146" s="157">
        <v>2.5</v>
      </c>
      <c r="E146" s="158"/>
    </row>
    <row r="147" spans="1:5">
      <c r="A147" s="152">
        <v>16</v>
      </c>
      <c r="B147" s="162"/>
      <c r="C147" s="160" t="s">
        <v>207</v>
      </c>
      <c r="D147" s="161">
        <v>2</v>
      </c>
      <c r="E147" s="162"/>
    </row>
    <row r="148" spans="1:5">
      <c r="A148" s="150">
        <v>17</v>
      </c>
      <c r="B148" s="158"/>
      <c r="C148" s="156" t="s">
        <v>169</v>
      </c>
      <c r="D148" s="157">
        <v>2</v>
      </c>
      <c r="E148" s="158"/>
    </row>
    <row r="149" spans="1:5">
      <c r="A149" s="152">
        <v>18</v>
      </c>
      <c r="B149" s="162"/>
      <c r="C149" s="160" t="s">
        <v>142</v>
      </c>
      <c r="D149" s="161">
        <v>1.5</v>
      </c>
      <c r="E149" s="162"/>
    </row>
    <row r="150" spans="1:5">
      <c r="A150" s="150">
        <v>19</v>
      </c>
      <c r="B150" s="158"/>
      <c r="C150" s="156" t="s">
        <v>146</v>
      </c>
      <c r="D150" s="157">
        <v>1.5</v>
      </c>
      <c r="E150" s="158"/>
    </row>
    <row r="151" spans="1:5">
      <c r="A151" s="152">
        <v>20</v>
      </c>
      <c r="B151" s="162"/>
      <c r="C151" s="160" t="s">
        <v>220</v>
      </c>
      <c r="D151" s="161">
        <v>1.5</v>
      </c>
      <c r="E151" s="162"/>
    </row>
    <row r="152" spans="1:5">
      <c r="A152" s="150">
        <v>21</v>
      </c>
      <c r="B152" s="158"/>
      <c r="C152" s="156" t="s">
        <v>145</v>
      </c>
      <c r="D152" s="157">
        <v>1</v>
      </c>
      <c r="E152" s="158"/>
    </row>
    <row r="153" spans="1:5">
      <c r="A153" s="152">
        <v>22</v>
      </c>
      <c r="B153" s="162"/>
      <c r="C153" s="160" t="s">
        <v>192</v>
      </c>
      <c r="D153" s="161">
        <v>1</v>
      </c>
      <c r="E153" s="162"/>
    </row>
    <row r="154" spans="1:5">
      <c r="A154" s="150">
        <v>23</v>
      </c>
      <c r="B154" s="158"/>
      <c r="C154" s="156" t="s">
        <v>181</v>
      </c>
      <c r="D154" s="157">
        <v>1</v>
      </c>
      <c r="E154" s="158"/>
    </row>
    <row r="155" spans="1:5">
      <c r="A155" s="152">
        <v>24</v>
      </c>
      <c r="B155" s="162"/>
      <c r="C155" s="160" t="s">
        <v>148</v>
      </c>
      <c r="D155" s="161">
        <v>0.9</v>
      </c>
      <c r="E155" s="162"/>
    </row>
    <row r="156" spans="1:5">
      <c r="A156" s="150">
        <v>25</v>
      </c>
      <c r="B156" s="158"/>
      <c r="C156" s="156" t="s">
        <v>159</v>
      </c>
      <c r="D156" s="157">
        <v>0.9</v>
      </c>
      <c r="E156" s="158"/>
    </row>
    <row r="157" spans="1:5">
      <c r="A157" s="152">
        <v>26</v>
      </c>
      <c r="B157" s="162"/>
      <c r="C157" s="160" t="s">
        <v>186</v>
      </c>
      <c r="D157" s="161">
        <v>0.9</v>
      </c>
      <c r="E157" s="162"/>
    </row>
    <row r="158" spans="1:5">
      <c r="A158" s="150">
        <v>27</v>
      </c>
      <c r="B158" s="158"/>
      <c r="C158" s="156" t="s">
        <v>195</v>
      </c>
      <c r="D158" s="157">
        <v>0.9</v>
      </c>
      <c r="E158" s="158"/>
    </row>
    <row r="159" spans="1:5">
      <c r="A159" s="152">
        <v>28</v>
      </c>
      <c r="B159" s="162"/>
      <c r="C159" s="160" t="s">
        <v>219</v>
      </c>
      <c r="D159" s="161">
        <v>0.9</v>
      </c>
      <c r="E159" s="162"/>
    </row>
    <row r="160" spans="1:5">
      <c r="A160" s="197" t="s">
        <v>805</v>
      </c>
      <c r="B160" s="198"/>
      <c r="C160" s="199"/>
      <c r="D160" s="163">
        <v>519.20000000000005</v>
      </c>
      <c r="E160" s="164"/>
    </row>
    <row r="162" spans="1:5">
      <c r="A162" s="205" t="s">
        <v>808</v>
      </c>
      <c r="B162" s="178"/>
      <c r="C162" s="178"/>
      <c r="D162" s="178"/>
      <c r="E162" s="178"/>
    </row>
    <row r="163" spans="1:5">
      <c r="A163" s="154" t="s">
        <v>46</v>
      </c>
      <c r="B163" s="154" t="s">
        <v>803</v>
      </c>
      <c r="C163" s="154" t="s">
        <v>140</v>
      </c>
      <c r="D163" s="154" t="s">
        <v>809</v>
      </c>
      <c r="E163" s="154"/>
    </row>
    <row r="164" spans="1:5">
      <c r="A164" s="150">
        <v>1</v>
      </c>
      <c r="B164" s="155">
        <v>46035</v>
      </c>
      <c r="C164" s="156" t="s">
        <v>120</v>
      </c>
      <c r="D164" s="157">
        <v>200</v>
      </c>
      <c r="E164" s="158"/>
    </row>
    <row r="165" spans="1:5">
      <c r="A165" s="152">
        <v>2</v>
      </c>
      <c r="B165" s="159">
        <v>46036</v>
      </c>
      <c r="C165" s="160" t="s">
        <v>92</v>
      </c>
      <c r="D165" s="161">
        <v>48</v>
      </c>
      <c r="E165" s="162"/>
    </row>
    <row r="166" spans="1:5">
      <c r="A166" s="150">
        <v>3</v>
      </c>
      <c r="B166" s="155">
        <v>46036</v>
      </c>
      <c r="C166" s="156" t="s">
        <v>120</v>
      </c>
      <c r="D166" s="157">
        <v>2000</v>
      </c>
      <c r="E166" s="158"/>
    </row>
    <row r="167" spans="1:5">
      <c r="A167" s="152">
        <v>4</v>
      </c>
      <c r="B167" s="159">
        <v>46037</v>
      </c>
      <c r="C167" s="160" t="s">
        <v>71</v>
      </c>
      <c r="D167" s="161">
        <v>20</v>
      </c>
      <c r="E167" s="162"/>
    </row>
    <row r="168" spans="1:5">
      <c r="A168" s="150">
        <v>5</v>
      </c>
      <c r="B168" s="155">
        <v>46037</v>
      </c>
      <c r="C168" s="156" t="s">
        <v>130</v>
      </c>
      <c r="D168" s="157">
        <v>54</v>
      </c>
      <c r="E168" s="158"/>
    </row>
    <row r="169" spans="1:5">
      <c r="A169" s="152">
        <v>6</v>
      </c>
      <c r="B169" s="159">
        <v>46038</v>
      </c>
      <c r="C169" s="160" t="s">
        <v>68</v>
      </c>
      <c r="D169" s="161">
        <v>144</v>
      </c>
      <c r="E169" s="162"/>
    </row>
    <row r="170" spans="1:5">
      <c r="A170" s="150">
        <v>7</v>
      </c>
      <c r="B170" s="155">
        <v>46038</v>
      </c>
      <c r="C170" s="156" t="s">
        <v>68</v>
      </c>
      <c r="D170" s="157">
        <v>10</v>
      </c>
      <c r="E170" s="158"/>
    </row>
    <row r="171" spans="1:5">
      <c r="A171" s="152">
        <v>8</v>
      </c>
      <c r="B171" s="159">
        <v>46038</v>
      </c>
      <c r="C171" s="160" t="s">
        <v>84</v>
      </c>
      <c r="D171" s="161">
        <v>2.5</v>
      </c>
      <c r="E171" s="162"/>
    </row>
    <row r="172" spans="1:5">
      <c r="A172" s="150">
        <v>9</v>
      </c>
      <c r="B172" s="155">
        <v>46038</v>
      </c>
      <c r="C172" s="156" t="s">
        <v>97</v>
      </c>
      <c r="D172" s="157">
        <v>36</v>
      </c>
      <c r="E172" s="158"/>
    </row>
    <row r="173" spans="1:5">
      <c r="A173" s="152">
        <v>10</v>
      </c>
      <c r="B173" s="159">
        <v>46038</v>
      </c>
      <c r="C173" s="160" t="s">
        <v>111</v>
      </c>
      <c r="D173" s="161">
        <v>2</v>
      </c>
      <c r="E173" s="162"/>
    </row>
    <row r="174" spans="1:5">
      <c r="A174" s="150">
        <v>11</v>
      </c>
      <c r="B174" s="155">
        <v>46038</v>
      </c>
      <c r="C174" s="156" t="s">
        <v>132</v>
      </c>
      <c r="D174" s="157">
        <v>18</v>
      </c>
      <c r="E174" s="158"/>
    </row>
    <row r="175" spans="1:5">
      <c r="A175" s="152">
        <v>12</v>
      </c>
      <c r="B175" s="159">
        <v>46039</v>
      </c>
      <c r="C175" s="160" t="s">
        <v>62</v>
      </c>
      <c r="D175" s="161">
        <v>4</v>
      </c>
      <c r="E175" s="162"/>
    </row>
    <row r="176" spans="1:5">
      <c r="A176" s="150">
        <v>13</v>
      </c>
      <c r="B176" s="155">
        <v>46039</v>
      </c>
      <c r="C176" s="156" t="s">
        <v>74</v>
      </c>
      <c r="D176" s="157">
        <v>1</v>
      </c>
      <c r="E176" s="158"/>
    </row>
    <row r="177" spans="1:5">
      <c r="A177" s="152">
        <v>14</v>
      </c>
      <c r="B177" s="159">
        <v>46039</v>
      </c>
      <c r="C177" s="160" t="s">
        <v>92</v>
      </c>
      <c r="D177" s="161">
        <v>48</v>
      </c>
      <c r="E177" s="162"/>
    </row>
    <row r="178" spans="1:5">
      <c r="A178" s="150">
        <v>15</v>
      </c>
      <c r="B178" s="155">
        <v>46039</v>
      </c>
      <c r="C178" s="156" t="s">
        <v>97</v>
      </c>
      <c r="D178" s="157">
        <v>84</v>
      </c>
      <c r="E178" s="158"/>
    </row>
    <row r="179" spans="1:5">
      <c r="A179" s="152">
        <v>16</v>
      </c>
      <c r="B179" s="159">
        <v>46039</v>
      </c>
      <c r="C179" s="160" t="s">
        <v>107</v>
      </c>
      <c r="D179" s="161">
        <v>0.5</v>
      </c>
      <c r="E179" s="162"/>
    </row>
    <row r="180" spans="1:5">
      <c r="A180" s="150">
        <v>17</v>
      </c>
      <c r="B180" s="155">
        <v>46039</v>
      </c>
      <c r="C180" s="156" t="s">
        <v>122</v>
      </c>
      <c r="D180" s="157">
        <v>20</v>
      </c>
      <c r="E180" s="158"/>
    </row>
    <row r="181" spans="1:5">
      <c r="A181" s="152">
        <v>18</v>
      </c>
      <c r="B181" s="159">
        <v>46039</v>
      </c>
      <c r="C181" s="160" t="s">
        <v>132</v>
      </c>
      <c r="D181" s="161">
        <v>10</v>
      </c>
      <c r="E181" s="162"/>
    </row>
    <row r="182" spans="1:5">
      <c r="A182" s="197" t="s">
        <v>805</v>
      </c>
      <c r="B182" s="198"/>
      <c r="C182" s="199"/>
      <c r="D182" s="163">
        <v>2702</v>
      </c>
      <c r="E182" s="164"/>
    </row>
    <row r="184" spans="1:5" ht="39.950000000000003" customHeight="1">
      <c r="A184" s="201" t="s">
        <v>818</v>
      </c>
      <c r="B184" s="178"/>
      <c r="C184" s="178"/>
      <c r="D184" s="178"/>
      <c r="E184" s="178"/>
    </row>
    <row r="185" spans="1:5">
      <c r="A185" s="203" t="s">
        <v>795</v>
      </c>
      <c r="B185" s="178"/>
      <c r="C185" s="178"/>
      <c r="D185" s="178"/>
      <c r="E185" s="178"/>
    </row>
    <row r="186" spans="1:5">
      <c r="A186" s="150">
        <v>1</v>
      </c>
      <c r="B186" s="202" t="s">
        <v>796</v>
      </c>
      <c r="C186" s="199"/>
      <c r="D186" s="151">
        <v>2560</v>
      </c>
      <c r="E186" s="150" t="s">
        <v>819</v>
      </c>
    </row>
    <row r="187" spans="1:5">
      <c r="A187" s="152">
        <v>2</v>
      </c>
      <c r="B187" s="206" t="s">
        <v>798</v>
      </c>
      <c r="C187" s="199"/>
      <c r="D187" s="153">
        <v>1131.8</v>
      </c>
      <c r="E187" s="152" t="s">
        <v>820</v>
      </c>
    </row>
    <row r="188" spans="1:5">
      <c r="A188" s="150">
        <v>3</v>
      </c>
      <c r="B188" s="202" t="s">
        <v>800</v>
      </c>
      <c r="C188" s="199"/>
      <c r="D188" s="151">
        <v>3306</v>
      </c>
      <c r="E188" s="150" t="s">
        <v>821</v>
      </c>
    </row>
    <row r="190" spans="1:5">
      <c r="A190" s="200" t="s">
        <v>802</v>
      </c>
      <c r="B190" s="178"/>
      <c r="C190" s="178"/>
      <c r="D190" s="178"/>
      <c r="E190" s="178"/>
    </row>
    <row r="191" spans="1:5">
      <c r="A191" s="154" t="s">
        <v>46</v>
      </c>
      <c r="B191" s="154" t="s">
        <v>803</v>
      </c>
      <c r="C191" s="154" t="s">
        <v>648</v>
      </c>
      <c r="D191" s="154" t="s">
        <v>804</v>
      </c>
      <c r="E191" s="154"/>
    </row>
    <row r="192" spans="1:5">
      <c r="A192" s="150">
        <v>1</v>
      </c>
      <c r="B192" s="155">
        <v>46041</v>
      </c>
      <c r="C192" s="156" t="s">
        <v>149</v>
      </c>
      <c r="D192" s="157">
        <v>220</v>
      </c>
      <c r="E192" s="158"/>
    </row>
    <row r="193" spans="1:5">
      <c r="A193" s="152">
        <v>2</v>
      </c>
      <c r="B193" s="159">
        <v>46041</v>
      </c>
      <c r="C193" s="160" t="s">
        <v>152</v>
      </c>
      <c r="D193" s="161">
        <v>220</v>
      </c>
      <c r="E193" s="162"/>
    </row>
    <row r="194" spans="1:5">
      <c r="A194" s="150">
        <v>3</v>
      </c>
      <c r="B194" s="155">
        <v>46041</v>
      </c>
      <c r="C194" s="156" t="s">
        <v>153</v>
      </c>
      <c r="D194" s="157">
        <v>220</v>
      </c>
      <c r="E194" s="158"/>
    </row>
    <row r="195" spans="1:5">
      <c r="A195" s="152">
        <v>4</v>
      </c>
      <c r="B195" s="159">
        <v>46042</v>
      </c>
      <c r="C195" s="160" t="s">
        <v>150</v>
      </c>
      <c r="D195" s="161">
        <v>220</v>
      </c>
      <c r="E195" s="162"/>
    </row>
    <row r="196" spans="1:5">
      <c r="A196" s="150">
        <v>5</v>
      </c>
      <c r="B196" s="155">
        <v>46042</v>
      </c>
      <c r="C196" s="156" t="s">
        <v>151</v>
      </c>
      <c r="D196" s="157">
        <v>220</v>
      </c>
      <c r="E196" s="158"/>
    </row>
    <row r="197" spans="1:5">
      <c r="A197" s="152">
        <v>6</v>
      </c>
      <c r="B197" s="159">
        <v>46042</v>
      </c>
      <c r="C197" s="160" t="s">
        <v>154</v>
      </c>
      <c r="D197" s="161">
        <v>220</v>
      </c>
      <c r="E197" s="162"/>
    </row>
    <row r="198" spans="1:5">
      <c r="A198" s="150">
        <v>7</v>
      </c>
      <c r="B198" s="155">
        <v>46044</v>
      </c>
      <c r="C198" s="156" t="s">
        <v>144</v>
      </c>
      <c r="D198" s="157">
        <v>140</v>
      </c>
      <c r="E198" s="158"/>
    </row>
    <row r="199" spans="1:5">
      <c r="A199" s="152">
        <v>8</v>
      </c>
      <c r="B199" s="159">
        <v>46044</v>
      </c>
      <c r="C199" s="160" t="s">
        <v>191</v>
      </c>
      <c r="D199" s="161">
        <v>550</v>
      </c>
      <c r="E199" s="162"/>
    </row>
    <row r="200" spans="1:5">
      <c r="A200" s="150">
        <v>9</v>
      </c>
      <c r="B200" s="155">
        <v>46045</v>
      </c>
      <c r="C200" s="156" t="s">
        <v>191</v>
      </c>
      <c r="D200" s="157">
        <v>550</v>
      </c>
      <c r="E200" s="158"/>
    </row>
    <row r="201" spans="1:5">
      <c r="A201" s="197" t="s">
        <v>805</v>
      </c>
      <c r="B201" s="198"/>
      <c r="C201" s="199"/>
      <c r="D201" s="163">
        <v>2560</v>
      </c>
      <c r="E201" s="164"/>
    </row>
    <row r="203" spans="1:5">
      <c r="A203" s="204" t="s">
        <v>806</v>
      </c>
      <c r="B203" s="178"/>
      <c r="C203" s="178"/>
      <c r="D203" s="178"/>
      <c r="E203" s="178"/>
    </row>
    <row r="204" spans="1:5">
      <c r="A204" s="154" t="s">
        <v>46</v>
      </c>
      <c r="B204" s="154"/>
      <c r="C204" s="154" t="s">
        <v>648</v>
      </c>
      <c r="D204" s="154" t="s">
        <v>807</v>
      </c>
      <c r="E204" s="154"/>
    </row>
    <row r="205" spans="1:5">
      <c r="A205" s="150">
        <v>1</v>
      </c>
      <c r="B205" s="158"/>
      <c r="C205" s="156" t="s">
        <v>204</v>
      </c>
      <c r="D205" s="157">
        <v>184.2</v>
      </c>
      <c r="E205" s="158"/>
    </row>
    <row r="206" spans="1:5">
      <c r="A206" s="152">
        <v>2</v>
      </c>
      <c r="B206" s="162"/>
      <c r="C206" s="160" t="s">
        <v>150</v>
      </c>
      <c r="D206" s="161">
        <v>112.3</v>
      </c>
      <c r="E206" s="162"/>
    </row>
    <row r="207" spans="1:5">
      <c r="A207" s="150">
        <v>3</v>
      </c>
      <c r="B207" s="158"/>
      <c r="C207" s="156" t="s">
        <v>152</v>
      </c>
      <c r="D207" s="157">
        <v>108</v>
      </c>
      <c r="E207" s="158"/>
    </row>
    <row r="208" spans="1:5">
      <c r="A208" s="152">
        <v>4</v>
      </c>
      <c r="B208" s="162"/>
      <c r="C208" s="160" t="s">
        <v>183</v>
      </c>
      <c r="D208" s="161">
        <v>103.8</v>
      </c>
      <c r="E208" s="162"/>
    </row>
    <row r="209" spans="1:5">
      <c r="A209" s="150">
        <v>5</v>
      </c>
      <c r="B209" s="158"/>
      <c r="C209" s="156" t="s">
        <v>154</v>
      </c>
      <c r="D209" s="157">
        <v>97.6</v>
      </c>
      <c r="E209" s="158"/>
    </row>
    <row r="210" spans="1:5">
      <c r="A210" s="152">
        <v>6</v>
      </c>
      <c r="B210" s="162"/>
      <c r="C210" s="160" t="s">
        <v>149</v>
      </c>
      <c r="D210" s="161">
        <v>94</v>
      </c>
      <c r="E210" s="162"/>
    </row>
    <row r="211" spans="1:5">
      <c r="A211" s="150">
        <v>7</v>
      </c>
      <c r="B211" s="158"/>
      <c r="C211" s="156" t="s">
        <v>205</v>
      </c>
      <c r="D211" s="157">
        <v>83.4</v>
      </c>
      <c r="E211" s="158"/>
    </row>
    <row r="212" spans="1:5">
      <c r="A212" s="152">
        <v>8</v>
      </c>
      <c r="B212" s="162"/>
      <c r="C212" s="160" t="s">
        <v>153</v>
      </c>
      <c r="D212" s="161">
        <v>78.8</v>
      </c>
      <c r="E212" s="162"/>
    </row>
    <row r="213" spans="1:5">
      <c r="A213" s="150">
        <v>9</v>
      </c>
      <c r="B213" s="158"/>
      <c r="C213" s="156" t="s">
        <v>151</v>
      </c>
      <c r="D213" s="157">
        <v>61.2</v>
      </c>
      <c r="E213" s="158"/>
    </row>
    <row r="214" spans="1:5">
      <c r="A214" s="152">
        <v>10</v>
      </c>
      <c r="B214" s="162"/>
      <c r="C214" s="160" t="s">
        <v>143</v>
      </c>
      <c r="D214" s="161">
        <v>45.1</v>
      </c>
      <c r="E214" s="162"/>
    </row>
    <row r="215" spans="1:5">
      <c r="A215" s="150">
        <v>11</v>
      </c>
      <c r="B215" s="158"/>
      <c r="C215" s="156" t="s">
        <v>144</v>
      </c>
      <c r="D215" s="157">
        <v>43</v>
      </c>
      <c r="E215" s="158"/>
    </row>
    <row r="216" spans="1:5">
      <c r="A216" s="152">
        <v>12</v>
      </c>
      <c r="B216" s="162"/>
      <c r="C216" s="160" t="s">
        <v>184</v>
      </c>
      <c r="D216" s="161">
        <v>23.1</v>
      </c>
      <c r="E216" s="162"/>
    </row>
    <row r="217" spans="1:5">
      <c r="A217" s="150">
        <v>13</v>
      </c>
      <c r="B217" s="158"/>
      <c r="C217" s="156" t="s">
        <v>155</v>
      </c>
      <c r="D217" s="157">
        <v>22</v>
      </c>
      <c r="E217" s="158"/>
    </row>
    <row r="218" spans="1:5">
      <c r="A218" s="152">
        <v>14</v>
      </c>
      <c r="B218" s="162"/>
      <c r="C218" s="160" t="s">
        <v>174</v>
      </c>
      <c r="D218" s="161">
        <v>18</v>
      </c>
      <c r="E218" s="162"/>
    </row>
    <row r="219" spans="1:5">
      <c r="A219" s="150">
        <v>15</v>
      </c>
      <c r="B219" s="158"/>
      <c r="C219" s="156" t="s">
        <v>181</v>
      </c>
      <c r="D219" s="157">
        <v>13</v>
      </c>
      <c r="E219" s="158"/>
    </row>
    <row r="220" spans="1:5">
      <c r="A220" s="152">
        <v>16</v>
      </c>
      <c r="B220" s="162"/>
      <c r="C220" s="160" t="s">
        <v>206</v>
      </c>
      <c r="D220" s="161">
        <v>8.1</v>
      </c>
      <c r="E220" s="162"/>
    </row>
    <row r="221" spans="1:5">
      <c r="A221" s="150">
        <v>17</v>
      </c>
      <c r="B221" s="158"/>
      <c r="C221" s="156" t="s">
        <v>222</v>
      </c>
      <c r="D221" s="157">
        <v>6</v>
      </c>
      <c r="E221" s="158"/>
    </row>
    <row r="222" spans="1:5">
      <c r="A222" s="152">
        <v>18</v>
      </c>
      <c r="B222" s="162"/>
      <c r="C222" s="160" t="s">
        <v>179</v>
      </c>
      <c r="D222" s="161">
        <v>4.8</v>
      </c>
      <c r="E222" s="162"/>
    </row>
    <row r="223" spans="1:5">
      <c r="A223" s="150">
        <v>19</v>
      </c>
      <c r="B223" s="158"/>
      <c r="C223" s="156" t="s">
        <v>147</v>
      </c>
      <c r="D223" s="157">
        <v>4</v>
      </c>
      <c r="E223" s="158"/>
    </row>
    <row r="224" spans="1:5">
      <c r="A224" s="152">
        <v>20</v>
      </c>
      <c r="B224" s="162"/>
      <c r="C224" s="160" t="s">
        <v>161</v>
      </c>
      <c r="D224" s="161">
        <v>4</v>
      </c>
      <c r="E224" s="162"/>
    </row>
    <row r="225" spans="1:5">
      <c r="A225" s="150">
        <v>21</v>
      </c>
      <c r="B225" s="158"/>
      <c r="C225" s="156" t="s">
        <v>141</v>
      </c>
      <c r="D225" s="157">
        <v>3.6</v>
      </c>
      <c r="E225" s="158"/>
    </row>
    <row r="226" spans="1:5">
      <c r="A226" s="152">
        <v>22</v>
      </c>
      <c r="B226" s="162"/>
      <c r="C226" s="160" t="s">
        <v>220</v>
      </c>
      <c r="D226" s="161">
        <v>3</v>
      </c>
      <c r="E226" s="162"/>
    </row>
    <row r="227" spans="1:5">
      <c r="A227" s="150">
        <v>23</v>
      </c>
      <c r="B227" s="158"/>
      <c r="C227" s="156" t="s">
        <v>142</v>
      </c>
      <c r="D227" s="157">
        <v>2</v>
      </c>
      <c r="E227" s="158"/>
    </row>
    <row r="228" spans="1:5">
      <c r="A228" s="152">
        <v>24</v>
      </c>
      <c r="B228" s="162"/>
      <c r="C228" s="160" t="s">
        <v>146</v>
      </c>
      <c r="D228" s="161">
        <v>2</v>
      </c>
      <c r="E228" s="162"/>
    </row>
    <row r="229" spans="1:5">
      <c r="A229" s="150">
        <v>25</v>
      </c>
      <c r="B229" s="158"/>
      <c r="C229" s="156" t="s">
        <v>221</v>
      </c>
      <c r="D229" s="157">
        <v>2</v>
      </c>
      <c r="E229" s="158"/>
    </row>
    <row r="230" spans="1:5">
      <c r="A230" s="152">
        <v>26</v>
      </c>
      <c r="B230" s="162"/>
      <c r="C230" s="160" t="s">
        <v>207</v>
      </c>
      <c r="D230" s="161">
        <v>2</v>
      </c>
      <c r="E230" s="162"/>
    </row>
    <row r="231" spans="1:5">
      <c r="A231" s="150">
        <v>27</v>
      </c>
      <c r="B231" s="158"/>
      <c r="C231" s="156" t="s">
        <v>173</v>
      </c>
      <c r="D231" s="157">
        <v>1</v>
      </c>
      <c r="E231" s="158"/>
    </row>
    <row r="232" spans="1:5">
      <c r="A232" s="152">
        <v>28</v>
      </c>
      <c r="B232" s="162"/>
      <c r="C232" s="160" t="s">
        <v>212</v>
      </c>
      <c r="D232" s="161">
        <v>1</v>
      </c>
      <c r="E232" s="162"/>
    </row>
    <row r="233" spans="1:5">
      <c r="A233" s="150">
        <v>29</v>
      </c>
      <c r="B233" s="158"/>
      <c r="C233" s="156" t="s">
        <v>145</v>
      </c>
      <c r="D233" s="157">
        <v>0.1</v>
      </c>
      <c r="E233" s="158"/>
    </row>
    <row r="234" spans="1:5">
      <c r="A234" s="152">
        <v>30</v>
      </c>
      <c r="B234" s="162"/>
      <c r="C234" s="160" t="s">
        <v>148</v>
      </c>
      <c r="D234" s="161">
        <v>0.1</v>
      </c>
      <c r="E234" s="162"/>
    </row>
    <row r="235" spans="1:5">
      <c r="A235" s="150">
        <v>31</v>
      </c>
      <c r="B235" s="158"/>
      <c r="C235" s="156" t="s">
        <v>159</v>
      </c>
      <c r="D235" s="157">
        <v>0.1</v>
      </c>
      <c r="E235" s="158"/>
    </row>
    <row r="236" spans="1:5">
      <c r="A236" s="152">
        <v>32</v>
      </c>
      <c r="B236" s="162"/>
      <c r="C236" s="160" t="s">
        <v>186</v>
      </c>
      <c r="D236" s="161">
        <v>0.1</v>
      </c>
      <c r="E236" s="162"/>
    </row>
    <row r="237" spans="1:5">
      <c r="A237" s="150">
        <v>33</v>
      </c>
      <c r="B237" s="158"/>
      <c r="C237" s="156" t="s">
        <v>192</v>
      </c>
      <c r="D237" s="157">
        <v>0.1</v>
      </c>
      <c r="E237" s="158"/>
    </row>
    <row r="238" spans="1:5">
      <c r="A238" s="152">
        <v>34</v>
      </c>
      <c r="B238" s="162"/>
      <c r="C238" s="160" t="s">
        <v>195</v>
      </c>
      <c r="D238" s="161">
        <v>0.1</v>
      </c>
      <c r="E238" s="162"/>
    </row>
    <row r="239" spans="1:5">
      <c r="A239" s="150">
        <v>35</v>
      </c>
      <c r="B239" s="158"/>
      <c r="C239" s="156" t="s">
        <v>219</v>
      </c>
      <c r="D239" s="157">
        <v>0.1</v>
      </c>
      <c r="E239" s="158"/>
    </row>
    <row r="240" spans="1:5">
      <c r="A240" s="197" t="s">
        <v>805</v>
      </c>
      <c r="B240" s="198"/>
      <c r="C240" s="199"/>
      <c r="D240" s="163">
        <v>1131.8</v>
      </c>
      <c r="E240" s="164"/>
    </row>
    <row r="242" spans="1:5">
      <c r="A242" s="205" t="s">
        <v>808</v>
      </c>
      <c r="B242" s="178"/>
      <c r="C242" s="178"/>
      <c r="D242" s="178"/>
      <c r="E242" s="178"/>
    </row>
    <row r="243" spans="1:5">
      <c r="A243" s="154" t="s">
        <v>46</v>
      </c>
      <c r="B243" s="154" t="s">
        <v>803</v>
      </c>
      <c r="C243" s="154" t="s">
        <v>140</v>
      </c>
      <c r="D243" s="154" t="s">
        <v>809</v>
      </c>
      <c r="E243" s="154"/>
    </row>
    <row r="244" spans="1:5">
      <c r="A244" s="150">
        <v>1</v>
      </c>
      <c r="B244" s="155">
        <v>46041</v>
      </c>
      <c r="C244" s="156" t="s">
        <v>92</v>
      </c>
      <c r="D244" s="157">
        <v>72</v>
      </c>
      <c r="E244" s="158"/>
    </row>
    <row r="245" spans="1:5">
      <c r="A245" s="152">
        <v>2</v>
      </c>
      <c r="B245" s="159">
        <v>46041</v>
      </c>
      <c r="C245" s="160" t="s">
        <v>99</v>
      </c>
      <c r="D245" s="161">
        <v>300</v>
      </c>
      <c r="E245" s="162"/>
    </row>
    <row r="246" spans="1:5">
      <c r="A246" s="150">
        <v>3</v>
      </c>
      <c r="B246" s="155">
        <v>46041</v>
      </c>
      <c r="C246" s="156" t="s">
        <v>115</v>
      </c>
      <c r="D246" s="157">
        <v>400</v>
      </c>
      <c r="E246" s="158"/>
    </row>
    <row r="247" spans="1:5">
      <c r="A247" s="152">
        <v>4</v>
      </c>
      <c r="B247" s="159">
        <v>46042</v>
      </c>
      <c r="C247" s="160" t="s">
        <v>73</v>
      </c>
      <c r="D247" s="161">
        <v>2</v>
      </c>
      <c r="E247" s="162"/>
    </row>
    <row r="248" spans="1:5">
      <c r="A248" s="150">
        <v>5</v>
      </c>
      <c r="B248" s="155">
        <v>46043</v>
      </c>
      <c r="C248" s="156" t="s">
        <v>99</v>
      </c>
      <c r="D248" s="157">
        <v>1260</v>
      </c>
      <c r="E248" s="158"/>
    </row>
    <row r="249" spans="1:5">
      <c r="A249" s="152">
        <v>6</v>
      </c>
      <c r="B249" s="159">
        <v>46043</v>
      </c>
      <c r="C249" s="160" t="s">
        <v>108</v>
      </c>
      <c r="D249" s="161">
        <v>80</v>
      </c>
      <c r="E249" s="162"/>
    </row>
    <row r="250" spans="1:5">
      <c r="A250" s="150">
        <v>7</v>
      </c>
      <c r="B250" s="155">
        <v>46043</v>
      </c>
      <c r="C250" s="156" t="s">
        <v>134</v>
      </c>
      <c r="D250" s="157">
        <v>1000</v>
      </c>
      <c r="E250" s="158"/>
    </row>
    <row r="251" spans="1:5">
      <c r="A251" s="152">
        <v>8</v>
      </c>
      <c r="B251" s="159">
        <v>46044</v>
      </c>
      <c r="C251" s="160" t="s">
        <v>84</v>
      </c>
      <c r="D251" s="161">
        <v>60</v>
      </c>
      <c r="E251" s="162"/>
    </row>
    <row r="252" spans="1:5">
      <c r="A252" s="150">
        <v>9</v>
      </c>
      <c r="B252" s="155">
        <v>46044</v>
      </c>
      <c r="C252" s="156" t="s">
        <v>92</v>
      </c>
      <c r="D252" s="157">
        <v>72</v>
      </c>
      <c r="E252" s="158"/>
    </row>
    <row r="253" spans="1:5">
      <c r="A253" s="152">
        <v>10</v>
      </c>
      <c r="B253" s="159">
        <v>46046</v>
      </c>
      <c r="C253" s="160" t="s">
        <v>115</v>
      </c>
      <c r="D253" s="161">
        <v>60</v>
      </c>
      <c r="E253" s="162"/>
    </row>
    <row r="254" spans="1:5">
      <c r="A254" s="197" t="s">
        <v>805</v>
      </c>
      <c r="B254" s="198"/>
      <c r="C254" s="199"/>
      <c r="D254" s="163">
        <v>3306</v>
      </c>
      <c r="E254" s="164"/>
    </row>
    <row r="256" spans="1:5" ht="39.950000000000003" customHeight="1">
      <c r="A256" s="201" t="s">
        <v>822</v>
      </c>
      <c r="B256" s="178"/>
      <c r="C256" s="178"/>
      <c r="D256" s="178"/>
      <c r="E256" s="178"/>
    </row>
    <row r="257" spans="1:5">
      <c r="A257" s="203" t="s">
        <v>795</v>
      </c>
      <c r="B257" s="178"/>
      <c r="C257" s="178"/>
      <c r="D257" s="178"/>
      <c r="E257" s="178"/>
    </row>
    <row r="258" spans="1:5">
      <c r="A258" s="150">
        <v>1</v>
      </c>
      <c r="B258" s="202" t="s">
        <v>796</v>
      </c>
      <c r="C258" s="199"/>
      <c r="D258" s="151">
        <v>5500</v>
      </c>
      <c r="E258" s="150" t="s">
        <v>823</v>
      </c>
    </row>
    <row r="259" spans="1:5">
      <c r="A259" s="152">
        <v>2</v>
      </c>
      <c r="B259" s="206" t="s">
        <v>798</v>
      </c>
      <c r="C259" s="199"/>
      <c r="D259" s="153">
        <v>5640.4</v>
      </c>
      <c r="E259" s="152" t="s">
        <v>824</v>
      </c>
    </row>
    <row r="260" spans="1:5">
      <c r="A260" s="150">
        <v>3</v>
      </c>
      <c r="B260" s="202" t="s">
        <v>800</v>
      </c>
      <c r="C260" s="199"/>
      <c r="D260" s="151">
        <v>6428</v>
      </c>
      <c r="E260" s="150" t="s">
        <v>819</v>
      </c>
    </row>
    <row r="262" spans="1:5">
      <c r="A262" s="200" t="s">
        <v>802</v>
      </c>
      <c r="B262" s="178"/>
      <c r="C262" s="178"/>
      <c r="D262" s="178"/>
      <c r="E262" s="178"/>
    </row>
    <row r="263" spans="1:5">
      <c r="A263" s="154" t="s">
        <v>46</v>
      </c>
      <c r="B263" s="154" t="s">
        <v>803</v>
      </c>
      <c r="C263" s="154" t="s">
        <v>648</v>
      </c>
      <c r="D263" s="154" t="s">
        <v>804</v>
      </c>
      <c r="E263" s="154"/>
    </row>
    <row r="264" spans="1:5">
      <c r="A264" s="150">
        <v>1</v>
      </c>
      <c r="B264" s="155">
        <v>46048</v>
      </c>
      <c r="C264" s="156" t="s">
        <v>183</v>
      </c>
      <c r="D264" s="157">
        <v>220</v>
      </c>
      <c r="E264" s="158"/>
    </row>
    <row r="265" spans="1:5">
      <c r="A265" s="152">
        <v>2</v>
      </c>
      <c r="B265" s="159">
        <v>46048</v>
      </c>
      <c r="C265" s="160" t="s">
        <v>191</v>
      </c>
      <c r="D265" s="161">
        <v>660</v>
      </c>
      <c r="E265" s="162"/>
    </row>
    <row r="266" spans="1:5">
      <c r="A266" s="150">
        <v>3</v>
      </c>
      <c r="B266" s="155">
        <v>46048</v>
      </c>
      <c r="C266" s="156" t="s">
        <v>204</v>
      </c>
      <c r="D266" s="157">
        <v>110</v>
      </c>
      <c r="E266" s="158"/>
    </row>
    <row r="267" spans="1:5">
      <c r="A267" s="152">
        <v>4</v>
      </c>
      <c r="B267" s="159">
        <v>46048</v>
      </c>
      <c r="C267" s="160" t="s">
        <v>205</v>
      </c>
      <c r="D267" s="161">
        <v>110</v>
      </c>
      <c r="E267" s="162"/>
    </row>
    <row r="268" spans="1:5">
      <c r="A268" s="150">
        <v>5</v>
      </c>
      <c r="B268" s="155">
        <v>46049</v>
      </c>
      <c r="C268" s="156" t="s">
        <v>191</v>
      </c>
      <c r="D268" s="157">
        <v>990</v>
      </c>
      <c r="E268" s="158"/>
    </row>
    <row r="269" spans="1:5">
      <c r="A269" s="152">
        <v>6</v>
      </c>
      <c r="B269" s="159">
        <v>46049</v>
      </c>
      <c r="C269" s="160" t="s">
        <v>205</v>
      </c>
      <c r="D269" s="161">
        <v>110</v>
      </c>
      <c r="E269" s="162"/>
    </row>
    <row r="270" spans="1:5">
      <c r="A270" s="150">
        <v>7</v>
      </c>
      <c r="B270" s="155">
        <v>46050</v>
      </c>
      <c r="C270" s="156" t="s">
        <v>155</v>
      </c>
      <c r="D270" s="157">
        <v>110</v>
      </c>
      <c r="E270" s="158"/>
    </row>
    <row r="271" spans="1:5">
      <c r="A271" s="152">
        <v>8</v>
      </c>
      <c r="B271" s="159">
        <v>46050</v>
      </c>
      <c r="C271" s="160" t="s">
        <v>191</v>
      </c>
      <c r="D271" s="161">
        <v>990</v>
      </c>
      <c r="E271" s="162"/>
    </row>
    <row r="272" spans="1:5">
      <c r="A272" s="150">
        <v>9</v>
      </c>
      <c r="B272" s="155">
        <v>46051</v>
      </c>
      <c r="C272" s="156" t="s">
        <v>191</v>
      </c>
      <c r="D272" s="157">
        <v>990</v>
      </c>
      <c r="E272" s="158"/>
    </row>
    <row r="273" spans="1:5">
      <c r="A273" s="152">
        <v>10</v>
      </c>
      <c r="B273" s="159">
        <v>46051</v>
      </c>
      <c r="C273" s="160" t="s">
        <v>204</v>
      </c>
      <c r="D273" s="161">
        <v>110</v>
      </c>
      <c r="E273" s="162"/>
    </row>
    <row r="274" spans="1:5">
      <c r="A274" s="150">
        <v>11</v>
      </c>
      <c r="B274" s="155">
        <v>46052</v>
      </c>
      <c r="C274" s="156" t="s">
        <v>183</v>
      </c>
      <c r="D274" s="157">
        <v>990</v>
      </c>
      <c r="E274" s="158"/>
    </row>
    <row r="275" spans="1:5">
      <c r="A275" s="152">
        <v>12</v>
      </c>
      <c r="B275" s="159">
        <v>46052</v>
      </c>
      <c r="C275" s="160" t="s">
        <v>204</v>
      </c>
      <c r="D275" s="161">
        <v>110</v>
      </c>
      <c r="E275" s="162"/>
    </row>
    <row r="276" spans="1:5">
      <c r="A276" s="197" t="s">
        <v>805</v>
      </c>
      <c r="B276" s="198"/>
      <c r="C276" s="199"/>
      <c r="D276" s="163">
        <v>5500</v>
      </c>
      <c r="E276" s="164"/>
    </row>
    <row r="278" spans="1:5">
      <c r="A278" s="204" t="s">
        <v>806</v>
      </c>
      <c r="B278" s="178"/>
      <c r="C278" s="178"/>
      <c r="D278" s="178"/>
      <c r="E278" s="178"/>
    </row>
    <row r="279" spans="1:5">
      <c r="A279" s="154" t="s">
        <v>46</v>
      </c>
      <c r="B279" s="154"/>
      <c r="C279" s="154" t="s">
        <v>648</v>
      </c>
      <c r="D279" s="154" t="s">
        <v>807</v>
      </c>
      <c r="E279" s="154"/>
    </row>
    <row r="280" spans="1:5">
      <c r="A280" s="150">
        <v>1</v>
      </c>
      <c r="B280" s="158"/>
      <c r="C280" s="156" t="s">
        <v>191</v>
      </c>
      <c r="D280" s="157">
        <v>4348.8</v>
      </c>
      <c r="E280" s="158"/>
    </row>
    <row r="281" spans="1:5">
      <c r="A281" s="152">
        <v>2</v>
      </c>
      <c r="B281" s="162"/>
      <c r="C281" s="160" t="s">
        <v>204</v>
      </c>
      <c r="D281" s="161">
        <v>260.39999999999998</v>
      </c>
      <c r="E281" s="162"/>
    </row>
    <row r="282" spans="1:5">
      <c r="A282" s="150">
        <v>3</v>
      </c>
      <c r="B282" s="158"/>
      <c r="C282" s="156" t="s">
        <v>205</v>
      </c>
      <c r="D282" s="157">
        <v>157.80000000000001</v>
      </c>
      <c r="E282" s="158"/>
    </row>
    <row r="283" spans="1:5">
      <c r="A283" s="152">
        <v>4</v>
      </c>
      <c r="B283" s="162"/>
      <c r="C283" s="160" t="s">
        <v>155</v>
      </c>
      <c r="D283" s="161">
        <v>116</v>
      </c>
      <c r="E283" s="162"/>
    </row>
    <row r="284" spans="1:5">
      <c r="A284" s="150">
        <v>5</v>
      </c>
      <c r="B284" s="158"/>
      <c r="C284" s="156" t="s">
        <v>183</v>
      </c>
      <c r="D284" s="157">
        <v>108.6</v>
      </c>
      <c r="E284" s="158"/>
    </row>
    <row r="285" spans="1:5">
      <c r="A285" s="152">
        <v>6</v>
      </c>
      <c r="B285" s="162"/>
      <c r="C285" s="160" t="s">
        <v>206</v>
      </c>
      <c r="D285" s="161">
        <v>73.2</v>
      </c>
      <c r="E285" s="162"/>
    </row>
    <row r="286" spans="1:5">
      <c r="A286" s="150">
        <v>7</v>
      </c>
      <c r="B286" s="158"/>
      <c r="C286" s="156" t="s">
        <v>144</v>
      </c>
      <c r="D286" s="157">
        <v>64</v>
      </c>
      <c r="E286" s="158"/>
    </row>
    <row r="287" spans="1:5">
      <c r="A287" s="152">
        <v>8</v>
      </c>
      <c r="B287" s="162"/>
      <c r="C287" s="160" t="s">
        <v>152</v>
      </c>
      <c r="D287" s="161">
        <v>60.2</v>
      </c>
      <c r="E287" s="162"/>
    </row>
    <row r="288" spans="1:5">
      <c r="A288" s="150">
        <v>9</v>
      </c>
      <c r="B288" s="158"/>
      <c r="C288" s="156" t="s">
        <v>150</v>
      </c>
      <c r="D288" s="157">
        <v>57.2</v>
      </c>
      <c r="E288" s="158"/>
    </row>
    <row r="289" spans="1:5">
      <c r="A289" s="152">
        <v>10</v>
      </c>
      <c r="B289" s="162"/>
      <c r="C289" s="160" t="s">
        <v>153</v>
      </c>
      <c r="D289" s="161">
        <v>55.4</v>
      </c>
      <c r="E289" s="162"/>
    </row>
    <row r="290" spans="1:5">
      <c r="A290" s="150">
        <v>11</v>
      </c>
      <c r="B290" s="158"/>
      <c r="C290" s="156" t="s">
        <v>143</v>
      </c>
      <c r="D290" s="157">
        <v>52.9</v>
      </c>
      <c r="E290" s="158"/>
    </row>
    <row r="291" spans="1:5">
      <c r="A291" s="152">
        <v>12</v>
      </c>
      <c r="B291" s="162"/>
      <c r="C291" s="160" t="s">
        <v>154</v>
      </c>
      <c r="D291" s="161">
        <v>42.8</v>
      </c>
      <c r="E291" s="162"/>
    </row>
    <row r="292" spans="1:5">
      <c r="A292" s="150">
        <v>13</v>
      </c>
      <c r="B292" s="158"/>
      <c r="C292" s="156" t="s">
        <v>149</v>
      </c>
      <c r="D292" s="157">
        <v>42.1</v>
      </c>
      <c r="E292" s="158"/>
    </row>
    <row r="293" spans="1:5">
      <c r="A293" s="152">
        <v>14</v>
      </c>
      <c r="B293" s="162"/>
      <c r="C293" s="160" t="s">
        <v>179</v>
      </c>
      <c r="D293" s="161">
        <v>41.6</v>
      </c>
      <c r="E293" s="162"/>
    </row>
    <row r="294" spans="1:5">
      <c r="A294" s="150">
        <v>15</v>
      </c>
      <c r="B294" s="158"/>
      <c r="C294" s="156" t="s">
        <v>151</v>
      </c>
      <c r="D294" s="157">
        <v>32.799999999999997</v>
      </c>
      <c r="E294" s="158"/>
    </row>
    <row r="295" spans="1:5">
      <c r="A295" s="152">
        <v>16</v>
      </c>
      <c r="B295" s="162"/>
      <c r="C295" s="160" t="s">
        <v>181</v>
      </c>
      <c r="D295" s="161">
        <v>22</v>
      </c>
      <c r="E295" s="162"/>
    </row>
    <row r="296" spans="1:5">
      <c r="A296" s="150">
        <v>17</v>
      </c>
      <c r="B296" s="158"/>
      <c r="C296" s="156" t="s">
        <v>141</v>
      </c>
      <c r="D296" s="157">
        <v>20.399999999999999</v>
      </c>
      <c r="E296" s="158"/>
    </row>
    <row r="297" spans="1:5">
      <c r="A297" s="152">
        <v>18</v>
      </c>
      <c r="B297" s="162"/>
      <c r="C297" s="160" t="s">
        <v>184</v>
      </c>
      <c r="D297" s="161">
        <v>16.899999999999999</v>
      </c>
      <c r="E297" s="162"/>
    </row>
    <row r="298" spans="1:5">
      <c r="A298" s="150">
        <v>19</v>
      </c>
      <c r="B298" s="158"/>
      <c r="C298" s="156" t="s">
        <v>222</v>
      </c>
      <c r="D298" s="157">
        <v>13.8</v>
      </c>
      <c r="E298" s="158"/>
    </row>
    <row r="299" spans="1:5">
      <c r="A299" s="152">
        <v>20</v>
      </c>
      <c r="B299" s="162"/>
      <c r="C299" s="160" t="s">
        <v>174</v>
      </c>
      <c r="D299" s="161">
        <v>13</v>
      </c>
      <c r="E299" s="162"/>
    </row>
    <row r="300" spans="1:5">
      <c r="A300" s="150">
        <v>21</v>
      </c>
      <c r="B300" s="158"/>
      <c r="C300" s="156" t="s">
        <v>207</v>
      </c>
      <c r="D300" s="157">
        <v>11</v>
      </c>
      <c r="E300" s="158"/>
    </row>
    <row r="301" spans="1:5">
      <c r="A301" s="152">
        <v>22</v>
      </c>
      <c r="B301" s="162"/>
      <c r="C301" s="160" t="s">
        <v>169</v>
      </c>
      <c r="D301" s="161">
        <v>6</v>
      </c>
      <c r="E301" s="162"/>
    </row>
    <row r="302" spans="1:5">
      <c r="A302" s="150">
        <v>23</v>
      </c>
      <c r="B302" s="158"/>
      <c r="C302" s="156" t="s">
        <v>221</v>
      </c>
      <c r="D302" s="157">
        <v>4.2</v>
      </c>
      <c r="E302" s="158"/>
    </row>
    <row r="303" spans="1:5">
      <c r="A303" s="152">
        <v>24</v>
      </c>
      <c r="B303" s="162"/>
      <c r="C303" s="160" t="s">
        <v>161</v>
      </c>
      <c r="D303" s="161">
        <v>4</v>
      </c>
      <c r="E303" s="162"/>
    </row>
    <row r="304" spans="1:5">
      <c r="A304" s="150">
        <v>25</v>
      </c>
      <c r="B304" s="158"/>
      <c r="C304" s="156" t="s">
        <v>142</v>
      </c>
      <c r="D304" s="157">
        <v>2.8</v>
      </c>
      <c r="E304" s="158"/>
    </row>
    <row r="305" spans="1:5">
      <c r="A305" s="152">
        <v>26</v>
      </c>
      <c r="B305" s="162"/>
      <c r="C305" s="160" t="s">
        <v>147</v>
      </c>
      <c r="D305" s="161">
        <v>2.8</v>
      </c>
      <c r="E305" s="162"/>
    </row>
    <row r="306" spans="1:5">
      <c r="A306" s="150">
        <v>27</v>
      </c>
      <c r="B306" s="158"/>
      <c r="C306" s="156" t="s">
        <v>146</v>
      </c>
      <c r="D306" s="157">
        <v>1.8</v>
      </c>
      <c r="E306" s="158"/>
    </row>
    <row r="307" spans="1:5">
      <c r="A307" s="152">
        <v>28</v>
      </c>
      <c r="B307" s="162"/>
      <c r="C307" s="160" t="s">
        <v>220</v>
      </c>
      <c r="D307" s="161">
        <v>1.8</v>
      </c>
      <c r="E307" s="162"/>
    </row>
    <row r="308" spans="1:5">
      <c r="A308" s="150">
        <v>29</v>
      </c>
      <c r="B308" s="158"/>
      <c r="C308" s="156" t="s">
        <v>173</v>
      </c>
      <c r="D308" s="157">
        <v>1</v>
      </c>
      <c r="E308" s="158"/>
    </row>
    <row r="309" spans="1:5">
      <c r="A309" s="152">
        <v>30</v>
      </c>
      <c r="B309" s="162"/>
      <c r="C309" s="160" t="s">
        <v>145</v>
      </c>
      <c r="D309" s="161">
        <v>0.8</v>
      </c>
      <c r="E309" s="162"/>
    </row>
    <row r="310" spans="1:5">
      <c r="A310" s="150">
        <v>31</v>
      </c>
      <c r="B310" s="158"/>
      <c r="C310" s="156" t="s">
        <v>192</v>
      </c>
      <c r="D310" s="157">
        <v>0.8</v>
      </c>
      <c r="E310" s="158"/>
    </row>
    <row r="311" spans="1:5">
      <c r="A311" s="152">
        <v>32</v>
      </c>
      <c r="B311" s="162"/>
      <c r="C311" s="160" t="s">
        <v>148</v>
      </c>
      <c r="D311" s="161">
        <v>0.7</v>
      </c>
      <c r="E311" s="162"/>
    </row>
    <row r="312" spans="1:5">
      <c r="A312" s="150">
        <v>33</v>
      </c>
      <c r="B312" s="158"/>
      <c r="C312" s="156" t="s">
        <v>159</v>
      </c>
      <c r="D312" s="157">
        <v>0.7</v>
      </c>
      <c r="E312" s="158"/>
    </row>
    <row r="313" spans="1:5">
      <c r="A313" s="152">
        <v>34</v>
      </c>
      <c r="B313" s="162"/>
      <c r="C313" s="160" t="s">
        <v>186</v>
      </c>
      <c r="D313" s="161">
        <v>0.7</v>
      </c>
      <c r="E313" s="162"/>
    </row>
    <row r="314" spans="1:5">
      <c r="A314" s="150">
        <v>35</v>
      </c>
      <c r="B314" s="158"/>
      <c r="C314" s="156" t="s">
        <v>195</v>
      </c>
      <c r="D314" s="157">
        <v>0.7</v>
      </c>
      <c r="E314" s="158"/>
    </row>
    <row r="315" spans="1:5">
      <c r="A315" s="152">
        <v>36</v>
      </c>
      <c r="B315" s="162"/>
      <c r="C315" s="160" t="s">
        <v>219</v>
      </c>
      <c r="D315" s="161">
        <v>0.7</v>
      </c>
      <c r="E315" s="162"/>
    </row>
    <row r="316" spans="1:5">
      <c r="A316" s="197" t="s">
        <v>805</v>
      </c>
      <c r="B316" s="198"/>
      <c r="C316" s="199"/>
      <c r="D316" s="163">
        <v>5640.4</v>
      </c>
      <c r="E316" s="164"/>
    </row>
    <row r="318" spans="1:5">
      <c r="A318" s="205" t="s">
        <v>808</v>
      </c>
      <c r="B318" s="178"/>
      <c r="C318" s="178"/>
      <c r="D318" s="178"/>
      <c r="E318" s="178"/>
    </row>
    <row r="319" spans="1:5">
      <c r="A319" s="154" t="s">
        <v>46</v>
      </c>
      <c r="B319" s="154" t="s">
        <v>803</v>
      </c>
      <c r="C319" s="154" t="s">
        <v>140</v>
      </c>
      <c r="D319" s="154" t="s">
        <v>809</v>
      </c>
      <c r="E319" s="154"/>
    </row>
    <row r="320" spans="1:5">
      <c r="A320" s="150">
        <v>1</v>
      </c>
      <c r="B320" s="155">
        <v>46049</v>
      </c>
      <c r="C320" s="156" t="s">
        <v>116</v>
      </c>
      <c r="D320" s="157">
        <v>2000</v>
      </c>
      <c r="E320" s="158"/>
    </row>
    <row r="321" spans="1:5">
      <c r="A321" s="152">
        <v>2</v>
      </c>
      <c r="B321" s="159">
        <v>46051</v>
      </c>
      <c r="C321" s="160" t="s">
        <v>108</v>
      </c>
      <c r="D321" s="161">
        <v>80</v>
      </c>
      <c r="E321" s="162"/>
    </row>
    <row r="322" spans="1:5">
      <c r="A322" s="150">
        <v>3</v>
      </c>
      <c r="B322" s="155">
        <v>46052</v>
      </c>
      <c r="C322" s="156" t="s">
        <v>99</v>
      </c>
      <c r="D322" s="157">
        <v>1260</v>
      </c>
      <c r="E322" s="158"/>
    </row>
    <row r="323" spans="1:5">
      <c r="A323" s="152">
        <v>4</v>
      </c>
      <c r="B323" s="159">
        <v>46052</v>
      </c>
      <c r="C323" s="160" t="s">
        <v>104</v>
      </c>
      <c r="D323" s="161">
        <v>8</v>
      </c>
      <c r="E323" s="162"/>
    </row>
    <row r="324" spans="1:5">
      <c r="A324" s="150">
        <v>5</v>
      </c>
      <c r="B324" s="155">
        <v>46052</v>
      </c>
      <c r="C324" s="156" t="s">
        <v>108</v>
      </c>
      <c r="D324" s="157">
        <v>500</v>
      </c>
      <c r="E324" s="158"/>
    </row>
    <row r="325" spans="1:5">
      <c r="A325" s="152">
        <v>6</v>
      </c>
      <c r="B325" s="159">
        <v>46052</v>
      </c>
      <c r="C325" s="160" t="s">
        <v>134</v>
      </c>
      <c r="D325" s="161">
        <v>780</v>
      </c>
      <c r="E325" s="162"/>
    </row>
    <row r="326" spans="1:5">
      <c r="A326" s="150">
        <v>7</v>
      </c>
      <c r="B326" s="155">
        <v>46052</v>
      </c>
      <c r="C326" s="156" t="s">
        <v>121</v>
      </c>
      <c r="D326" s="157">
        <v>160</v>
      </c>
      <c r="E326" s="158"/>
    </row>
    <row r="327" spans="1:5">
      <c r="A327" s="152">
        <v>8</v>
      </c>
      <c r="B327" s="159">
        <v>46053</v>
      </c>
      <c r="C327" s="160" t="s">
        <v>60</v>
      </c>
      <c r="D327" s="161">
        <v>40</v>
      </c>
      <c r="E327" s="162"/>
    </row>
    <row r="328" spans="1:5">
      <c r="A328" s="150">
        <v>9</v>
      </c>
      <c r="B328" s="155">
        <v>46053</v>
      </c>
      <c r="C328" s="156" t="s">
        <v>120</v>
      </c>
      <c r="D328" s="157">
        <v>1600</v>
      </c>
      <c r="E328" s="158"/>
    </row>
    <row r="329" spans="1:5">
      <c r="A329" s="197" t="s">
        <v>805</v>
      </c>
      <c r="B329" s="198"/>
      <c r="C329" s="199"/>
      <c r="D329" s="163">
        <v>6428</v>
      </c>
      <c r="E329" s="164"/>
    </row>
    <row r="331" spans="1:5" ht="39.950000000000003" customHeight="1">
      <c r="A331" s="201" t="s">
        <v>825</v>
      </c>
      <c r="B331" s="178"/>
      <c r="C331" s="178"/>
      <c r="D331" s="178"/>
      <c r="E331" s="178"/>
    </row>
    <row r="332" spans="1:5">
      <c r="A332" s="203" t="s">
        <v>795</v>
      </c>
      <c r="B332" s="178"/>
      <c r="C332" s="178"/>
      <c r="D332" s="178"/>
      <c r="E332" s="178"/>
    </row>
    <row r="333" spans="1:5">
      <c r="A333" s="150">
        <v>1</v>
      </c>
      <c r="B333" s="202" t="s">
        <v>796</v>
      </c>
      <c r="C333" s="199"/>
      <c r="D333" s="151">
        <v>7150</v>
      </c>
      <c r="E333" s="150" t="s">
        <v>826</v>
      </c>
    </row>
    <row r="334" spans="1:5">
      <c r="A334" s="152">
        <v>2</v>
      </c>
      <c r="B334" s="206" t="s">
        <v>798</v>
      </c>
      <c r="C334" s="199"/>
      <c r="D334" s="153">
        <v>9646.2000000000007</v>
      </c>
      <c r="E334" s="152" t="s">
        <v>824</v>
      </c>
    </row>
    <row r="335" spans="1:5">
      <c r="A335" s="150">
        <v>3</v>
      </c>
      <c r="B335" s="202" t="s">
        <v>800</v>
      </c>
      <c r="C335" s="199"/>
      <c r="D335" s="151">
        <v>6564.3</v>
      </c>
      <c r="E335" s="150" t="s">
        <v>811</v>
      </c>
    </row>
    <row r="337" spans="1:5">
      <c r="A337" s="200" t="s">
        <v>802</v>
      </c>
      <c r="B337" s="178"/>
      <c r="C337" s="178"/>
      <c r="D337" s="178"/>
      <c r="E337" s="178"/>
    </row>
    <row r="338" spans="1:5">
      <c r="A338" s="154" t="s">
        <v>46</v>
      </c>
      <c r="B338" s="154" t="s">
        <v>803</v>
      </c>
      <c r="C338" s="154" t="s">
        <v>648</v>
      </c>
      <c r="D338" s="154" t="s">
        <v>804</v>
      </c>
      <c r="E338" s="154"/>
    </row>
    <row r="339" spans="1:5">
      <c r="A339" s="150">
        <v>1</v>
      </c>
      <c r="B339" s="155">
        <v>46055</v>
      </c>
      <c r="C339" s="156" t="s">
        <v>191</v>
      </c>
      <c r="D339" s="157">
        <v>1100</v>
      </c>
      <c r="E339" s="158"/>
    </row>
    <row r="340" spans="1:5">
      <c r="A340" s="152">
        <v>2</v>
      </c>
      <c r="B340" s="159">
        <v>46056</v>
      </c>
      <c r="C340" s="160" t="s">
        <v>191</v>
      </c>
      <c r="D340" s="161">
        <v>990</v>
      </c>
      <c r="E340" s="162"/>
    </row>
    <row r="341" spans="1:5">
      <c r="A341" s="150">
        <v>3</v>
      </c>
      <c r="B341" s="155">
        <v>46056</v>
      </c>
      <c r="C341" s="156" t="s">
        <v>205</v>
      </c>
      <c r="D341" s="157">
        <v>110</v>
      </c>
      <c r="E341" s="158"/>
    </row>
    <row r="342" spans="1:5">
      <c r="A342" s="152">
        <v>4</v>
      </c>
      <c r="B342" s="159">
        <v>46057</v>
      </c>
      <c r="C342" s="160" t="s">
        <v>191</v>
      </c>
      <c r="D342" s="161">
        <v>1100</v>
      </c>
      <c r="E342" s="162"/>
    </row>
    <row r="343" spans="1:5">
      <c r="A343" s="150">
        <v>5</v>
      </c>
      <c r="B343" s="155">
        <v>46057</v>
      </c>
      <c r="C343" s="156" t="s">
        <v>204</v>
      </c>
      <c r="D343" s="157">
        <v>220</v>
      </c>
      <c r="E343" s="158"/>
    </row>
    <row r="344" spans="1:5">
      <c r="A344" s="152">
        <v>6</v>
      </c>
      <c r="B344" s="159">
        <v>46057</v>
      </c>
      <c r="C344" s="160" t="s">
        <v>205</v>
      </c>
      <c r="D344" s="161">
        <v>110</v>
      </c>
      <c r="E344" s="162"/>
    </row>
    <row r="345" spans="1:5">
      <c r="A345" s="150">
        <v>7</v>
      </c>
      <c r="B345" s="155">
        <v>46058</v>
      </c>
      <c r="C345" s="156" t="s">
        <v>155</v>
      </c>
      <c r="D345" s="157">
        <v>220</v>
      </c>
      <c r="E345" s="158"/>
    </row>
    <row r="346" spans="1:5">
      <c r="A346" s="152">
        <v>8</v>
      </c>
      <c r="B346" s="159">
        <v>46058</v>
      </c>
      <c r="C346" s="160" t="s">
        <v>183</v>
      </c>
      <c r="D346" s="161">
        <v>110</v>
      </c>
      <c r="E346" s="162"/>
    </row>
    <row r="347" spans="1:5">
      <c r="A347" s="150">
        <v>9</v>
      </c>
      <c r="B347" s="155">
        <v>46058</v>
      </c>
      <c r="C347" s="156" t="s">
        <v>191</v>
      </c>
      <c r="D347" s="157">
        <v>990</v>
      </c>
      <c r="E347" s="158"/>
    </row>
    <row r="348" spans="1:5">
      <c r="A348" s="152">
        <v>10</v>
      </c>
      <c r="B348" s="159">
        <v>46058</v>
      </c>
      <c r="C348" s="160" t="s">
        <v>204</v>
      </c>
      <c r="D348" s="161">
        <v>220</v>
      </c>
      <c r="E348" s="162"/>
    </row>
    <row r="349" spans="1:5">
      <c r="A349" s="150">
        <v>11</v>
      </c>
      <c r="B349" s="155">
        <v>46059</v>
      </c>
      <c r="C349" s="156" t="s">
        <v>156</v>
      </c>
      <c r="D349" s="157">
        <v>110</v>
      </c>
      <c r="E349" s="158"/>
    </row>
    <row r="350" spans="1:5">
      <c r="A350" s="152">
        <v>12</v>
      </c>
      <c r="B350" s="159">
        <v>46059</v>
      </c>
      <c r="C350" s="160" t="s">
        <v>157</v>
      </c>
      <c r="D350" s="161">
        <v>110</v>
      </c>
      <c r="E350" s="162"/>
    </row>
    <row r="351" spans="1:5">
      <c r="A351" s="150">
        <v>13</v>
      </c>
      <c r="B351" s="155">
        <v>46059</v>
      </c>
      <c r="C351" s="156" t="s">
        <v>183</v>
      </c>
      <c r="D351" s="157">
        <v>110</v>
      </c>
      <c r="E351" s="158"/>
    </row>
    <row r="352" spans="1:5">
      <c r="A352" s="152">
        <v>14</v>
      </c>
      <c r="B352" s="159">
        <v>46059</v>
      </c>
      <c r="C352" s="160" t="s">
        <v>191</v>
      </c>
      <c r="D352" s="161">
        <v>880</v>
      </c>
      <c r="E352" s="162"/>
    </row>
    <row r="353" spans="1:5">
      <c r="A353" s="150">
        <v>15</v>
      </c>
      <c r="B353" s="155">
        <v>46059</v>
      </c>
      <c r="C353" s="156" t="s">
        <v>205</v>
      </c>
      <c r="D353" s="157">
        <v>220</v>
      </c>
      <c r="E353" s="158"/>
    </row>
    <row r="354" spans="1:5">
      <c r="A354" s="152">
        <v>16</v>
      </c>
      <c r="B354" s="159">
        <v>46061</v>
      </c>
      <c r="C354" s="160" t="s">
        <v>149</v>
      </c>
      <c r="D354" s="161">
        <v>110</v>
      </c>
      <c r="E354" s="162"/>
    </row>
    <row r="355" spans="1:5">
      <c r="A355" s="150">
        <v>17</v>
      </c>
      <c r="B355" s="155">
        <v>46061</v>
      </c>
      <c r="C355" s="156" t="s">
        <v>150</v>
      </c>
      <c r="D355" s="157">
        <v>110</v>
      </c>
      <c r="E355" s="158"/>
    </row>
    <row r="356" spans="1:5">
      <c r="A356" s="152">
        <v>18</v>
      </c>
      <c r="B356" s="159">
        <v>46061</v>
      </c>
      <c r="C356" s="160" t="s">
        <v>152</v>
      </c>
      <c r="D356" s="161">
        <v>220</v>
      </c>
      <c r="E356" s="162"/>
    </row>
    <row r="357" spans="1:5">
      <c r="A357" s="150">
        <v>19</v>
      </c>
      <c r="B357" s="155">
        <v>46061</v>
      </c>
      <c r="C357" s="156" t="s">
        <v>153</v>
      </c>
      <c r="D357" s="157">
        <v>110</v>
      </c>
      <c r="E357" s="158"/>
    </row>
    <row r="358" spans="1:5">
      <c r="A358" s="197" t="s">
        <v>805</v>
      </c>
      <c r="B358" s="198"/>
      <c r="C358" s="199"/>
      <c r="D358" s="163">
        <v>7150</v>
      </c>
      <c r="E358" s="164"/>
    </row>
    <row r="360" spans="1:5">
      <c r="A360" s="204" t="s">
        <v>806</v>
      </c>
      <c r="B360" s="178"/>
      <c r="C360" s="178"/>
      <c r="D360" s="178"/>
      <c r="E360" s="178"/>
    </row>
    <row r="361" spans="1:5">
      <c r="A361" s="154" t="s">
        <v>46</v>
      </c>
      <c r="B361" s="154"/>
      <c r="C361" s="154" t="s">
        <v>648</v>
      </c>
      <c r="D361" s="154" t="s">
        <v>807</v>
      </c>
      <c r="E361" s="154"/>
    </row>
    <row r="362" spans="1:5">
      <c r="A362" s="150">
        <v>1</v>
      </c>
      <c r="B362" s="158"/>
      <c r="C362" s="156" t="s">
        <v>191</v>
      </c>
      <c r="D362" s="157">
        <v>5654.4</v>
      </c>
      <c r="E362" s="158"/>
    </row>
    <row r="363" spans="1:5">
      <c r="A363" s="152">
        <v>2</v>
      </c>
      <c r="B363" s="162"/>
      <c r="C363" s="160" t="s">
        <v>204</v>
      </c>
      <c r="D363" s="161">
        <v>1651.5</v>
      </c>
      <c r="E363" s="162"/>
    </row>
    <row r="364" spans="1:5">
      <c r="A364" s="150">
        <v>3</v>
      </c>
      <c r="B364" s="158"/>
      <c r="C364" s="156" t="s">
        <v>205</v>
      </c>
      <c r="D364" s="157">
        <v>1304.0999999999999</v>
      </c>
      <c r="E364" s="158"/>
    </row>
    <row r="365" spans="1:5">
      <c r="A365" s="152">
        <v>4</v>
      </c>
      <c r="B365" s="162"/>
      <c r="C365" s="160" t="s">
        <v>155</v>
      </c>
      <c r="D365" s="161">
        <v>344.8</v>
      </c>
      <c r="E365" s="162"/>
    </row>
    <row r="366" spans="1:5">
      <c r="A366" s="150">
        <v>5</v>
      </c>
      <c r="B366" s="158"/>
      <c r="C366" s="156" t="s">
        <v>183</v>
      </c>
      <c r="D366" s="157">
        <v>192.6</v>
      </c>
      <c r="E366" s="158"/>
    </row>
    <row r="367" spans="1:5">
      <c r="A367" s="152">
        <v>6</v>
      </c>
      <c r="B367" s="162"/>
      <c r="C367" s="160" t="s">
        <v>143</v>
      </c>
      <c r="D367" s="161">
        <v>69.900000000000006</v>
      </c>
      <c r="E367" s="162"/>
    </row>
    <row r="368" spans="1:5">
      <c r="A368" s="150">
        <v>7</v>
      </c>
      <c r="B368" s="158"/>
      <c r="C368" s="156" t="s">
        <v>144</v>
      </c>
      <c r="D368" s="157">
        <v>63</v>
      </c>
      <c r="E368" s="158"/>
    </row>
    <row r="369" spans="1:5">
      <c r="A369" s="152">
        <v>8</v>
      </c>
      <c r="B369" s="162"/>
      <c r="C369" s="160" t="s">
        <v>174</v>
      </c>
      <c r="D369" s="161">
        <v>56</v>
      </c>
      <c r="E369" s="162"/>
    </row>
    <row r="370" spans="1:5">
      <c r="A370" s="150">
        <v>9</v>
      </c>
      <c r="B370" s="158"/>
      <c r="C370" s="156" t="s">
        <v>179</v>
      </c>
      <c r="D370" s="157">
        <v>36.6</v>
      </c>
      <c r="E370" s="158"/>
    </row>
    <row r="371" spans="1:5">
      <c r="A371" s="152">
        <v>10</v>
      </c>
      <c r="B371" s="162"/>
      <c r="C371" s="160" t="s">
        <v>206</v>
      </c>
      <c r="D371" s="161">
        <v>29.5</v>
      </c>
      <c r="E371" s="162"/>
    </row>
    <row r="372" spans="1:5">
      <c r="A372" s="150">
        <v>11</v>
      </c>
      <c r="B372" s="158"/>
      <c r="C372" s="156" t="s">
        <v>184</v>
      </c>
      <c r="D372" s="157">
        <v>27.9</v>
      </c>
      <c r="E372" s="158"/>
    </row>
    <row r="373" spans="1:5">
      <c r="A373" s="152">
        <v>12</v>
      </c>
      <c r="B373" s="162"/>
      <c r="C373" s="160" t="s">
        <v>153</v>
      </c>
      <c r="D373" s="161">
        <v>22.3</v>
      </c>
      <c r="E373" s="162"/>
    </row>
    <row r="374" spans="1:5">
      <c r="A374" s="150">
        <v>13</v>
      </c>
      <c r="B374" s="158"/>
      <c r="C374" s="156" t="s">
        <v>147</v>
      </c>
      <c r="D374" s="157">
        <v>22</v>
      </c>
      <c r="E374" s="158"/>
    </row>
    <row r="375" spans="1:5">
      <c r="A375" s="152">
        <v>14</v>
      </c>
      <c r="B375" s="162"/>
      <c r="C375" s="160" t="s">
        <v>221</v>
      </c>
      <c r="D375" s="161">
        <v>21.4</v>
      </c>
      <c r="E375" s="162"/>
    </row>
    <row r="376" spans="1:5">
      <c r="A376" s="150">
        <v>15</v>
      </c>
      <c r="B376" s="158"/>
      <c r="C376" s="156" t="s">
        <v>154</v>
      </c>
      <c r="D376" s="157">
        <v>17.3</v>
      </c>
      <c r="E376" s="158"/>
    </row>
    <row r="377" spans="1:5">
      <c r="A377" s="152">
        <v>16</v>
      </c>
      <c r="B377" s="162"/>
      <c r="C377" s="160" t="s">
        <v>141</v>
      </c>
      <c r="D377" s="161">
        <v>16.8</v>
      </c>
      <c r="E377" s="162"/>
    </row>
    <row r="378" spans="1:5">
      <c r="A378" s="150">
        <v>17</v>
      </c>
      <c r="B378" s="158"/>
      <c r="C378" s="156" t="s">
        <v>222</v>
      </c>
      <c r="D378" s="157">
        <v>16.600000000000001</v>
      </c>
      <c r="E378" s="158"/>
    </row>
    <row r="379" spans="1:5">
      <c r="A379" s="152">
        <v>18</v>
      </c>
      <c r="B379" s="162"/>
      <c r="C379" s="160" t="s">
        <v>149</v>
      </c>
      <c r="D379" s="161">
        <v>14.8</v>
      </c>
      <c r="E379" s="162"/>
    </row>
    <row r="380" spans="1:5">
      <c r="A380" s="150">
        <v>19</v>
      </c>
      <c r="B380" s="158"/>
      <c r="C380" s="156" t="s">
        <v>161</v>
      </c>
      <c r="D380" s="157">
        <v>12</v>
      </c>
      <c r="E380" s="158"/>
    </row>
    <row r="381" spans="1:5">
      <c r="A381" s="152">
        <v>20</v>
      </c>
      <c r="B381" s="162"/>
      <c r="C381" s="160" t="s">
        <v>181</v>
      </c>
      <c r="D381" s="161">
        <v>11</v>
      </c>
      <c r="E381" s="162"/>
    </row>
    <row r="382" spans="1:5">
      <c r="A382" s="150">
        <v>21</v>
      </c>
      <c r="B382" s="158"/>
      <c r="C382" s="156" t="s">
        <v>151</v>
      </c>
      <c r="D382" s="157">
        <v>10.4</v>
      </c>
      <c r="E382" s="158"/>
    </row>
    <row r="383" spans="1:5">
      <c r="A383" s="152">
        <v>22</v>
      </c>
      <c r="B383" s="162"/>
      <c r="C383" s="160" t="s">
        <v>142</v>
      </c>
      <c r="D383" s="161">
        <v>7</v>
      </c>
      <c r="E383" s="162"/>
    </row>
    <row r="384" spans="1:5">
      <c r="A384" s="150">
        <v>23</v>
      </c>
      <c r="B384" s="158"/>
      <c r="C384" s="156" t="s">
        <v>146</v>
      </c>
      <c r="D384" s="157">
        <v>6</v>
      </c>
      <c r="E384" s="158"/>
    </row>
    <row r="385" spans="1:5">
      <c r="A385" s="152">
        <v>24</v>
      </c>
      <c r="B385" s="162"/>
      <c r="C385" s="160" t="s">
        <v>169</v>
      </c>
      <c r="D385" s="161">
        <v>6</v>
      </c>
      <c r="E385" s="162"/>
    </row>
    <row r="386" spans="1:5">
      <c r="A386" s="150">
        <v>25</v>
      </c>
      <c r="B386" s="158"/>
      <c r="C386" s="156" t="s">
        <v>220</v>
      </c>
      <c r="D386" s="157">
        <v>6</v>
      </c>
      <c r="E386" s="158"/>
    </row>
    <row r="387" spans="1:5">
      <c r="A387" s="152">
        <v>26</v>
      </c>
      <c r="B387" s="162"/>
      <c r="C387" s="160" t="s">
        <v>207</v>
      </c>
      <c r="D387" s="161">
        <v>4</v>
      </c>
      <c r="E387" s="162"/>
    </row>
    <row r="388" spans="1:5">
      <c r="A388" s="150">
        <v>27</v>
      </c>
      <c r="B388" s="158"/>
      <c r="C388" s="156" t="s">
        <v>145</v>
      </c>
      <c r="D388" s="157">
        <v>2.8</v>
      </c>
      <c r="E388" s="158"/>
    </row>
    <row r="389" spans="1:5">
      <c r="A389" s="152">
        <v>28</v>
      </c>
      <c r="B389" s="162"/>
      <c r="C389" s="160" t="s">
        <v>192</v>
      </c>
      <c r="D389" s="161">
        <v>2.8</v>
      </c>
      <c r="E389" s="162"/>
    </row>
    <row r="390" spans="1:5">
      <c r="A390" s="150">
        <v>29</v>
      </c>
      <c r="B390" s="158"/>
      <c r="C390" s="156" t="s">
        <v>148</v>
      </c>
      <c r="D390" s="157">
        <v>2.2999999999999998</v>
      </c>
      <c r="E390" s="158"/>
    </row>
    <row r="391" spans="1:5">
      <c r="A391" s="152">
        <v>30</v>
      </c>
      <c r="B391" s="162"/>
      <c r="C391" s="160" t="s">
        <v>159</v>
      </c>
      <c r="D391" s="161">
        <v>2.2999999999999998</v>
      </c>
      <c r="E391" s="162"/>
    </row>
    <row r="392" spans="1:5">
      <c r="A392" s="150">
        <v>31</v>
      </c>
      <c r="B392" s="158"/>
      <c r="C392" s="156" t="s">
        <v>186</v>
      </c>
      <c r="D392" s="157">
        <v>2.2999999999999998</v>
      </c>
      <c r="E392" s="158"/>
    </row>
    <row r="393" spans="1:5">
      <c r="A393" s="152">
        <v>32</v>
      </c>
      <c r="B393" s="162"/>
      <c r="C393" s="160" t="s">
        <v>195</v>
      </c>
      <c r="D393" s="161">
        <v>2.2999999999999998</v>
      </c>
      <c r="E393" s="162"/>
    </row>
    <row r="394" spans="1:5">
      <c r="A394" s="150">
        <v>33</v>
      </c>
      <c r="B394" s="158"/>
      <c r="C394" s="156" t="s">
        <v>219</v>
      </c>
      <c r="D394" s="157">
        <v>2.2999999999999998</v>
      </c>
      <c r="E394" s="158"/>
    </row>
    <row r="395" spans="1:5">
      <c r="A395" s="152">
        <v>34</v>
      </c>
      <c r="B395" s="162"/>
      <c r="C395" s="160" t="s">
        <v>173</v>
      </c>
      <c r="D395" s="161">
        <v>2</v>
      </c>
      <c r="E395" s="162"/>
    </row>
    <row r="396" spans="1:5">
      <c r="A396" s="150">
        <v>35</v>
      </c>
      <c r="B396" s="158"/>
      <c r="C396" s="156" t="s">
        <v>212</v>
      </c>
      <c r="D396" s="157">
        <v>2</v>
      </c>
      <c r="E396" s="158"/>
    </row>
    <row r="397" spans="1:5">
      <c r="A397" s="152">
        <v>36</v>
      </c>
      <c r="B397" s="162"/>
      <c r="C397" s="160" t="s">
        <v>150</v>
      </c>
      <c r="D397" s="161">
        <v>1.1000000000000001</v>
      </c>
      <c r="E397" s="162"/>
    </row>
    <row r="398" spans="1:5">
      <c r="A398" s="197" t="s">
        <v>805</v>
      </c>
      <c r="B398" s="198"/>
      <c r="C398" s="199"/>
      <c r="D398" s="163">
        <v>9646.2000000000007</v>
      </c>
      <c r="E398" s="164"/>
    </row>
    <row r="400" spans="1:5">
      <c r="A400" s="205" t="s">
        <v>808</v>
      </c>
      <c r="B400" s="178"/>
      <c r="C400" s="178"/>
      <c r="D400" s="178"/>
      <c r="E400" s="178"/>
    </row>
    <row r="401" spans="1:5">
      <c r="A401" s="154" t="s">
        <v>46</v>
      </c>
      <c r="B401" s="154" t="s">
        <v>803</v>
      </c>
      <c r="C401" s="154" t="s">
        <v>140</v>
      </c>
      <c r="D401" s="154" t="s">
        <v>809</v>
      </c>
      <c r="E401" s="154"/>
    </row>
    <row r="402" spans="1:5">
      <c r="A402" s="150">
        <v>1</v>
      </c>
      <c r="B402" s="155">
        <v>46056</v>
      </c>
      <c r="C402" s="156" t="s">
        <v>84</v>
      </c>
      <c r="D402" s="157">
        <v>60</v>
      </c>
      <c r="E402" s="158"/>
    </row>
    <row r="403" spans="1:5">
      <c r="A403" s="152">
        <v>2</v>
      </c>
      <c r="B403" s="159">
        <v>46056</v>
      </c>
      <c r="C403" s="160" t="s">
        <v>116</v>
      </c>
      <c r="D403" s="161">
        <v>1000</v>
      </c>
      <c r="E403" s="162"/>
    </row>
    <row r="404" spans="1:5">
      <c r="A404" s="150">
        <v>3</v>
      </c>
      <c r="B404" s="155">
        <v>46056</v>
      </c>
      <c r="C404" s="156" t="s">
        <v>116</v>
      </c>
      <c r="D404" s="157">
        <v>1000</v>
      </c>
      <c r="E404" s="158"/>
    </row>
    <row r="405" spans="1:5">
      <c r="A405" s="152">
        <v>4</v>
      </c>
      <c r="B405" s="159">
        <v>46057</v>
      </c>
      <c r="C405" s="160" t="s">
        <v>89</v>
      </c>
      <c r="D405" s="161">
        <v>22.7</v>
      </c>
      <c r="E405" s="162"/>
    </row>
    <row r="406" spans="1:5">
      <c r="A406" s="150">
        <v>5</v>
      </c>
      <c r="B406" s="155">
        <v>46057</v>
      </c>
      <c r="C406" s="156" t="s">
        <v>130</v>
      </c>
      <c r="D406" s="157">
        <v>36</v>
      </c>
      <c r="E406" s="158"/>
    </row>
    <row r="407" spans="1:5">
      <c r="A407" s="152">
        <v>6</v>
      </c>
      <c r="B407" s="159">
        <v>46059</v>
      </c>
      <c r="C407" s="160" t="s">
        <v>71</v>
      </c>
      <c r="D407" s="161">
        <v>20</v>
      </c>
      <c r="E407" s="162"/>
    </row>
    <row r="408" spans="1:5">
      <c r="A408" s="150">
        <v>7</v>
      </c>
      <c r="B408" s="155">
        <v>46059</v>
      </c>
      <c r="C408" s="156" t="s">
        <v>73</v>
      </c>
      <c r="D408" s="157">
        <v>4</v>
      </c>
      <c r="E408" s="158"/>
    </row>
    <row r="409" spans="1:5">
      <c r="A409" s="152">
        <v>8</v>
      </c>
      <c r="B409" s="159">
        <v>46059</v>
      </c>
      <c r="C409" s="160" t="s">
        <v>82</v>
      </c>
      <c r="D409" s="161">
        <v>20</v>
      </c>
      <c r="E409" s="162"/>
    </row>
    <row r="410" spans="1:5">
      <c r="A410" s="150">
        <v>9</v>
      </c>
      <c r="B410" s="155">
        <v>46059</v>
      </c>
      <c r="C410" s="156" t="s">
        <v>99</v>
      </c>
      <c r="D410" s="157">
        <v>2520</v>
      </c>
      <c r="E410" s="158"/>
    </row>
    <row r="411" spans="1:5">
      <c r="A411" s="152">
        <v>10</v>
      </c>
      <c r="B411" s="159">
        <v>46059</v>
      </c>
      <c r="C411" s="160" t="s">
        <v>104</v>
      </c>
      <c r="D411" s="161">
        <v>8</v>
      </c>
      <c r="E411" s="162"/>
    </row>
    <row r="412" spans="1:5">
      <c r="A412" s="150">
        <v>11</v>
      </c>
      <c r="B412" s="155">
        <v>46059</v>
      </c>
      <c r="C412" s="156" t="s">
        <v>115</v>
      </c>
      <c r="D412" s="157">
        <v>60</v>
      </c>
      <c r="E412" s="158"/>
    </row>
    <row r="413" spans="1:5">
      <c r="A413" s="152">
        <v>12</v>
      </c>
      <c r="B413" s="159">
        <v>46059</v>
      </c>
      <c r="C413" s="160" t="s">
        <v>120</v>
      </c>
      <c r="D413" s="161">
        <v>1800</v>
      </c>
      <c r="E413" s="162"/>
    </row>
    <row r="414" spans="1:5">
      <c r="A414" s="150">
        <v>13</v>
      </c>
      <c r="B414" s="155">
        <v>46059</v>
      </c>
      <c r="C414" s="156" t="s">
        <v>128</v>
      </c>
      <c r="D414" s="157">
        <v>13.6</v>
      </c>
      <c r="E414" s="158"/>
    </row>
    <row r="415" spans="1:5">
      <c r="A415" s="197" t="s">
        <v>805</v>
      </c>
      <c r="B415" s="198"/>
      <c r="C415" s="199"/>
      <c r="D415" s="163">
        <v>6564.3</v>
      </c>
      <c r="E415" s="164"/>
    </row>
    <row r="417" spans="1:5" ht="39.950000000000003" customHeight="1">
      <c r="A417" s="201" t="s">
        <v>827</v>
      </c>
      <c r="B417" s="178"/>
      <c r="C417" s="178"/>
      <c r="D417" s="178"/>
      <c r="E417" s="178"/>
    </row>
    <row r="418" spans="1:5">
      <c r="A418" s="203" t="s">
        <v>795</v>
      </c>
      <c r="B418" s="178"/>
      <c r="C418" s="178"/>
      <c r="D418" s="178"/>
      <c r="E418" s="178"/>
    </row>
    <row r="419" spans="1:5">
      <c r="A419" s="150">
        <v>1</v>
      </c>
      <c r="B419" s="202" t="s">
        <v>796</v>
      </c>
      <c r="C419" s="199"/>
      <c r="D419" s="151">
        <v>3990</v>
      </c>
      <c r="E419" s="150" t="s">
        <v>828</v>
      </c>
    </row>
    <row r="420" spans="1:5">
      <c r="A420" s="152">
        <v>2</v>
      </c>
      <c r="B420" s="206" t="s">
        <v>798</v>
      </c>
      <c r="C420" s="199"/>
      <c r="D420" s="153">
        <v>5989.6</v>
      </c>
      <c r="E420" s="152" t="s">
        <v>829</v>
      </c>
    </row>
    <row r="421" spans="1:5">
      <c r="A421" s="150">
        <v>3</v>
      </c>
      <c r="B421" s="202" t="s">
        <v>800</v>
      </c>
      <c r="C421" s="199"/>
      <c r="D421" s="151">
        <v>4557.6000000000004</v>
      </c>
      <c r="E421" s="150" t="s">
        <v>799</v>
      </c>
    </row>
    <row r="423" spans="1:5">
      <c r="A423" s="200" t="s">
        <v>802</v>
      </c>
      <c r="B423" s="178"/>
      <c r="C423" s="178"/>
      <c r="D423" s="178"/>
      <c r="E423" s="178"/>
    </row>
    <row r="424" spans="1:5">
      <c r="A424" s="154" t="s">
        <v>46</v>
      </c>
      <c r="B424" s="154" t="s">
        <v>803</v>
      </c>
      <c r="C424" s="154" t="s">
        <v>648</v>
      </c>
      <c r="D424" s="154" t="s">
        <v>804</v>
      </c>
      <c r="E424" s="154"/>
    </row>
    <row r="425" spans="1:5">
      <c r="A425" s="150">
        <v>1</v>
      </c>
      <c r="B425" s="155">
        <v>46062</v>
      </c>
      <c r="C425" s="156" t="s">
        <v>144</v>
      </c>
      <c r="D425" s="157">
        <v>70</v>
      </c>
      <c r="E425" s="158"/>
    </row>
    <row r="426" spans="1:5">
      <c r="A426" s="152">
        <v>2</v>
      </c>
      <c r="B426" s="159">
        <v>46062</v>
      </c>
      <c r="C426" s="160" t="s">
        <v>183</v>
      </c>
      <c r="D426" s="161">
        <v>440</v>
      </c>
      <c r="E426" s="162"/>
    </row>
    <row r="427" spans="1:5">
      <c r="A427" s="150">
        <v>3</v>
      </c>
      <c r="B427" s="155">
        <v>46062</v>
      </c>
      <c r="C427" s="156" t="s">
        <v>191</v>
      </c>
      <c r="D427" s="157">
        <v>660</v>
      </c>
      <c r="E427" s="158"/>
    </row>
    <row r="428" spans="1:5">
      <c r="A428" s="152">
        <v>4</v>
      </c>
      <c r="B428" s="159">
        <v>46062</v>
      </c>
      <c r="C428" s="160" t="s">
        <v>204</v>
      </c>
      <c r="D428" s="161">
        <v>220</v>
      </c>
      <c r="E428" s="162"/>
    </row>
    <row r="429" spans="1:5">
      <c r="A429" s="150">
        <v>5</v>
      </c>
      <c r="B429" s="155">
        <v>46063</v>
      </c>
      <c r="C429" s="156" t="s">
        <v>191</v>
      </c>
      <c r="D429" s="157">
        <v>770</v>
      </c>
      <c r="E429" s="158"/>
    </row>
    <row r="430" spans="1:5">
      <c r="A430" s="152">
        <v>6</v>
      </c>
      <c r="B430" s="159">
        <v>46063</v>
      </c>
      <c r="C430" s="160" t="s">
        <v>204</v>
      </c>
      <c r="D430" s="161">
        <v>440</v>
      </c>
      <c r="E430" s="162"/>
    </row>
    <row r="431" spans="1:5">
      <c r="A431" s="150">
        <v>7</v>
      </c>
      <c r="B431" s="155">
        <v>46063</v>
      </c>
      <c r="C431" s="156" t="s">
        <v>205</v>
      </c>
      <c r="D431" s="157">
        <v>220</v>
      </c>
      <c r="E431" s="158"/>
    </row>
    <row r="432" spans="1:5">
      <c r="A432" s="152">
        <v>8</v>
      </c>
      <c r="B432" s="159">
        <v>46064</v>
      </c>
      <c r="C432" s="160" t="s">
        <v>191</v>
      </c>
      <c r="D432" s="161">
        <v>1100</v>
      </c>
      <c r="E432" s="162"/>
    </row>
    <row r="433" spans="1:5">
      <c r="A433" s="150">
        <v>9</v>
      </c>
      <c r="B433" s="155">
        <v>46064</v>
      </c>
      <c r="C433" s="156" t="s">
        <v>206</v>
      </c>
      <c r="D433" s="157">
        <v>70</v>
      </c>
      <c r="E433" s="158"/>
    </row>
    <row r="434" spans="1:5">
      <c r="A434" s="197" t="s">
        <v>805</v>
      </c>
      <c r="B434" s="198"/>
      <c r="C434" s="199"/>
      <c r="D434" s="163">
        <v>3990</v>
      </c>
      <c r="E434" s="164"/>
    </row>
    <row r="436" spans="1:5">
      <c r="A436" s="204" t="s">
        <v>806</v>
      </c>
      <c r="B436" s="178"/>
      <c r="C436" s="178"/>
      <c r="D436" s="178"/>
      <c r="E436" s="178"/>
    </row>
    <row r="437" spans="1:5">
      <c r="A437" s="154" t="s">
        <v>46</v>
      </c>
      <c r="B437" s="154"/>
      <c r="C437" s="154" t="s">
        <v>648</v>
      </c>
      <c r="D437" s="154" t="s">
        <v>807</v>
      </c>
      <c r="E437" s="154"/>
    </row>
    <row r="438" spans="1:5">
      <c r="A438" s="150">
        <v>1</v>
      </c>
      <c r="B438" s="158"/>
      <c r="C438" s="156" t="s">
        <v>191</v>
      </c>
      <c r="D438" s="157">
        <v>2304</v>
      </c>
      <c r="E438" s="158"/>
    </row>
    <row r="439" spans="1:5">
      <c r="A439" s="152">
        <v>2</v>
      </c>
      <c r="B439" s="162"/>
      <c r="C439" s="160" t="s">
        <v>183</v>
      </c>
      <c r="D439" s="161">
        <v>1266</v>
      </c>
      <c r="E439" s="162"/>
    </row>
    <row r="440" spans="1:5">
      <c r="A440" s="150">
        <v>3</v>
      </c>
      <c r="B440" s="158"/>
      <c r="C440" s="156" t="s">
        <v>204</v>
      </c>
      <c r="D440" s="157">
        <v>655.5</v>
      </c>
      <c r="E440" s="158"/>
    </row>
    <row r="441" spans="1:5">
      <c r="A441" s="152">
        <v>4</v>
      </c>
      <c r="B441" s="162"/>
      <c r="C441" s="160" t="s">
        <v>155</v>
      </c>
      <c r="D441" s="161">
        <v>293.3</v>
      </c>
      <c r="E441" s="162"/>
    </row>
    <row r="442" spans="1:5">
      <c r="A442" s="150">
        <v>5</v>
      </c>
      <c r="B442" s="158"/>
      <c r="C442" s="156" t="s">
        <v>205</v>
      </c>
      <c r="D442" s="157">
        <v>277.5</v>
      </c>
      <c r="E442" s="158"/>
    </row>
    <row r="443" spans="1:5">
      <c r="A443" s="152">
        <v>6</v>
      </c>
      <c r="B443" s="162"/>
      <c r="C443" s="160" t="s">
        <v>174</v>
      </c>
      <c r="D443" s="161">
        <v>112</v>
      </c>
      <c r="E443" s="162"/>
    </row>
    <row r="444" spans="1:5">
      <c r="A444" s="150">
        <v>7</v>
      </c>
      <c r="B444" s="158"/>
      <c r="C444" s="156" t="s">
        <v>143</v>
      </c>
      <c r="D444" s="157">
        <v>107.8</v>
      </c>
      <c r="E444" s="158"/>
    </row>
    <row r="445" spans="1:5">
      <c r="A445" s="152">
        <v>8</v>
      </c>
      <c r="B445" s="162"/>
      <c r="C445" s="160" t="s">
        <v>152</v>
      </c>
      <c r="D445" s="161">
        <v>104.3</v>
      </c>
      <c r="E445" s="162"/>
    </row>
    <row r="446" spans="1:5">
      <c r="A446" s="150">
        <v>9</v>
      </c>
      <c r="B446" s="158"/>
      <c r="C446" s="156" t="s">
        <v>153</v>
      </c>
      <c r="D446" s="157">
        <v>90.7</v>
      </c>
      <c r="E446" s="158"/>
    </row>
    <row r="447" spans="1:5">
      <c r="A447" s="152">
        <v>10</v>
      </c>
      <c r="B447" s="162"/>
      <c r="C447" s="160" t="s">
        <v>149</v>
      </c>
      <c r="D447" s="161">
        <v>90.4</v>
      </c>
      <c r="E447" s="162"/>
    </row>
    <row r="448" spans="1:5">
      <c r="A448" s="150">
        <v>11</v>
      </c>
      <c r="B448" s="158"/>
      <c r="C448" s="156" t="s">
        <v>154</v>
      </c>
      <c r="D448" s="157">
        <v>87.5</v>
      </c>
      <c r="E448" s="158"/>
    </row>
    <row r="449" spans="1:5">
      <c r="A449" s="152">
        <v>12</v>
      </c>
      <c r="B449" s="162"/>
      <c r="C449" s="160" t="s">
        <v>150</v>
      </c>
      <c r="D449" s="161">
        <v>84.8</v>
      </c>
      <c r="E449" s="162"/>
    </row>
    <row r="450" spans="1:5">
      <c r="A450" s="150">
        <v>13</v>
      </c>
      <c r="B450" s="158"/>
      <c r="C450" s="156" t="s">
        <v>184</v>
      </c>
      <c r="D450" s="157">
        <v>84.8</v>
      </c>
      <c r="E450" s="158"/>
    </row>
    <row r="451" spans="1:5">
      <c r="A451" s="152">
        <v>14</v>
      </c>
      <c r="B451" s="162"/>
      <c r="C451" s="160" t="s">
        <v>206</v>
      </c>
      <c r="D451" s="161">
        <v>84.3</v>
      </c>
      <c r="E451" s="162"/>
    </row>
    <row r="452" spans="1:5">
      <c r="A452" s="150">
        <v>15</v>
      </c>
      <c r="B452" s="158"/>
      <c r="C452" s="156" t="s">
        <v>151</v>
      </c>
      <c r="D452" s="157">
        <v>81.900000000000006</v>
      </c>
      <c r="E452" s="158"/>
    </row>
    <row r="453" spans="1:5">
      <c r="A453" s="152">
        <v>16</v>
      </c>
      <c r="B453" s="162"/>
      <c r="C453" s="160" t="s">
        <v>144</v>
      </c>
      <c r="D453" s="161">
        <v>53</v>
      </c>
      <c r="E453" s="162"/>
    </row>
    <row r="454" spans="1:5">
      <c r="A454" s="150">
        <v>17</v>
      </c>
      <c r="B454" s="158"/>
      <c r="C454" s="156" t="s">
        <v>179</v>
      </c>
      <c r="D454" s="157">
        <v>35</v>
      </c>
      <c r="E454" s="158"/>
    </row>
    <row r="455" spans="1:5">
      <c r="A455" s="152">
        <v>18</v>
      </c>
      <c r="B455" s="162"/>
      <c r="C455" s="160" t="s">
        <v>158</v>
      </c>
      <c r="D455" s="161">
        <v>28.5</v>
      </c>
      <c r="E455" s="162"/>
    </row>
    <row r="456" spans="1:5">
      <c r="A456" s="150">
        <v>19</v>
      </c>
      <c r="B456" s="158"/>
      <c r="C456" s="156" t="s">
        <v>156</v>
      </c>
      <c r="D456" s="157">
        <v>28.5</v>
      </c>
      <c r="E456" s="158"/>
    </row>
    <row r="457" spans="1:5">
      <c r="A457" s="152">
        <v>20</v>
      </c>
      <c r="B457" s="162"/>
      <c r="C457" s="160" t="s">
        <v>157</v>
      </c>
      <c r="D457" s="161">
        <v>28.5</v>
      </c>
      <c r="E457" s="162"/>
    </row>
    <row r="458" spans="1:5">
      <c r="A458" s="150">
        <v>21</v>
      </c>
      <c r="B458" s="158"/>
      <c r="C458" s="156" t="s">
        <v>222</v>
      </c>
      <c r="D458" s="157">
        <v>15.4</v>
      </c>
      <c r="E458" s="158"/>
    </row>
    <row r="459" spans="1:5">
      <c r="A459" s="152">
        <v>22</v>
      </c>
      <c r="B459" s="162"/>
      <c r="C459" s="160" t="s">
        <v>221</v>
      </c>
      <c r="D459" s="161">
        <v>13.8</v>
      </c>
      <c r="E459" s="162"/>
    </row>
    <row r="460" spans="1:5">
      <c r="A460" s="150">
        <v>23</v>
      </c>
      <c r="B460" s="158"/>
      <c r="C460" s="156" t="s">
        <v>141</v>
      </c>
      <c r="D460" s="157">
        <v>13.2</v>
      </c>
      <c r="E460" s="158"/>
    </row>
    <row r="461" spans="1:5">
      <c r="A461" s="152">
        <v>24</v>
      </c>
      <c r="B461" s="162"/>
      <c r="C461" s="160" t="s">
        <v>181</v>
      </c>
      <c r="D461" s="161">
        <v>10</v>
      </c>
      <c r="E461" s="162"/>
    </row>
    <row r="462" spans="1:5">
      <c r="A462" s="150">
        <v>25</v>
      </c>
      <c r="B462" s="158"/>
      <c r="C462" s="156" t="s">
        <v>207</v>
      </c>
      <c r="D462" s="157">
        <v>10</v>
      </c>
      <c r="E462" s="158"/>
    </row>
    <row r="463" spans="1:5">
      <c r="A463" s="152">
        <v>26</v>
      </c>
      <c r="B463" s="162"/>
      <c r="C463" s="160" t="s">
        <v>147</v>
      </c>
      <c r="D463" s="161">
        <v>7.2</v>
      </c>
      <c r="E463" s="162"/>
    </row>
    <row r="464" spans="1:5">
      <c r="A464" s="150">
        <v>27</v>
      </c>
      <c r="B464" s="158"/>
      <c r="C464" s="156" t="s">
        <v>142</v>
      </c>
      <c r="D464" s="157">
        <v>4.2</v>
      </c>
      <c r="E464" s="158"/>
    </row>
    <row r="465" spans="1:5">
      <c r="A465" s="152">
        <v>28</v>
      </c>
      <c r="B465" s="162"/>
      <c r="C465" s="160" t="s">
        <v>146</v>
      </c>
      <c r="D465" s="161">
        <v>2.2000000000000002</v>
      </c>
      <c r="E465" s="162"/>
    </row>
    <row r="466" spans="1:5">
      <c r="A466" s="150">
        <v>29</v>
      </c>
      <c r="B466" s="158"/>
      <c r="C466" s="156" t="s">
        <v>220</v>
      </c>
      <c r="D466" s="157">
        <v>2.2000000000000002</v>
      </c>
      <c r="E466" s="158"/>
    </row>
    <row r="467" spans="1:5">
      <c r="A467" s="152">
        <v>30</v>
      </c>
      <c r="B467" s="162"/>
      <c r="C467" s="160" t="s">
        <v>195</v>
      </c>
      <c r="D467" s="161">
        <v>1.9</v>
      </c>
      <c r="E467" s="162"/>
    </row>
    <row r="468" spans="1:5">
      <c r="A468" s="150">
        <v>31</v>
      </c>
      <c r="B468" s="158"/>
      <c r="C468" s="156" t="s">
        <v>145</v>
      </c>
      <c r="D468" s="157">
        <v>1.8</v>
      </c>
      <c r="E468" s="158"/>
    </row>
    <row r="469" spans="1:5">
      <c r="A469" s="152">
        <v>32</v>
      </c>
      <c r="B469" s="162"/>
      <c r="C469" s="160" t="s">
        <v>192</v>
      </c>
      <c r="D469" s="161">
        <v>1.8</v>
      </c>
      <c r="E469" s="162"/>
    </row>
    <row r="470" spans="1:5">
      <c r="A470" s="150">
        <v>33</v>
      </c>
      <c r="B470" s="158"/>
      <c r="C470" s="156" t="s">
        <v>148</v>
      </c>
      <c r="D470" s="157">
        <v>1.4</v>
      </c>
      <c r="E470" s="158"/>
    </row>
    <row r="471" spans="1:5">
      <c r="A471" s="152">
        <v>34</v>
      </c>
      <c r="B471" s="162"/>
      <c r="C471" s="160" t="s">
        <v>159</v>
      </c>
      <c r="D471" s="161">
        <v>1.4</v>
      </c>
      <c r="E471" s="162"/>
    </row>
    <row r="472" spans="1:5">
      <c r="A472" s="150">
        <v>35</v>
      </c>
      <c r="B472" s="158"/>
      <c r="C472" s="156" t="s">
        <v>186</v>
      </c>
      <c r="D472" s="157">
        <v>1.4</v>
      </c>
      <c r="E472" s="158"/>
    </row>
    <row r="473" spans="1:5">
      <c r="A473" s="152">
        <v>36</v>
      </c>
      <c r="B473" s="162"/>
      <c r="C473" s="160" t="s">
        <v>219</v>
      </c>
      <c r="D473" s="161">
        <v>1.4</v>
      </c>
      <c r="E473" s="162"/>
    </row>
    <row r="474" spans="1:5">
      <c r="A474" s="150">
        <v>37</v>
      </c>
      <c r="B474" s="158"/>
      <c r="C474" s="156" t="s">
        <v>173</v>
      </c>
      <c r="D474" s="157">
        <v>1</v>
      </c>
      <c r="E474" s="158"/>
    </row>
    <row r="475" spans="1:5">
      <c r="A475" s="152">
        <v>38</v>
      </c>
      <c r="B475" s="162"/>
      <c r="C475" s="160" t="s">
        <v>212</v>
      </c>
      <c r="D475" s="161">
        <v>1</v>
      </c>
      <c r="E475" s="162"/>
    </row>
    <row r="476" spans="1:5">
      <c r="A476" s="197" t="s">
        <v>805</v>
      </c>
      <c r="B476" s="198"/>
      <c r="C476" s="199"/>
      <c r="D476" s="163">
        <v>5989.6</v>
      </c>
      <c r="E476" s="164"/>
    </row>
    <row r="478" spans="1:5">
      <c r="A478" s="205" t="s">
        <v>808</v>
      </c>
      <c r="B478" s="178"/>
      <c r="C478" s="178"/>
      <c r="D478" s="178"/>
      <c r="E478" s="178"/>
    </row>
    <row r="479" spans="1:5">
      <c r="A479" s="154" t="s">
        <v>46</v>
      </c>
      <c r="B479" s="154" t="s">
        <v>803</v>
      </c>
      <c r="C479" s="154" t="s">
        <v>140</v>
      </c>
      <c r="D479" s="154" t="s">
        <v>809</v>
      </c>
      <c r="E479" s="154"/>
    </row>
    <row r="480" spans="1:5">
      <c r="A480" s="150">
        <v>1</v>
      </c>
      <c r="B480" s="155">
        <v>46062</v>
      </c>
      <c r="C480" s="156" t="s">
        <v>62</v>
      </c>
      <c r="D480" s="157">
        <v>2</v>
      </c>
      <c r="E480" s="158"/>
    </row>
    <row r="481" spans="1:5">
      <c r="A481" s="152">
        <v>2</v>
      </c>
      <c r="B481" s="159">
        <v>46062</v>
      </c>
      <c r="C481" s="160" t="s">
        <v>63</v>
      </c>
      <c r="D481" s="161">
        <v>5</v>
      </c>
      <c r="E481" s="162"/>
    </row>
    <row r="482" spans="1:5">
      <c r="A482" s="150">
        <v>3</v>
      </c>
      <c r="B482" s="155">
        <v>46062</v>
      </c>
      <c r="C482" s="156" t="s">
        <v>84</v>
      </c>
      <c r="D482" s="157">
        <v>60</v>
      </c>
      <c r="E482" s="158"/>
    </row>
    <row r="483" spans="1:5">
      <c r="A483" s="152">
        <v>4</v>
      </c>
      <c r="B483" s="159">
        <v>46062</v>
      </c>
      <c r="C483" s="160" t="s">
        <v>86</v>
      </c>
      <c r="D483" s="161">
        <v>4</v>
      </c>
      <c r="E483" s="162"/>
    </row>
    <row r="484" spans="1:5">
      <c r="A484" s="150">
        <v>5</v>
      </c>
      <c r="B484" s="155">
        <v>46062</v>
      </c>
      <c r="C484" s="156" t="s">
        <v>87</v>
      </c>
      <c r="D484" s="157">
        <v>2.1</v>
      </c>
      <c r="E484" s="158"/>
    </row>
    <row r="485" spans="1:5">
      <c r="A485" s="152">
        <v>6</v>
      </c>
      <c r="B485" s="159">
        <v>46062</v>
      </c>
      <c r="C485" s="160" t="s">
        <v>97</v>
      </c>
      <c r="D485" s="161">
        <v>48</v>
      </c>
      <c r="E485" s="162"/>
    </row>
    <row r="486" spans="1:5">
      <c r="A486" s="150">
        <v>7</v>
      </c>
      <c r="B486" s="155">
        <v>46062</v>
      </c>
      <c r="C486" s="156" t="s">
        <v>104</v>
      </c>
      <c r="D486" s="157">
        <v>8</v>
      </c>
      <c r="E486" s="158"/>
    </row>
    <row r="487" spans="1:5">
      <c r="A487" s="152">
        <v>8</v>
      </c>
      <c r="B487" s="159">
        <v>46062</v>
      </c>
      <c r="C487" s="160" t="s">
        <v>114</v>
      </c>
      <c r="D487" s="161">
        <v>2</v>
      </c>
      <c r="E487" s="162"/>
    </row>
    <row r="488" spans="1:5">
      <c r="A488" s="150">
        <v>9</v>
      </c>
      <c r="B488" s="155">
        <v>46062</v>
      </c>
      <c r="C488" s="156" t="s">
        <v>115</v>
      </c>
      <c r="D488" s="157">
        <v>60</v>
      </c>
      <c r="E488" s="158"/>
    </row>
    <row r="489" spans="1:5">
      <c r="A489" s="152">
        <v>10</v>
      </c>
      <c r="B489" s="159">
        <v>46062</v>
      </c>
      <c r="C489" s="160" t="s">
        <v>115</v>
      </c>
      <c r="D489" s="161">
        <v>60</v>
      </c>
      <c r="E489" s="162"/>
    </row>
    <row r="490" spans="1:5">
      <c r="A490" s="150">
        <v>11</v>
      </c>
      <c r="B490" s="155">
        <v>46062</v>
      </c>
      <c r="C490" s="156" t="s">
        <v>122</v>
      </c>
      <c r="D490" s="157">
        <v>60</v>
      </c>
      <c r="E490" s="158"/>
    </row>
    <row r="491" spans="1:5">
      <c r="A491" s="152">
        <v>12</v>
      </c>
      <c r="B491" s="159">
        <v>46063</v>
      </c>
      <c r="C491" s="160" t="s">
        <v>107</v>
      </c>
      <c r="D491" s="161">
        <v>0.5</v>
      </c>
      <c r="E491" s="162"/>
    </row>
    <row r="492" spans="1:5">
      <c r="A492" s="150">
        <v>13</v>
      </c>
      <c r="B492" s="155">
        <v>46063</v>
      </c>
      <c r="C492" s="156" t="s">
        <v>118</v>
      </c>
      <c r="D492" s="157">
        <v>20</v>
      </c>
      <c r="E492" s="158"/>
    </row>
    <row r="493" spans="1:5">
      <c r="A493" s="152">
        <v>14</v>
      </c>
      <c r="B493" s="159">
        <v>46064</v>
      </c>
      <c r="C493" s="160" t="s">
        <v>116</v>
      </c>
      <c r="D493" s="161">
        <v>2000</v>
      </c>
      <c r="E493" s="162"/>
    </row>
    <row r="494" spans="1:5">
      <c r="A494" s="150">
        <v>15</v>
      </c>
      <c r="B494" s="155">
        <v>46064</v>
      </c>
      <c r="C494" s="156" t="s">
        <v>116</v>
      </c>
      <c r="D494" s="157">
        <v>1000</v>
      </c>
      <c r="E494" s="158"/>
    </row>
    <row r="495" spans="1:5">
      <c r="A495" s="152">
        <v>16</v>
      </c>
      <c r="B495" s="159">
        <v>46064</v>
      </c>
      <c r="C495" s="160" t="s">
        <v>134</v>
      </c>
      <c r="D495" s="161">
        <v>1000</v>
      </c>
      <c r="E495" s="162"/>
    </row>
    <row r="496" spans="1:5">
      <c r="A496" s="150">
        <v>17</v>
      </c>
      <c r="B496" s="155">
        <v>46066</v>
      </c>
      <c r="C496" s="156" t="s">
        <v>68</v>
      </c>
      <c r="D496" s="157">
        <v>20</v>
      </c>
      <c r="E496" s="158"/>
    </row>
    <row r="497" spans="1:5">
      <c r="A497" s="152">
        <v>18</v>
      </c>
      <c r="B497" s="159">
        <v>46066</v>
      </c>
      <c r="C497" s="160" t="s">
        <v>68</v>
      </c>
      <c r="D497" s="161">
        <v>10</v>
      </c>
      <c r="E497" s="162"/>
    </row>
    <row r="498" spans="1:5">
      <c r="A498" s="150">
        <v>19</v>
      </c>
      <c r="B498" s="155">
        <v>46066</v>
      </c>
      <c r="C498" s="156" t="s">
        <v>69</v>
      </c>
      <c r="D498" s="157">
        <v>4</v>
      </c>
      <c r="E498" s="158"/>
    </row>
    <row r="499" spans="1:5">
      <c r="A499" s="152">
        <v>20</v>
      </c>
      <c r="B499" s="159">
        <v>46066</v>
      </c>
      <c r="C499" s="160" t="s">
        <v>69</v>
      </c>
      <c r="D499" s="161">
        <v>2</v>
      </c>
      <c r="E499" s="162"/>
    </row>
    <row r="500" spans="1:5">
      <c r="A500" s="150">
        <v>21</v>
      </c>
      <c r="B500" s="155">
        <v>46066</v>
      </c>
      <c r="C500" s="156" t="s">
        <v>71</v>
      </c>
      <c r="D500" s="157">
        <v>20</v>
      </c>
      <c r="E500" s="158"/>
    </row>
    <row r="501" spans="1:5">
      <c r="A501" s="152">
        <v>22</v>
      </c>
      <c r="B501" s="159">
        <v>46066</v>
      </c>
      <c r="C501" s="160" t="s">
        <v>82</v>
      </c>
      <c r="D501" s="161">
        <v>20</v>
      </c>
      <c r="E501" s="162"/>
    </row>
    <row r="502" spans="1:5">
      <c r="A502" s="150">
        <v>23</v>
      </c>
      <c r="B502" s="155">
        <v>46066</v>
      </c>
      <c r="C502" s="156" t="s">
        <v>95</v>
      </c>
      <c r="D502" s="157">
        <v>10</v>
      </c>
      <c r="E502" s="158"/>
    </row>
    <row r="503" spans="1:5">
      <c r="A503" s="152">
        <v>24</v>
      </c>
      <c r="B503" s="159">
        <v>46066</v>
      </c>
      <c r="C503" s="160" t="s">
        <v>111</v>
      </c>
      <c r="D503" s="161">
        <v>4</v>
      </c>
      <c r="E503" s="162"/>
    </row>
    <row r="504" spans="1:5">
      <c r="A504" s="150">
        <v>25</v>
      </c>
      <c r="B504" s="155">
        <v>46066</v>
      </c>
      <c r="C504" s="156" t="s">
        <v>115</v>
      </c>
      <c r="D504" s="157">
        <v>60</v>
      </c>
      <c r="E504" s="158"/>
    </row>
    <row r="505" spans="1:5">
      <c r="A505" s="152">
        <v>26</v>
      </c>
      <c r="B505" s="159">
        <v>46066</v>
      </c>
      <c r="C505" s="160" t="s">
        <v>125</v>
      </c>
      <c r="D505" s="161">
        <v>10</v>
      </c>
      <c r="E505" s="162"/>
    </row>
    <row r="506" spans="1:5">
      <c r="A506" s="150">
        <v>27</v>
      </c>
      <c r="B506" s="155">
        <v>46066</v>
      </c>
      <c r="C506" s="156" t="s">
        <v>129</v>
      </c>
      <c r="D506" s="157">
        <v>10</v>
      </c>
      <c r="E506" s="158"/>
    </row>
    <row r="507" spans="1:5">
      <c r="A507" s="152">
        <v>28</v>
      </c>
      <c r="B507" s="159">
        <v>46066</v>
      </c>
      <c r="C507" s="160" t="s">
        <v>130</v>
      </c>
      <c r="D507" s="161">
        <v>54</v>
      </c>
      <c r="E507" s="162"/>
    </row>
    <row r="508" spans="1:5">
      <c r="A508" s="150">
        <v>29</v>
      </c>
      <c r="B508" s="155">
        <v>46067</v>
      </c>
      <c r="C508" s="156" t="s">
        <v>111</v>
      </c>
      <c r="D508" s="157">
        <v>2</v>
      </c>
      <c r="E508" s="158"/>
    </row>
    <row r="509" spans="1:5">
      <c r="A509" s="197" t="s">
        <v>805</v>
      </c>
      <c r="B509" s="198"/>
      <c r="C509" s="199"/>
      <c r="D509" s="163">
        <v>4557.6000000000004</v>
      </c>
      <c r="E509" s="164"/>
    </row>
    <row r="511" spans="1:5" ht="39.950000000000003" customHeight="1">
      <c r="A511" s="201" t="s">
        <v>830</v>
      </c>
      <c r="B511" s="178"/>
      <c r="C511" s="178"/>
      <c r="D511" s="178"/>
      <c r="E511" s="178"/>
    </row>
    <row r="512" spans="1:5">
      <c r="A512" s="203" t="s">
        <v>795</v>
      </c>
      <c r="B512" s="178"/>
      <c r="C512" s="178"/>
      <c r="D512" s="178"/>
      <c r="E512" s="178"/>
    </row>
    <row r="513" spans="1:5">
      <c r="A513" s="150">
        <v>1</v>
      </c>
      <c r="B513" s="202" t="s">
        <v>796</v>
      </c>
      <c r="C513" s="199"/>
      <c r="D513" s="151">
        <v>2700</v>
      </c>
      <c r="E513" s="150" t="s">
        <v>828</v>
      </c>
    </row>
    <row r="514" spans="1:5">
      <c r="A514" s="152">
        <v>2</v>
      </c>
      <c r="B514" s="206" t="s">
        <v>798</v>
      </c>
      <c r="C514" s="199"/>
      <c r="D514" s="153">
        <v>479.9</v>
      </c>
      <c r="E514" s="152" t="s">
        <v>831</v>
      </c>
    </row>
    <row r="515" spans="1:5">
      <c r="A515" s="150">
        <v>3</v>
      </c>
      <c r="B515" s="202" t="s">
        <v>800</v>
      </c>
      <c r="C515" s="199"/>
      <c r="D515" s="151">
        <v>100</v>
      </c>
      <c r="E515" s="150" t="s">
        <v>801</v>
      </c>
    </row>
    <row r="517" spans="1:5">
      <c r="A517" s="200" t="s">
        <v>802</v>
      </c>
      <c r="B517" s="178"/>
      <c r="C517" s="178"/>
      <c r="D517" s="178"/>
      <c r="E517" s="178"/>
    </row>
    <row r="518" spans="1:5">
      <c r="A518" s="154" t="s">
        <v>46</v>
      </c>
      <c r="B518" s="154" t="s">
        <v>803</v>
      </c>
      <c r="C518" s="154" t="s">
        <v>648</v>
      </c>
      <c r="D518" s="154" t="s">
        <v>804</v>
      </c>
      <c r="E518" s="154"/>
    </row>
    <row r="519" spans="1:5">
      <c r="A519" s="150">
        <v>1</v>
      </c>
      <c r="B519" s="155">
        <v>46072</v>
      </c>
      <c r="C519" s="156" t="s">
        <v>144</v>
      </c>
      <c r="D519" s="157">
        <v>70</v>
      </c>
      <c r="E519" s="158"/>
    </row>
    <row r="520" spans="1:5">
      <c r="A520" s="152">
        <v>2</v>
      </c>
      <c r="B520" s="159">
        <v>46072</v>
      </c>
      <c r="C520" s="160" t="s">
        <v>191</v>
      </c>
      <c r="D520" s="161">
        <v>1100</v>
      </c>
      <c r="E520" s="162"/>
    </row>
    <row r="521" spans="1:5">
      <c r="A521" s="150">
        <v>3</v>
      </c>
      <c r="B521" s="155">
        <v>46072</v>
      </c>
      <c r="C521" s="156" t="s">
        <v>204</v>
      </c>
      <c r="D521" s="157">
        <v>220</v>
      </c>
      <c r="E521" s="158"/>
    </row>
    <row r="522" spans="1:5">
      <c r="A522" s="152">
        <v>4</v>
      </c>
      <c r="B522" s="159">
        <v>46073</v>
      </c>
      <c r="C522" s="160" t="s">
        <v>179</v>
      </c>
      <c r="D522" s="161">
        <v>70</v>
      </c>
      <c r="E522" s="162"/>
    </row>
    <row r="523" spans="1:5">
      <c r="A523" s="150">
        <v>5</v>
      </c>
      <c r="B523" s="155">
        <v>46073</v>
      </c>
      <c r="C523" s="156" t="s">
        <v>191</v>
      </c>
      <c r="D523" s="157">
        <v>1100</v>
      </c>
      <c r="E523" s="158"/>
    </row>
    <row r="524" spans="1:5">
      <c r="A524" s="152">
        <v>6</v>
      </c>
      <c r="B524" s="159">
        <v>46073</v>
      </c>
      <c r="C524" s="160" t="s">
        <v>206</v>
      </c>
      <c r="D524" s="161">
        <v>70</v>
      </c>
      <c r="E524" s="162"/>
    </row>
    <row r="525" spans="1:5">
      <c r="A525" s="150">
        <v>7</v>
      </c>
      <c r="B525" s="155">
        <v>46073</v>
      </c>
      <c r="C525" s="156" t="s">
        <v>207</v>
      </c>
      <c r="D525" s="157">
        <v>70</v>
      </c>
      <c r="E525" s="158"/>
    </row>
    <row r="526" spans="1:5">
      <c r="A526" s="197" t="s">
        <v>805</v>
      </c>
      <c r="B526" s="198"/>
      <c r="C526" s="199"/>
      <c r="D526" s="163">
        <v>2700</v>
      </c>
      <c r="E526" s="164"/>
    </row>
    <row r="528" spans="1:5">
      <c r="A528" s="204" t="s">
        <v>806</v>
      </c>
      <c r="B528" s="178"/>
      <c r="C528" s="178"/>
      <c r="D528" s="178"/>
      <c r="E528" s="178"/>
    </row>
    <row r="529" spans="1:5">
      <c r="A529" s="154" t="s">
        <v>46</v>
      </c>
      <c r="B529" s="154"/>
      <c r="C529" s="154" t="s">
        <v>648</v>
      </c>
      <c r="D529" s="154" t="s">
        <v>807</v>
      </c>
      <c r="E529" s="154"/>
    </row>
    <row r="530" spans="1:5">
      <c r="A530" s="150">
        <v>1</v>
      </c>
      <c r="B530" s="158"/>
      <c r="C530" s="156" t="s">
        <v>204</v>
      </c>
      <c r="D530" s="157">
        <v>107.4</v>
      </c>
      <c r="E530" s="158"/>
    </row>
    <row r="531" spans="1:5">
      <c r="A531" s="152">
        <v>2</v>
      </c>
      <c r="B531" s="162"/>
      <c r="C531" s="160" t="s">
        <v>174</v>
      </c>
      <c r="D531" s="161">
        <v>86</v>
      </c>
      <c r="E531" s="162"/>
    </row>
    <row r="532" spans="1:5">
      <c r="A532" s="150">
        <v>3</v>
      </c>
      <c r="B532" s="158"/>
      <c r="C532" s="156" t="s">
        <v>205</v>
      </c>
      <c r="D532" s="157">
        <v>66.900000000000006</v>
      </c>
      <c r="E532" s="158"/>
    </row>
    <row r="533" spans="1:5">
      <c r="A533" s="152">
        <v>4</v>
      </c>
      <c r="B533" s="162"/>
      <c r="C533" s="160" t="s">
        <v>155</v>
      </c>
      <c r="D533" s="161">
        <v>49.6</v>
      </c>
      <c r="E533" s="162"/>
    </row>
    <row r="534" spans="1:5">
      <c r="A534" s="150">
        <v>5</v>
      </c>
      <c r="B534" s="158"/>
      <c r="C534" s="156" t="s">
        <v>144</v>
      </c>
      <c r="D534" s="157">
        <v>46</v>
      </c>
      <c r="E534" s="158"/>
    </row>
    <row r="535" spans="1:5">
      <c r="A535" s="152">
        <v>6</v>
      </c>
      <c r="B535" s="162"/>
      <c r="C535" s="160" t="s">
        <v>143</v>
      </c>
      <c r="D535" s="161">
        <v>28</v>
      </c>
      <c r="E535" s="162"/>
    </row>
    <row r="536" spans="1:5">
      <c r="A536" s="150">
        <v>7</v>
      </c>
      <c r="B536" s="158"/>
      <c r="C536" s="156" t="s">
        <v>183</v>
      </c>
      <c r="D536" s="157">
        <v>25.8</v>
      </c>
      <c r="E536" s="158"/>
    </row>
    <row r="537" spans="1:5">
      <c r="A537" s="152">
        <v>8</v>
      </c>
      <c r="B537" s="162"/>
      <c r="C537" s="160" t="s">
        <v>184</v>
      </c>
      <c r="D537" s="161">
        <v>22</v>
      </c>
      <c r="E537" s="162"/>
    </row>
    <row r="538" spans="1:5">
      <c r="A538" s="150">
        <v>9</v>
      </c>
      <c r="B538" s="158"/>
      <c r="C538" s="156" t="s">
        <v>161</v>
      </c>
      <c r="D538" s="157">
        <v>14</v>
      </c>
      <c r="E538" s="158"/>
    </row>
    <row r="539" spans="1:5">
      <c r="A539" s="152">
        <v>10</v>
      </c>
      <c r="B539" s="162"/>
      <c r="C539" s="160" t="s">
        <v>222</v>
      </c>
      <c r="D539" s="161">
        <v>13</v>
      </c>
      <c r="E539" s="162"/>
    </row>
    <row r="540" spans="1:5">
      <c r="A540" s="150">
        <v>11</v>
      </c>
      <c r="B540" s="158"/>
      <c r="C540" s="156" t="s">
        <v>207</v>
      </c>
      <c r="D540" s="157">
        <v>7</v>
      </c>
      <c r="E540" s="158"/>
    </row>
    <row r="541" spans="1:5">
      <c r="A541" s="152">
        <v>12</v>
      </c>
      <c r="B541" s="162"/>
      <c r="C541" s="160" t="s">
        <v>141</v>
      </c>
      <c r="D541" s="161">
        <v>3.6</v>
      </c>
      <c r="E541" s="162"/>
    </row>
    <row r="542" spans="1:5">
      <c r="A542" s="150">
        <v>13</v>
      </c>
      <c r="B542" s="158"/>
      <c r="C542" s="156" t="s">
        <v>147</v>
      </c>
      <c r="D542" s="157">
        <v>2.5</v>
      </c>
      <c r="E542" s="158"/>
    </row>
    <row r="543" spans="1:5">
      <c r="A543" s="152">
        <v>14</v>
      </c>
      <c r="B543" s="162"/>
      <c r="C543" s="160" t="s">
        <v>173</v>
      </c>
      <c r="D543" s="161">
        <v>2</v>
      </c>
      <c r="E543" s="162"/>
    </row>
    <row r="544" spans="1:5">
      <c r="A544" s="150">
        <v>15</v>
      </c>
      <c r="B544" s="158"/>
      <c r="C544" s="156" t="s">
        <v>206</v>
      </c>
      <c r="D544" s="157">
        <v>1.8</v>
      </c>
      <c r="E544" s="158"/>
    </row>
    <row r="545" spans="1:5">
      <c r="A545" s="152">
        <v>16</v>
      </c>
      <c r="B545" s="162"/>
      <c r="C545" s="160" t="s">
        <v>221</v>
      </c>
      <c r="D545" s="161">
        <v>1.8</v>
      </c>
      <c r="E545" s="162"/>
    </row>
    <row r="546" spans="1:5">
      <c r="A546" s="150">
        <v>17</v>
      </c>
      <c r="B546" s="158"/>
      <c r="C546" s="156" t="s">
        <v>146</v>
      </c>
      <c r="D546" s="157">
        <v>1.5</v>
      </c>
      <c r="E546" s="158"/>
    </row>
    <row r="547" spans="1:5">
      <c r="A547" s="152">
        <v>18</v>
      </c>
      <c r="B547" s="162"/>
      <c r="C547" s="160" t="s">
        <v>142</v>
      </c>
      <c r="D547" s="161">
        <v>0.5</v>
      </c>
      <c r="E547" s="162"/>
    </row>
    <row r="548" spans="1:5">
      <c r="A548" s="150">
        <v>19</v>
      </c>
      <c r="B548" s="158"/>
      <c r="C548" s="156" t="s">
        <v>220</v>
      </c>
      <c r="D548" s="157">
        <v>0.5</v>
      </c>
      <c r="E548" s="158"/>
    </row>
    <row r="549" spans="1:5">
      <c r="A549" s="197" t="s">
        <v>805</v>
      </c>
      <c r="B549" s="198"/>
      <c r="C549" s="199"/>
      <c r="D549" s="163">
        <v>479.9</v>
      </c>
      <c r="E549" s="164"/>
    </row>
    <row r="551" spans="1:5">
      <c r="A551" s="205" t="s">
        <v>808</v>
      </c>
      <c r="B551" s="178"/>
      <c r="C551" s="178"/>
      <c r="D551" s="178"/>
      <c r="E551" s="178"/>
    </row>
    <row r="552" spans="1:5">
      <c r="A552" s="154" t="s">
        <v>46</v>
      </c>
      <c r="B552" s="154" t="s">
        <v>803</v>
      </c>
      <c r="C552" s="154" t="s">
        <v>140</v>
      </c>
      <c r="D552" s="154" t="s">
        <v>809</v>
      </c>
      <c r="E552" s="154"/>
    </row>
    <row r="553" spans="1:5">
      <c r="A553" s="150">
        <v>1</v>
      </c>
      <c r="B553" s="155">
        <v>46072</v>
      </c>
      <c r="C553" s="156" t="s">
        <v>84</v>
      </c>
      <c r="D553" s="157">
        <v>100</v>
      </c>
      <c r="E553" s="158"/>
    </row>
    <row r="554" spans="1:5">
      <c r="A554" s="197" t="s">
        <v>805</v>
      </c>
      <c r="B554" s="198"/>
      <c r="C554" s="199"/>
      <c r="D554" s="163">
        <v>100</v>
      </c>
      <c r="E554" s="164"/>
    </row>
    <row r="556" spans="1:5" ht="39.950000000000003" customHeight="1">
      <c r="A556" s="201" t="s">
        <v>832</v>
      </c>
      <c r="B556" s="178"/>
      <c r="C556" s="178"/>
      <c r="D556" s="178"/>
      <c r="E556" s="178"/>
    </row>
    <row r="557" spans="1:5">
      <c r="A557" s="203" t="s">
        <v>795</v>
      </c>
      <c r="B557" s="178"/>
      <c r="C557" s="178"/>
      <c r="D557" s="178"/>
      <c r="E557" s="178"/>
    </row>
    <row r="558" spans="1:5">
      <c r="A558" s="150">
        <v>1</v>
      </c>
      <c r="B558" s="202" t="s">
        <v>796</v>
      </c>
      <c r="C558" s="199"/>
      <c r="D558" s="151">
        <v>2670</v>
      </c>
      <c r="E558" s="150" t="s">
        <v>833</v>
      </c>
    </row>
    <row r="559" spans="1:5">
      <c r="A559" s="152">
        <v>2</v>
      </c>
      <c r="B559" s="206" t="s">
        <v>798</v>
      </c>
      <c r="C559" s="199"/>
      <c r="D559" s="153">
        <v>2630.4</v>
      </c>
      <c r="E559" s="152" t="s">
        <v>801</v>
      </c>
    </row>
    <row r="560" spans="1:5">
      <c r="A560" s="150">
        <v>3</v>
      </c>
      <c r="B560" s="202" t="s">
        <v>800</v>
      </c>
      <c r="C560" s="199"/>
      <c r="D560" s="151">
        <v>1384</v>
      </c>
      <c r="E560" s="150" t="s">
        <v>833</v>
      </c>
    </row>
    <row r="562" spans="1:5">
      <c r="A562" s="200" t="s">
        <v>802</v>
      </c>
      <c r="B562" s="178"/>
      <c r="C562" s="178"/>
      <c r="D562" s="178"/>
      <c r="E562" s="178"/>
    </row>
    <row r="563" spans="1:5">
      <c r="A563" s="154" t="s">
        <v>46</v>
      </c>
      <c r="B563" s="154" t="s">
        <v>803</v>
      </c>
      <c r="C563" s="154" t="s">
        <v>648</v>
      </c>
      <c r="D563" s="154" t="s">
        <v>804</v>
      </c>
      <c r="E563" s="154"/>
    </row>
    <row r="564" spans="1:5">
      <c r="A564" s="150">
        <v>1</v>
      </c>
      <c r="B564" s="155">
        <v>46076</v>
      </c>
      <c r="C564" s="156" t="s">
        <v>144</v>
      </c>
      <c r="D564" s="157">
        <v>140</v>
      </c>
      <c r="E564" s="158"/>
    </row>
    <row r="565" spans="1:5">
      <c r="A565" s="152">
        <v>2</v>
      </c>
      <c r="B565" s="159">
        <v>46076</v>
      </c>
      <c r="C565" s="160" t="s">
        <v>155</v>
      </c>
      <c r="D565" s="161">
        <v>220</v>
      </c>
      <c r="E565" s="162"/>
    </row>
    <row r="566" spans="1:5">
      <c r="A566" s="150">
        <v>3</v>
      </c>
      <c r="B566" s="155">
        <v>46076</v>
      </c>
      <c r="C566" s="156" t="s">
        <v>191</v>
      </c>
      <c r="D566" s="157">
        <v>1100</v>
      </c>
      <c r="E566" s="158"/>
    </row>
    <row r="567" spans="1:5">
      <c r="A567" s="152">
        <v>4</v>
      </c>
      <c r="B567" s="159">
        <v>46077</v>
      </c>
      <c r="C567" s="160" t="s">
        <v>191</v>
      </c>
      <c r="D567" s="161">
        <v>1100</v>
      </c>
      <c r="E567" s="162"/>
    </row>
    <row r="568" spans="1:5">
      <c r="A568" s="150">
        <v>5</v>
      </c>
      <c r="B568" s="155">
        <v>46077</v>
      </c>
      <c r="C568" s="156" t="s">
        <v>222</v>
      </c>
      <c r="D568" s="157">
        <v>110</v>
      </c>
      <c r="E568" s="158"/>
    </row>
    <row r="569" spans="1:5">
      <c r="A569" s="197" t="s">
        <v>805</v>
      </c>
      <c r="B569" s="198"/>
      <c r="C569" s="199"/>
      <c r="D569" s="163">
        <v>2670</v>
      </c>
      <c r="E569" s="164"/>
    </row>
    <row r="571" spans="1:5">
      <c r="A571" s="204" t="s">
        <v>806</v>
      </c>
      <c r="B571" s="178"/>
      <c r="C571" s="178"/>
      <c r="D571" s="178"/>
      <c r="E571" s="178"/>
    </row>
    <row r="572" spans="1:5">
      <c r="A572" s="154" t="s">
        <v>46</v>
      </c>
      <c r="B572" s="154"/>
      <c r="C572" s="154" t="s">
        <v>648</v>
      </c>
      <c r="D572" s="154" t="s">
        <v>807</v>
      </c>
      <c r="E572" s="154"/>
    </row>
    <row r="573" spans="1:5">
      <c r="A573" s="150">
        <v>1</v>
      </c>
      <c r="B573" s="158"/>
      <c r="C573" s="156" t="s">
        <v>191</v>
      </c>
      <c r="D573" s="157">
        <v>2630.4</v>
      </c>
      <c r="E573" s="158"/>
    </row>
    <row r="574" spans="1:5">
      <c r="A574" s="197" t="s">
        <v>805</v>
      </c>
      <c r="B574" s="198"/>
      <c r="C574" s="199"/>
      <c r="D574" s="163">
        <v>2630.4</v>
      </c>
      <c r="E574" s="164"/>
    </row>
    <row r="576" spans="1:5">
      <c r="A576" s="205" t="s">
        <v>808</v>
      </c>
      <c r="B576" s="178"/>
      <c r="C576" s="178"/>
      <c r="D576" s="178"/>
      <c r="E576" s="178"/>
    </row>
    <row r="577" spans="1:5">
      <c r="A577" s="154" t="s">
        <v>46</v>
      </c>
      <c r="B577" s="154" t="s">
        <v>803</v>
      </c>
      <c r="C577" s="154" t="s">
        <v>140</v>
      </c>
      <c r="D577" s="154" t="s">
        <v>809</v>
      </c>
      <c r="E577" s="154"/>
    </row>
    <row r="578" spans="1:5">
      <c r="A578" s="150">
        <v>1</v>
      </c>
      <c r="B578" s="155">
        <v>46077</v>
      </c>
      <c r="C578" s="156" t="s">
        <v>92</v>
      </c>
      <c r="D578" s="157">
        <v>144</v>
      </c>
      <c r="E578" s="158"/>
    </row>
    <row r="579" spans="1:5">
      <c r="A579" s="152">
        <v>2</v>
      </c>
      <c r="B579" s="159">
        <v>46077</v>
      </c>
      <c r="C579" s="160" t="s">
        <v>115</v>
      </c>
      <c r="D579" s="161">
        <v>40</v>
      </c>
      <c r="E579" s="162"/>
    </row>
    <row r="580" spans="1:5">
      <c r="A580" s="150">
        <v>3</v>
      </c>
      <c r="B580" s="155">
        <v>46077</v>
      </c>
      <c r="C580" s="156" t="s">
        <v>118</v>
      </c>
      <c r="D580" s="157">
        <v>200</v>
      </c>
      <c r="E580" s="158"/>
    </row>
    <row r="581" spans="1:5">
      <c r="A581" s="152">
        <v>4</v>
      </c>
      <c r="B581" s="159">
        <v>46077</v>
      </c>
      <c r="C581" s="160" t="s">
        <v>120</v>
      </c>
      <c r="D581" s="161">
        <v>1000</v>
      </c>
      <c r="E581" s="162"/>
    </row>
    <row r="582" spans="1:5">
      <c r="A582" s="197" t="s">
        <v>805</v>
      </c>
      <c r="B582" s="198"/>
      <c r="C582" s="199"/>
      <c r="D582" s="163">
        <v>1384</v>
      </c>
      <c r="E582" s="164"/>
    </row>
  </sheetData>
  <mergeCells count="99">
    <mergeCell ref="A11:C11"/>
    <mergeCell ref="B335:C335"/>
    <mergeCell ref="A190:E190"/>
    <mergeCell ref="B334:C334"/>
    <mergeCell ref="B110:C110"/>
    <mergeCell ref="A65:C65"/>
    <mergeCell ref="A582:C582"/>
    <mergeCell ref="B4:C4"/>
    <mergeCell ref="A114:E114"/>
    <mergeCell ref="B47:C47"/>
    <mergeCell ref="A257:E257"/>
    <mergeCell ref="A51:E51"/>
    <mergeCell ref="A162:E162"/>
    <mergeCell ref="A517:E517"/>
    <mergeCell ref="B48:C48"/>
    <mergeCell ref="B259:C259"/>
    <mergeCell ref="A478:E478"/>
    <mergeCell ref="A7:E7"/>
    <mergeCell ref="B111:C111"/>
    <mergeCell ref="B514:C514"/>
    <mergeCell ref="A240:C240"/>
    <mergeCell ref="A556:E556"/>
    <mergeCell ref="A554:C554"/>
    <mergeCell ref="A2:E2"/>
    <mergeCell ref="A278:E278"/>
    <mergeCell ref="A562:E562"/>
    <mergeCell ref="B187:C187"/>
    <mergeCell ref="A182:C182"/>
    <mergeCell ref="A98:C98"/>
    <mergeCell ref="A318:E318"/>
    <mergeCell ref="B5:C5"/>
    <mergeCell ref="A476:C476"/>
    <mergeCell ref="A13:E13"/>
    <mergeCell ref="A398:C398"/>
    <mergeCell ref="B188:C188"/>
    <mergeCell ref="B559:C559"/>
    <mergeCell ref="B258:C258"/>
    <mergeCell ref="A512:E512"/>
    <mergeCell ref="A549:C549"/>
    <mergeCell ref="A358:C358"/>
    <mergeCell ref="A436:E436"/>
    <mergeCell ref="A332:E332"/>
    <mergeCell ref="A526:C526"/>
    <mergeCell ref="B420:C420"/>
    <mergeCell ref="A511:E511"/>
    <mergeCell ref="A434:C434"/>
    <mergeCell ref="A360:E360"/>
    <mergeCell ref="B421:C421"/>
    <mergeCell ref="A423:E423"/>
    <mergeCell ref="A528:E528"/>
    <mergeCell ref="B333:C333"/>
    <mergeCell ref="A400:E400"/>
    <mergeCell ref="A130:E130"/>
    <mergeCell ref="B3:C3"/>
    <mergeCell ref="A576:E576"/>
    <mergeCell ref="A417:E417"/>
    <mergeCell ref="A160:C160"/>
    <mergeCell ref="A256:E256"/>
    <mergeCell ref="A551:E551"/>
    <mergeCell ref="A106:C106"/>
    <mergeCell ref="A38:C38"/>
    <mergeCell ref="A418:E418"/>
    <mergeCell ref="A331:E331"/>
    <mergeCell ref="B186:C186"/>
    <mergeCell ref="A329:C329"/>
    <mergeCell ref="B515:C515"/>
    <mergeCell ref="A509:C509"/>
    <mergeCell ref="B513:C513"/>
    <mergeCell ref="A415:C415"/>
    <mergeCell ref="A574:C574"/>
    <mergeCell ref="A46:E46"/>
    <mergeCell ref="A557:E557"/>
    <mergeCell ref="A571:E571"/>
    <mergeCell ref="B112:C112"/>
    <mergeCell ref="A569:C569"/>
    <mergeCell ref="B419:C419"/>
    <mergeCell ref="A185:E185"/>
    <mergeCell ref="A203:E203"/>
    <mergeCell ref="B49:C49"/>
    <mergeCell ref="A184:E184"/>
    <mergeCell ref="A100:E100"/>
    <mergeCell ref="B558:C558"/>
    <mergeCell ref="B560:C560"/>
    <mergeCell ref="A316:C316"/>
    <mergeCell ref="A128:C128"/>
    <mergeCell ref="A337:E337"/>
    <mergeCell ref="A45:E45"/>
    <mergeCell ref="A1:E1"/>
    <mergeCell ref="A43:C43"/>
    <mergeCell ref="A201:C201"/>
    <mergeCell ref="A40:E40"/>
    <mergeCell ref="A67:E67"/>
    <mergeCell ref="A254:C254"/>
    <mergeCell ref="A108:E108"/>
    <mergeCell ref="A242:E242"/>
    <mergeCell ref="A276:C276"/>
    <mergeCell ref="B260:C260"/>
    <mergeCell ref="A109:E109"/>
    <mergeCell ref="A262:E262"/>
  </mergeCells>
  <phoneticPr fontId="55" type="noConversion"/>
  <pageMargins left="0.5" right="0.5" top="0.5" bottom="0.5" header="0.5" footer="0.5"/>
  <pageSetup paperSize="9" fitToHeight="0" orientation="portrait"/>
  <rowBreaks count="8" manualBreakCount="8">
    <brk id="44" max="16383" man="1"/>
    <brk id="107" max="16383" man="1"/>
    <brk id="183" max="16383" man="1"/>
    <brk id="255" max="16383" man="1"/>
    <brk id="330" max="16383" man="1"/>
    <brk id="416" max="16383" man="1"/>
    <brk id="510" max="16383" man="1"/>
    <brk id="55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755"/>
  <sheetViews>
    <sheetView workbookViewId="0"/>
  </sheetViews>
  <sheetFormatPr defaultRowHeight="16.5"/>
  <cols>
    <col min="1" max="1" width="5" customWidth="1"/>
    <col min="2" max="2" width="12" customWidth="1"/>
    <col min="3" max="3" width="28" customWidth="1"/>
    <col min="4" max="5" width="14" customWidth="1"/>
  </cols>
  <sheetData>
    <row r="1" spans="1:5" ht="38.1" customHeight="1">
      <c r="A1" s="209" t="s">
        <v>834</v>
      </c>
      <c r="B1" s="178"/>
      <c r="C1" s="178"/>
      <c r="D1" s="178"/>
      <c r="E1" s="178"/>
    </row>
    <row r="2" spans="1:5">
      <c r="A2" s="205" t="s">
        <v>835</v>
      </c>
      <c r="B2" s="178"/>
      <c r="C2" s="178"/>
      <c r="D2" s="178"/>
      <c r="E2" s="178"/>
    </row>
    <row r="3" spans="1:5">
      <c r="A3" s="207" t="s">
        <v>836</v>
      </c>
      <c r="B3" s="198"/>
      <c r="C3" s="198"/>
      <c r="D3" s="198"/>
      <c r="E3" s="199"/>
    </row>
    <row r="4" spans="1:5">
      <c r="A4" s="154" t="s">
        <v>46</v>
      </c>
      <c r="B4" s="154"/>
      <c r="C4" s="154" t="s">
        <v>837</v>
      </c>
      <c r="D4" s="154" t="s">
        <v>838</v>
      </c>
      <c r="E4" s="154"/>
    </row>
    <row r="5" spans="1:5">
      <c r="A5" s="150">
        <v>1</v>
      </c>
      <c r="B5" s="158"/>
      <c r="C5" s="156" t="s">
        <v>90</v>
      </c>
      <c r="D5" s="165">
        <v>161.43</v>
      </c>
      <c r="E5" s="158"/>
    </row>
    <row r="6" spans="1:5">
      <c r="A6" s="152">
        <v>2</v>
      </c>
      <c r="B6" s="162"/>
      <c r="C6" s="160" t="s">
        <v>113</v>
      </c>
      <c r="D6" s="166">
        <v>30.6</v>
      </c>
      <c r="E6" s="162"/>
    </row>
    <row r="7" spans="1:5">
      <c r="A7" s="150">
        <v>3</v>
      </c>
      <c r="B7" s="158"/>
      <c r="C7" s="156" t="s">
        <v>99</v>
      </c>
      <c r="D7" s="165">
        <v>20.16</v>
      </c>
      <c r="E7" s="158"/>
    </row>
    <row r="8" spans="1:5">
      <c r="A8" s="152">
        <v>4</v>
      </c>
      <c r="B8" s="162"/>
      <c r="C8" s="160" t="s">
        <v>70</v>
      </c>
      <c r="D8" s="166">
        <v>16.38</v>
      </c>
      <c r="E8" s="162"/>
    </row>
    <row r="9" spans="1:5">
      <c r="A9" s="150">
        <v>5</v>
      </c>
      <c r="B9" s="158"/>
      <c r="C9" s="156" t="s">
        <v>96</v>
      </c>
      <c r="D9" s="165">
        <v>4.29</v>
      </c>
      <c r="E9" s="158"/>
    </row>
    <row r="10" spans="1:5">
      <c r="A10" s="152">
        <v>6</v>
      </c>
      <c r="B10" s="162"/>
      <c r="C10" s="160" t="s">
        <v>98</v>
      </c>
      <c r="D10" s="166">
        <v>3.78</v>
      </c>
      <c r="E10" s="162"/>
    </row>
    <row r="11" spans="1:5">
      <c r="A11" s="150">
        <v>7</v>
      </c>
      <c r="B11" s="158"/>
      <c r="C11" s="156" t="s">
        <v>121</v>
      </c>
      <c r="D11" s="165">
        <v>2.6</v>
      </c>
      <c r="E11" s="158"/>
    </row>
    <row r="12" spans="1:5">
      <c r="A12" s="152">
        <v>8</v>
      </c>
      <c r="B12" s="162"/>
      <c r="C12" s="160" t="s">
        <v>75</v>
      </c>
      <c r="D12" s="166">
        <v>0.77</v>
      </c>
      <c r="E12" s="162"/>
    </row>
    <row r="13" spans="1:5">
      <c r="A13" s="208" t="s">
        <v>839</v>
      </c>
      <c r="B13" s="198"/>
      <c r="C13" s="199"/>
      <c r="D13" s="167">
        <v>240</v>
      </c>
      <c r="E13" s="168"/>
    </row>
    <row r="15" spans="1:5">
      <c r="A15" s="200" t="s">
        <v>840</v>
      </c>
      <c r="B15" s="178"/>
      <c r="C15" s="178"/>
      <c r="D15" s="178"/>
      <c r="E15" s="178"/>
    </row>
    <row r="16" spans="1:5">
      <c r="A16" s="154" t="s">
        <v>46</v>
      </c>
      <c r="B16" s="154"/>
      <c r="C16" s="154" t="s">
        <v>837</v>
      </c>
      <c r="D16" s="154" t="s">
        <v>841</v>
      </c>
      <c r="E16" s="154"/>
    </row>
    <row r="17" spans="1:5">
      <c r="A17" s="150">
        <v>1</v>
      </c>
      <c r="B17" s="158"/>
      <c r="C17" s="156" t="s">
        <v>90</v>
      </c>
      <c r="D17" s="165">
        <v>161.43</v>
      </c>
      <c r="E17" s="158"/>
    </row>
    <row r="18" spans="1:5">
      <c r="A18" s="152">
        <v>2</v>
      </c>
      <c r="B18" s="162"/>
      <c r="C18" s="160" t="s">
        <v>113</v>
      </c>
      <c r="D18" s="166">
        <v>30.6</v>
      </c>
      <c r="E18" s="162"/>
    </row>
    <row r="19" spans="1:5">
      <c r="A19" s="150">
        <v>3</v>
      </c>
      <c r="B19" s="158"/>
      <c r="C19" s="156" t="s">
        <v>99</v>
      </c>
      <c r="D19" s="165">
        <v>20.16</v>
      </c>
      <c r="E19" s="158"/>
    </row>
    <row r="20" spans="1:5">
      <c r="A20" s="152">
        <v>4</v>
      </c>
      <c r="B20" s="162"/>
      <c r="C20" s="160" t="s">
        <v>70</v>
      </c>
      <c r="D20" s="166">
        <v>16.38</v>
      </c>
      <c r="E20" s="162"/>
    </row>
    <row r="21" spans="1:5">
      <c r="A21" s="150">
        <v>5</v>
      </c>
      <c r="B21" s="158"/>
      <c r="C21" s="156" t="s">
        <v>96</v>
      </c>
      <c r="D21" s="165">
        <v>4.29</v>
      </c>
      <c r="E21" s="158"/>
    </row>
    <row r="22" spans="1:5">
      <c r="A22" s="152">
        <v>6</v>
      </c>
      <c r="B22" s="162"/>
      <c r="C22" s="160" t="s">
        <v>98</v>
      </c>
      <c r="D22" s="166">
        <v>3.78</v>
      </c>
      <c r="E22" s="162"/>
    </row>
    <row r="23" spans="1:5">
      <c r="A23" s="150">
        <v>7</v>
      </c>
      <c r="B23" s="158"/>
      <c r="C23" s="156" t="s">
        <v>121</v>
      </c>
      <c r="D23" s="165">
        <v>2.6</v>
      </c>
      <c r="E23" s="158"/>
    </row>
    <row r="24" spans="1:5">
      <c r="A24" s="152">
        <v>8</v>
      </c>
      <c r="B24" s="162"/>
      <c r="C24" s="160" t="s">
        <v>75</v>
      </c>
      <c r="D24" s="166">
        <v>0.77</v>
      </c>
      <c r="E24" s="162"/>
    </row>
    <row r="25" spans="1:5">
      <c r="A25" s="197" t="s">
        <v>842</v>
      </c>
      <c r="B25" s="198"/>
      <c r="C25" s="199"/>
      <c r="D25" s="169">
        <v>240</v>
      </c>
      <c r="E25" s="164"/>
    </row>
    <row r="27" spans="1:5" ht="38.1" customHeight="1">
      <c r="A27" s="209" t="s">
        <v>843</v>
      </c>
      <c r="B27" s="178"/>
      <c r="C27" s="178"/>
      <c r="D27" s="178"/>
      <c r="E27" s="178"/>
    </row>
    <row r="28" spans="1:5">
      <c r="A28" s="205" t="s">
        <v>844</v>
      </c>
      <c r="B28" s="178"/>
      <c r="C28" s="178"/>
      <c r="D28" s="178"/>
      <c r="E28" s="178"/>
    </row>
    <row r="29" spans="1:5">
      <c r="A29" s="207" t="s">
        <v>845</v>
      </c>
      <c r="B29" s="198"/>
      <c r="C29" s="198"/>
      <c r="D29" s="198"/>
      <c r="E29" s="199"/>
    </row>
    <row r="30" spans="1:5">
      <c r="A30" s="154" t="s">
        <v>46</v>
      </c>
      <c r="B30" s="154"/>
      <c r="C30" s="154" t="s">
        <v>837</v>
      </c>
      <c r="D30" s="154" t="s">
        <v>838</v>
      </c>
      <c r="E30" s="154"/>
    </row>
    <row r="31" spans="1:5">
      <c r="A31" s="150">
        <v>1</v>
      </c>
      <c r="B31" s="158"/>
      <c r="C31" s="156" t="s">
        <v>120</v>
      </c>
      <c r="D31" s="165">
        <v>130.94</v>
      </c>
      <c r="E31" s="158"/>
    </row>
    <row r="32" spans="1:5">
      <c r="A32" s="152">
        <v>2</v>
      </c>
      <c r="B32" s="162"/>
      <c r="C32" s="160" t="s">
        <v>116</v>
      </c>
      <c r="D32" s="166">
        <v>62.72</v>
      </c>
      <c r="E32" s="162"/>
    </row>
    <row r="33" spans="1:5">
      <c r="A33" s="150">
        <v>3</v>
      </c>
      <c r="B33" s="158"/>
      <c r="C33" s="156" t="s">
        <v>113</v>
      </c>
      <c r="D33" s="165">
        <v>51.65</v>
      </c>
      <c r="E33" s="158"/>
    </row>
    <row r="34" spans="1:5">
      <c r="A34" s="152">
        <v>4</v>
      </c>
      <c r="B34" s="162"/>
      <c r="C34" s="160" t="s">
        <v>92</v>
      </c>
      <c r="D34" s="166">
        <v>9.73</v>
      </c>
      <c r="E34" s="162"/>
    </row>
    <row r="35" spans="1:5">
      <c r="A35" s="150">
        <v>5</v>
      </c>
      <c r="B35" s="158"/>
      <c r="C35" s="156" t="s">
        <v>99</v>
      </c>
      <c r="D35" s="165">
        <v>9.73</v>
      </c>
      <c r="E35" s="158"/>
    </row>
    <row r="36" spans="1:5">
      <c r="A36" s="152">
        <v>6</v>
      </c>
      <c r="B36" s="162"/>
      <c r="C36" s="160" t="s">
        <v>71</v>
      </c>
      <c r="D36" s="166">
        <v>6.16</v>
      </c>
      <c r="E36" s="162"/>
    </row>
    <row r="37" spans="1:5">
      <c r="A37" s="150">
        <v>7</v>
      </c>
      <c r="B37" s="158"/>
      <c r="C37" s="156" t="s">
        <v>121</v>
      </c>
      <c r="D37" s="165">
        <v>2.31</v>
      </c>
      <c r="E37" s="158"/>
    </row>
    <row r="38" spans="1:5">
      <c r="A38" s="152">
        <v>8</v>
      </c>
      <c r="B38" s="162"/>
      <c r="C38" s="160" t="s">
        <v>84</v>
      </c>
      <c r="D38" s="166">
        <v>2.1</v>
      </c>
      <c r="E38" s="162"/>
    </row>
    <row r="39" spans="1:5">
      <c r="A39" s="150">
        <v>9</v>
      </c>
      <c r="B39" s="158"/>
      <c r="C39" s="156" t="s">
        <v>108</v>
      </c>
      <c r="D39" s="165">
        <v>1.68</v>
      </c>
      <c r="E39" s="158"/>
    </row>
    <row r="40" spans="1:5">
      <c r="A40" s="152">
        <v>10</v>
      </c>
      <c r="B40" s="162"/>
      <c r="C40" s="160" t="s">
        <v>118</v>
      </c>
      <c r="D40" s="166">
        <v>1.54</v>
      </c>
      <c r="E40" s="162"/>
    </row>
    <row r="41" spans="1:5">
      <c r="A41" s="150">
        <v>11</v>
      </c>
      <c r="B41" s="158"/>
      <c r="C41" s="156" t="s">
        <v>130</v>
      </c>
      <c r="D41" s="165">
        <v>1.1100000000000001</v>
      </c>
      <c r="E41" s="158"/>
    </row>
    <row r="42" spans="1:5">
      <c r="A42" s="152">
        <v>12</v>
      </c>
      <c r="B42" s="162"/>
      <c r="C42" s="160" t="s">
        <v>104</v>
      </c>
      <c r="D42" s="166">
        <v>0.33</v>
      </c>
      <c r="E42" s="162"/>
    </row>
    <row r="43" spans="1:5">
      <c r="A43" s="208" t="s">
        <v>846</v>
      </c>
      <c r="B43" s="198"/>
      <c r="C43" s="199"/>
      <c r="D43" s="167">
        <v>280</v>
      </c>
      <c r="E43" s="168"/>
    </row>
    <row r="44" spans="1:5">
      <c r="A44" s="207" t="s">
        <v>847</v>
      </c>
      <c r="B44" s="198"/>
      <c r="C44" s="198"/>
      <c r="D44" s="198"/>
      <c r="E44" s="199"/>
    </row>
    <row r="45" spans="1:5">
      <c r="A45" s="154" t="s">
        <v>46</v>
      </c>
      <c r="B45" s="154"/>
      <c r="C45" s="154" t="s">
        <v>837</v>
      </c>
      <c r="D45" s="154" t="s">
        <v>838</v>
      </c>
      <c r="E45" s="154"/>
    </row>
    <row r="46" spans="1:5">
      <c r="A46" s="150">
        <v>1</v>
      </c>
      <c r="B46" s="158"/>
      <c r="C46" s="156" t="s">
        <v>90</v>
      </c>
      <c r="D46" s="165">
        <v>95.38</v>
      </c>
      <c r="E46" s="158"/>
    </row>
    <row r="47" spans="1:5">
      <c r="A47" s="152">
        <v>2</v>
      </c>
      <c r="B47" s="162"/>
      <c r="C47" s="160" t="s">
        <v>113</v>
      </c>
      <c r="D47" s="166">
        <v>27.38</v>
      </c>
      <c r="E47" s="162"/>
    </row>
    <row r="48" spans="1:5">
      <c r="A48" s="150">
        <v>3</v>
      </c>
      <c r="B48" s="158"/>
      <c r="C48" s="156" t="s">
        <v>99</v>
      </c>
      <c r="D48" s="165">
        <v>17.32</v>
      </c>
      <c r="E48" s="158"/>
    </row>
    <row r="49" spans="1:5">
      <c r="A49" s="152">
        <v>4</v>
      </c>
      <c r="B49" s="162"/>
      <c r="C49" s="160" t="s">
        <v>120</v>
      </c>
      <c r="D49" s="166">
        <v>10.8</v>
      </c>
      <c r="E49" s="162"/>
    </row>
    <row r="50" spans="1:5">
      <c r="A50" s="150">
        <v>5</v>
      </c>
      <c r="B50" s="158"/>
      <c r="C50" s="156" t="s">
        <v>112</v>
      </c>
      <c r="D50" s="165">
        <v>5.17</v>
      </c>
      <c r="E50" s="158"/>
    </row>
    <row r="51" spans="1:5">
      <c r="A51" s="152">
        <v>6</v>
      </c>
      <c r="B51" s="162"/>
      <c r="C51" s="160" t="s">
        <v>55</v>
      </c>
      <c r="D51" s="166">
        <v>3.54</v>
      </c>
      <c r="E51" s="162"/>
    </row>
    <row r="52" spans="1:5">
      <c r="A52" s="150">
        <v>7</v>
      </c>
      <c r="B52" s="158"/>
      <c r="C52" s="156" t="s">
        <v>60</v>
      </c>
      <c r="D52" s="165">
        <v>3.14</v>
      </c>
      <c r="E52" s="158"/>
    </row>
    <row r="53" spans="1:5">
      <c r="A53" s="152">
        <v>8</v>
      </c>
      <c r="B53" s="162"/>
      <c r="C53" s="160" t="s">
        <v>93</v>
      </c>
      <c r="D53" s="166">
        <v>2.54</v>
      </c>
      <c r="E53" s="162"/>
    </row>
    <row r="54" spans="1:5">
      <c r="A54" s="150">
        <v>9</v>
      </c>
      <c r="B54" s="158"/>
      <c r="C54" s="156" t="s">
        <v>58</v>
      </c>
      <c r="D54" s="165">
        <v>2.2400000000000002</v>
      </c>
      <c r="E54" s="158"/>
    </row>
    <row r="55" spans="1:5">
      <c r="A55" s="152">
        <v>10</v>
      </c>
      <c r="B55" s="162"/>
      <c r="C55" s="160" t="s">
        <v>121</v>
      </c>
      <c r="D55" s="166">
        <v>1.83</v>
      </c>
      <c r="E55" s="162"/>
    </row>
    <row r="56" spans="1:5">
      <c r="A56" s="150">
        <v>11</v>
      </c>
      <c r="B56" s="158"/>
      <c r="C56" s="156" t="s">
        <v>87</v>
      </c>
      <c r="D56" s="165">
        <v>0.39</v>
      </c>
      <c r="E56" s="158"/>
    </row>
    <row r="57" spans="1:5">
      <c r="A57" s="152">
        <v>12</v>
      </c>
      <c r="B57" s="162"/>
      <c r="C57" s="160" t="s">
        <v>56</v>
      </c>
      <c r="D57" s="166">
        <v>0.25</v>
      </c>
      <c r="E57" s="162"/>
    </row>
    <row r="58" spans="1:5">
      <c r="A58" s="150">
        <v>13</v>
      </c>
      <c r="B58" s="158"/>
      <c r="C58" s="156" t="s">
        <v>86</v>
      </c>
      <c r="D58" s="165">
        <v>0.03</v>
      </c>
      <c r="E58" s="158"/>
    </row>
    <row r="59" spans="1:5">
      <c r="A59" s="208" t="s">
        <v>848</v>
      </c>
      <c r="B59" s="198"/>
      <c r="C59" s="199"/>
      <c r="D59" s="167">
        <v>170</v>
      </c>
      <c r="E59" s="168"/>
    </row>
    <row r="60" spans="1:5">
      <c r="A60" s="207" t="s">
        <v>849</v>
      </c>
      <c r="B60" s="198"/>
      <c r="C60" s="198"/>
      <c r="D60" s="198"/>
      <c r="E60" s="199"/>
    </row>
    <row r="61" spans="1:5">
      <c r="A61" s="154" t="s">
        <v>46</v>
      </c>
      <c r="B61" s="154"/>
      <c r="C61" s="154" t="s">
        <v>837</v>
      </c>
      <c r="D61" s="154" t="s">
        <v>838</v>
      </c>
      <c r="E61" s="154"/>
    </row>
    <row r="62" spans="1:5">
      <c r="A62" s="150">
        <v>1</v>
      </c>
      <c r="B62" s="158"/>
      <c r="C62" s="156" t="s">
        <v>90</v>
      </c>
      <c r="D62" s="165">
        <v>100.01</v>
      </c>
      <c r="E62" s="158"/>
    </row>
    <row r="63" spans="1:5">
      <c r="A63" s="152">
        <v>2</v>
      </c>
      <c r="B63" s="162"/>
      <c r="C63" s="160" t="s">
        <v>113</v>
      </c>
      <c r="D63" s="166">
        <v>26.01</v>
      </c>
      <c r="E63" s="162"/>
    </row>
    <row r="64" spans="1:5">
      <c r="A64" s="150">
        <v>3</v>
      </c>
      <c r="B64" s="158"/>
      <c r="C64" s="156" t="s">
        <v>99</v>
      </c>
      <c r="D64" s="165">
        <v>16.27</v>
      </c>
      <c r="E64" s="158"/>
    </row>
    <row r="65" spans="1:5">
      <c r="A65" s="152">
        <v>4</v>
      </c>
      <c r="B65" s="162"/>
      <c r="C65" s="160" t="s">
        <v>68</v>
      </c>
      <c r="D65" s="166">
        <v>7.55</v>
      </c>
      <c r="E65" s="162"/>
    </row>
    <row r="66" spans="1:5">
      <c r="A66" s="150">
        <v>5</v>
      </c>
      <c r="B66" s="158"/>
      <c r="C66" s="156" t="s">
        <v>98</v>
      </c>
      <c r="D66" s="165">
        <v>2.4</v>
      </c>
      <c r="E66" s="158"/>
    </row>
    <row r="67" spans="1:5">
      <c r="A67" s="152">
        <v>6</v>
      </c>
      <c r="B67" s="162"/>
      <c r="C67" s="160" t="s">
        <v>93</v>
      </c>
      <c r="D67" s="166">
        <v>1.8</v>
      </c>
      <c r="E67" s="162"/>
    </row>
    <row r="68" spans="1:5">
      <c r="A68" s="150">
        <v>7</v>
      </c>
      <c r="B68" s="158"/>
      <c r="C68" s="156" t="s">
        <v>121</v>
      </c>
      <c r="D68" s="165">
        <v>1.69</v>
      </c>
      <c r="E68" s="158"/>
    </row>
    <row r="69" spans="1:5">
      <c r="A69" s="152">
        <v>8</v>
      </c>
      <c r="B69" s="162"/>
      <c r="C69" s="160" t="s">
        <v>109</v>
      </c>
      <c r="D69" s="166">
        <v>1.24</v>
      </c>
      <c r="E69" s="162"/>
    </row>
    <row r="70" spans="1:5">
      <c r="A70" s="150">
        <v>9</v>
      </c>
      <c r="B70" s="158"/>
      <c r="C70" s="156" t="s">
        <v>105</v>
      </c>
      <c r="D70" s="165">
        <v>1.1499999999999999</v>
      </c>
      <c r="E70" s="158"/>
    </row>
    <row r="71" spans="1:5">
      <c r="A71" s="152">
        <v>10</v>
      </c>
      <c r="B71" s="162"/>
      <c r="C71" s="160" t="s">
        <v>58</v>
      </c>
      <c r="D71" s="166">
        <v>1</v>
      </c>
      <c r="E71" s="162"/>
    </row>
    <row r="72" spans="1:5">
      <c r="A72" s="150">
        <v>11</v>
      </c>
      <c r="B72" s="158"/>
      <c r="C72" s="156" t="s">
        <v>59</v>
      </c>
      <c r="D72" s="165">
        <v>0.9</v>
      </c>
      <c r="E72" s="158"/>
    </row>
    <row r="73" spans="1:5">
      <c r="A73" s="152">
        <v>12</v>
      </c>
      <c r="B73" s="162"/>
      <c r="C73" s="160" t="s">
        <v>69</v>
      </c>
      <c r="D73" s="166">
        <v>0.9</v>
      </c>
      <c r="E73" s="162"/>
    </row>
    <row r="74" spans="1:5">
      <c r="A74" s="150">
        <v>13</v>
      </c>
      <c r="B74" s="158"/>
      <c r="C74" s="156" t="s">
        <v>117</v>
      </c>
      <c r="D74" s="165">
        <v>0.85</v>
      </c>
      <c r="E74" s="158"/>
    </row>
    <row r="75" spans="1:5">
      <c r="A75" s="152">
        <v>14</v>
      </c>
      <c r="B75" s="162"/>
      <c r="C75" s="160" t="s">
        <v>75</v>
      </c>
      <c r="D75" s="166">
        <v>0.4</v>
      </c>
      <c r="E75" s="162"/>
    </row>
    <row r="76" spans="1:5">
      <c r="A76" s="150">
        <v>15</v>
      </c>
      <c r="B76" s="158"/>
      <c r="C76" s="156" t="s">
        <v>123</v>
      </c>
      <c r="D76" s="165">
        <v>0.33</v>
      </c>
      <c r="E76" s="158"/>
    </row>
    <row r="77" spans="1:5">
      <c r="A77" s="208" t="s">
        <v>850</v>
      </c>
      <c r="B77" s="198"/>
      <c r="C77" s="199"/>
      <c r="D77" s="167">
        <v>162.5</v>
      </c>
      <c r="E77" s="168"/>
    </row>
    <row r="78" spans="1:5">
      <c r="A78" s="207" t="s">
        <v>851</v>
      </c>
      <c r="B78" s="198"/>
      <c r="C78" s="198"/>
      <c r="D78" s="198"/>
      <c r="E78" s="199"/>
    </row>
    <row r="79" spans="1:5">
      <c r="A79" s="154" t="s">
        <v>46</v>
      </c>
      <c r="B79" s="154"/>
      <c r="C79" s="154" t="s">
        <v>837</v>
      </c>
      <c r="D79" s="154" t="s">
        <v>838</v>
      </c>
      <c r="E79" s="154"/>
    </row>
    <row r="80" spans="1:5">
      <c r="A80" s="150">
        <v>1</v>
      </c>
      <c r="B80" s="158"/>
      <c r="C80" s="156" t="s">
        <v>90</v>
      </c>
      <c r="D80" s="165">
        <v>77.39</v>
      </c>
      <c r="E80" s="158"/>
    </row>
    <row r="81" spans="1:5">
      <c r="A81" s="152">
        <v>2</v>
      </c>
      <c r="B81" s="162"/>
      <c r="C81" s="160" t="s">
        <v>113</v>
      </c>
      <c r="D81" s="166">
        <v>15.43</v>
      </c>
      <c r="E81" s="162"/>
    </row>
    <row r="82" spans="1:5">
      <c r="A82" s="150">
        <v>3</v>
      </c>
      <c r="B82" s="158"/>
      <c r="C82" s="156" t="s">
        <v>70</v>
      </c>
      <c r="D82" s="165">
        <v>9.69</v>
      </c>
      <c r="E82" s="158"/>
    </row>
    <row r="83" spans="1:5">
      <c r="A83" s="152">
        <v>4</v>
      </c>
      <c r="B83" s="162"/>
      <c r="C83" s="160" t="s">
        <v>98</v>
      </c>
      <c r="D83" s="166">
        <v>9.69</v>
      </c>
      <c r="E83" s="162"/>
    </row>
    <row r="84" spans="1:5">
      <c r="A84" s="150">
        <v>5</v>
      </c>
      <c r="B84" s="158"/>
      <c r="C84" s="156" t="s">
        <v>99</v>
      </c>
      <c r="D84" s="165">
        <v>9.69</v>
      </c>
      <c r="E84" s="158"/>
    </row>
    <row r="85" spans="1:5">
      <c r="A85" s="152">
        <v>6</v>
      </c>
      <c r="B85" s="162"/>
      <c r="C85" s="160" t="s">
        <v>96</v>
      </c>
      <c r="D85" s="166">
        <v>2.42</v>
      </c>
      <c r="E85" s="162"/>
    </row>
    <row r="86" spans="1:5">
      <c r="A86" s="150">
        <v>7</v>
      </c>
      <c r="B86" s="158"/>
      <c r="C86" s="156" t="s">
        <v>75</v>
      </c>
      <c r="D86" s="165">
        <v>1.91</v>
      </c>
      <c r="E86" s="158"/>
    </row>
    <row r="87" spans="1:5">
      <c r="A87" s="152">
        <v>8</v>
      </c>
      <c r="B87" s="162"/>
      <c r="C87" s="160" t="s">
        <v>121</v>
      </c>
      <c r="D87" s="166">
        <v>1.27</v>
      </c>
      <c r="E87" s="162"/>
    </row>
    <row r="88" spans="1:5">
      <c r="A88" s="208" t="s">
        <v>852</v>
      </c>
      <c r="B88" s="198"/>
      <c r="C88" s="199"/>
      <c r="D88" s="167">
        <v>127.5</v>
      </c>
      <c r="E88" s="168"/>
    </row>
    <row r="90" spans="1:5">
      <c r="A90" s="200" t="s">
        <v>840</v>
      </c>
      <c r="B90" s="178"/>
      <c r="C90" s="178"/>
      <c r="D90" s="178"/>
      <c r="E90" s="178"/>
    </row>
    <row r="91" spans="1:5">
      <c r="A91" s="154" t="s">
        <v>46</v>
      </c>
      <c r="B91" s="154"/>
      <c r="C91" s="154" t="s">
        <v>837</v>
      </c>
      <c r="D91" s="154" t="s">
        <v>841</v>
      </c>
      <c r="E91" s="154"/>
    </row>
    <row r="92" spans="1:5">
      <c r="A92" s="150">
        <v>1</v>
      </c>
      <c r="B92" s="158"/>
      <c r="C92" s="156" t="s">
        <v>90</v>
      </c>
      <c r="D92" s="165">
        <v>272.79000000000002</v>
      </c>
      <c r="E92" s="158"/>
    </row>
    <row r="93" spans="1:5">
      <c r="A93" s="152">
        <v>2</v>
      </c>
      <c r="B93" s="162"/>
      <c r="C93" s="160" t="s">
        <v>120</v>
      </c>
      <c r="D93" s="166">
        <v>141.74</v>
      </c>
      <c r="E93" s="162"/>
    </row>
    <row r="94" spans="1:5">
      <c r="A94" s="150">
        <v>3</v>
      </c>
      <c r="B94" s="158"/>
      <c r="C94" s="156" t="s">
        <v>113</v>
      </c>
      <c r="D94" s="165">
        <v>120.47</v>
      </c>
      <c r="E94" s="158"/>
    </row>
    <row r="95" spans="1:5">
      <c r="A95" s="152">
        <v>4</v>
      </c>
      <c r="B95" s="162"/>
      <c r="C95" s="160" t="s">
        <v>116</v>
      </c>
      <c r="D95" s="166">
        <v>62.72</v>
      </c>
      <c r="E95" s="162"/>
    </row>
    <row r="96" spans="1:5">
      <c r="A96" s="150">
        <v>5</v>
      </c>
      <c r="B96" s="158"/>
      <c r="C96" s="156" t="s">
        <v>99</v>
      </c>
      <c r="D96" s="165">
        <v>53.02</v>
      </c>
      <c r="E96" s="158"/>
    </row>
    <row r="97" spans="1:5">
      <c r="A97" s="152">
        <v>6</v>
      </c>
      <c r="B97" s="162"/>
      <c r="C97" s="160" t="s">
        <v>98</v>
      </c>
      <c r="D97" s="166">
        <v>12.09</v>
      </c>
      <c r="E97" s="162"/>
    </row>
    <row r="98" spans="1:5">
      <c r="A98" s="150">
        <v>7</v>
      </c>
      <c r="B98" s="158"/>
      <c r="C98" s="156" t="s">
        <v>92</v>
      </c>
      <c r="D98" s="165">
        <v>9.73</v>
      </c>
      <c r="E98" s="158"/>
    </row>
    <row r="99" spans="1:5">
      <c r="A99" s="152">
        <v>8</v>
      </c>
      <c r="B99" s="162"/>
      <c r="C99" s="160" t="s">
        <v>70</v>
      </c>
      <c r="D99" s="166">
        <v>9.69</v>
      </c>
      <c r="E99" s="162"/>
    </row>
    <row r="100" spans="1:5">
      <c r="A100" s="150">
        <v>9</v>
      </c>
      <c r="B100" s="158"/>
      <c r="C100" s="156" t="s">
        <v>68</v>
      </c>
      <c r="D100" s="165">
        <v>7.55</v>
      </c>
      <c r="E100" s="158"/>
    </row>
    <row r="101" spans="1:5">
      <c r="A101" s="152">
        <v>10</v>
      </c>
      <c r="B101" s="162"/>
      <c r="C101" s="160" t="s">
        <v>121</v>
      </c>
      <c r="D101" s="166">
        <v>7.11</v>
      </c>
      <c r="E101" s="162"/>
    </row>
    <row r="102" spans="1:5">
      <c r="A102" s="150">
        <v>11</v>
      </c>
      <c r="B102" s="158"/>
      <c r="C102" s="156" t="s">
        <v>71</v>
      </c>
      <c r="D102" s="165">
        <v>6.16</v>
      </c>
      <c r="E102" s="158"/>
    </row>
    <row r="103" spans="1:5">
      <c r="A103" s="152">
        <v>12</v>
      </c>
      <c r="B103" s="162"/>
      <c r="C103" s="160" t="s">
        <v>112</v>
      </c>
      <c r="D103" s="166">
        <v>5.17</v>
      </c>
      <c r="E103" s="162"/>
    </row>
    <row r="104" spans="1:5">
      <c r="A104" s="150">
        <v>13</v>
      </c>
      <c r="B104" s="158"/>
      <c r="C104" s="156" t="s">
        <v>93</v>
      </c>
      <c r="D104" s="165">
        <v>4.34</v>
      </c>
      <c r="E104" s="158"/>
    </row>
    <row r="105" spans="1:5">
      <c r="A105" s="152">
        <v>14</v>
      </c>
      <c r="B105" s="162"/>
      <c r="C105" s="160" t="s">
        <v>55</v>
      </c>
      <c r="D105" s="166">
        <v>3.54</v>
      </c>
      <c r="E105" s="162"/>
    </row>
    <row r="106" spans="1:5">
      <c r="A106" s="150">
        <v>15</v>
      </c>
      <c r="B106" s="158"/>
      <c r="C106" s="156" t="s">
        <v>58</v>
      </c>
      <c r="D106" s="165">
        <v>3.24</v>
      </c>
      <c r="E106" s="158"/>
    </row>
    <row r="107" spans="1:5">
      <c r="A107" s="152">
        <v>16</v>
      </c>
      <c r="B107" s="162"/>
      <c r="C107" s="160" t="s">
        <v>60</v>
      </c>
      <c r="D107" s="166">
        <v>3.14</v>
      </c>
      <c r="E107" s="162"/>
    </row>
    <row r="108" spans="1:5">
      <c r="A108" s="150">
        <v>17</v>
      </c>
      <c r="B108" s="158"/>
      <c r="C108" s="156" t="s">
        <v>96</v>
      </c>
      <c r="D108" s="165">
        <v>2.42</v>
      </c>
      <c r="E108" s="158"/>
    </row>
    <row r="109" spans="1:5">
      <c r="A109" s="152">
        <v>18</v>
      </c>
      <c r="B109" s="162"/>
      <c r="C109" s="160" t="s">
        <v>75</v>
      </c>
      <c r="D109" s="166">
        <v>2.31</v>
      </c>
      <c r="E109" s="162"/>
    </row>
    <row r="110" spans="1:5">
      <c r="A110" s="150">
        <v>19</v>
      </c>
      <c r="B110" s="158"/>
      <c r="C110" s="156" t="s">
        <v>84</v>
      </c>
      <c r="D110" s="165">
        <v>2.1</v>
      </c>
      <c r="E110" s="158"/>
    </row>
    <row r="111" spans="1:5">
      <c r="A111" s="152">
        <v>20</v>
      </c>
      <c r="B111" s="162"/>
      <c r="C111" s="160" t="s">
        <v>108</v>
      </c>
      <c r="D111" s="166">
        <v>1.68</v>
      </c>
      <c r="E111" s="162"/>
    </row>
    <row r="112" spans="1:5">
      <c r="A112" s="150">
        <v>21</v>
      </c>
      <c r="B112" s="158"/>
      <c r="C112" s="156" t="s">
        <v>118</v>
      </c>
      <c r="D112" s="165">
        <v>1.54</v>
      </c>
      <c r="E112" s="158"/>
    </row>
    <row r="113" spans="1:5">
      <c r="A113" s="152">
        <v>22</v>
      </c>
      <c r="B113" s="162"/>
      <c r="C113" s="160" t="s">
        <v>109</v>
      </c>
      <c r="D113" s="166">
        <v>1.24</v>
      </c>
      <c r="E113" s="162"/>
    </row>
    <row r="114" spans="1:5">
      <c r="A114" s="150">
        <v>23</v>
      </c>
      <c r="B114" s="158"/>
      <c r="C114" s="156" t="s">
        <v>105</v>
      </c>
      <c r="D114" s="165">
        <v>1.1499999999999999</v>
      </c>
      <c r="E114" s="158"/>
    </row>
    <row r="115" spans="1:5">
      <c r="A115" s="152">
        <v>24</v>
      </c>
      <c r="B115" s="162"/>
      <c r="C115" s="160" t="s">
        <v>130</v>
      </c>
      <c r="D115" s="166">
        <v>1.1100000000000001</v>
      </c>
      <c r="E115" s="162"/>
    </row>
    <row r="116" spans="1:5">
      <c r="A116" s="150">
        <v>25</v>
      </c>
      <c r="B116" s="158"/>
      <c r="C116" s="156" t="s">
        <v>59</v>
      </c>
      <c r="D116" s="165">
        <v>0.9</v>
      </c>
      <c r="E116" s="158"/>
    </row>
    <row r="117" spans="1:5">
      <c r="A117" s="152">
        <v>26</v>
      </c>
      <c r="B117" s="162"/>
      <c r="C117" s="160" t="s">
        <v>69</v>
      </c>
      <c r="D117" s="166">
        <v>0.9</v>
      </c>
      <c r="E117" s="162"/>
    </row>
    <row r="118" spans="1:5">
      <c r="A118" s="150">
        <v>27</v>
      </c>
      <c r="B118" s="158"/>
      <c r="C118" s="156" t="s">
        <v>117</v>
      </c>
      <c r="D118" s="165">
        <v>0.85</v>
      </c>
      <c r="E118" s="158"/>
    </row>
    <row r="119" spans="1:5">
      <c r="A119" s="152">
        <v>28</v>
      </c>
      <c r="B119" s="162"/>
      <c r="C119" s="160" t="s">
        <v>87</v>
      </c>
      <c r="D119" s="166">
        <v>0.39</v>
      </c>
      <c r="E119" s="162"/>
    </row>
    <row r="120" spans="1:5">
      <c r="A120" s="150">
        <v>29</v>
      </c>
      <c r="B120" s="158"/>
      <c r="C120" s="156" t="s">
        <v>104</v>
      </c>
      <c r="D120" s="165">
        <v>0.33</v>
      </c>
      <c r="E120" s="158"/>
    </row>
    <row r="121" spans="1:5">
      <c r="A121" s="152">
        <v>30</v>
      </c>
      <c r="B121" s="162"/>
      <c r="C121" s="160" t="s">
        <v>123</v>
      </c>
      <c r="D121" s="166">
        <v>0.33</v>
      </c>
      <c r="E121" s="162"/>
    </row>
    <row r="122" spans="1:5">
      <c r="A122" s="150">
        <v>31</v>
      </c>
      <c r="B122" s="158"/>
      <c r="C122" s="156" t="s">
        <v>56</v>
      </c>
      <c r="D122" s="165">
        <v>0.25</v>
      </c>
      <c r="E122" s="158"/>
    </row>
    <row r="123" spans="1:5">
      <c r="A123" s="152">
        <v>32</v>
      </c>
      <c r="B123" s="162"/>
      <c r="C123" s="160" t="s">
        <v>86</v>
      </c>
      <c r="D123" s="166">
        <v>0.03</v>
      </c>
      <c r="E123" s="162"/>
    </row>
    <row r="124" spans="1:5">
      <c r="A124" s="197" t="s">
        <v>853</v>
      </c>
      <c r="B124" s="198"/>
      <c r="C124" s="199"/>
      <c r="D124" s="169">
        <v>740</v>
      </c>
      <c r="E124" s="164"/>
    </row>
    <row r="126" spans="1:5" ht="38.1" customHeight="1">
      <c r="A126" s="209" t="s">
        <v>854</v>
      </c>
      <c r="B126" s="178"/>
      <c r="C126" s="178"/>
      <c r="D126" s="178"/>
      <c r="E126" s="178"/>
    </row>
    <row r="127" spans="1:5">
      <c r="A127" s="205" t="s">
        <v>855</v>
      </c>
      <c r="B127" s="178"/>
      <c r="C127" s="178"/>
      <c r="D127" s="178"/>
      <c r="E127" s="178"/>
    </row>
    <row r="128" spans="1:5">
      <c r="A128" s="207" t="s">
        <v>856</v>
      </c>
      <c r="B128" s="198"/>
      <c r="C128" s="198"/>
      <c r="D128" s="198"/>
      <c r="E128" s="199"/>
    </row>
    <row r="129" spans="1:5">
      <c r="A129" s="154" t="s">
        <v>46</v>
      </c>
      <c r="B129" s="154"/>
      <c r="C129" s="154" t="s">
        <v>837</v>
      </c>
      <c r="D129" s="154" t="s">
        <v>838</v>
      </c>
      <c r="E129" s="154"/>
    </row>
    <row r="130" spans="1:5">
      <c r="A130" s="150">
        <v>1</v>
      </c>
      <c r="B130" s="158"/>
      <c r="C130" s="156" t="s">
        <v>120</v>
      </c>
      <c r="D130" s="165">
        <v>160.16</v>
      </c>
      <c r="E130" s="158"/>
    </row>
    <row r="131" spans="1:5">
      <c r="A131" s="152">
        <v>2</v>
      </c>
      <c r="B131" s="162"/>
      <c r="C131" s="160" t="s">
        <v>116</v>
      </c>
      <c r="D131" s="166">
        <v>150.08000000000001</v>
      </c>
      <c r="E131" s="162"/>
    </row>
    <row r="132" spans="1:5">
      <c r="A132" s="150">
        <v>3</v>
      </c>
      <c r="B132" s="158"/>
      <c r="C132" s="156" t="s">
        <v>92</v>
      </c>
      <c r="D132" s="165">
        <v>7.98</v>
      </c>
      <c r="E132" s="158"/>
    </row>
    <row r="133" spans="1:5">
      <c r="A133" s="152">
        <v>4</v>
      </c>
      <c r="B133" s="162"/>
      <c r="C133" s="160" t="s">
        <v>99</v>
      </c>
      <c r="D133" s="166">
        <v>7.98</v>
      </c>
      <c r="E133" s="162"/>
    </row>
    <row r="134" spans="1:5">
      <c r="A134" s="150">
        <v>5</v>
      </c>
      <c r="B134" s="158"/>
      <c r="C134" s="156" t="s">
        <v>71</v>
      </c>
      <c r="D134" s="165">
        <v>6.93</v>
      </c>
      <c r="E134" s="158"/>
    </row>
    <row r="135" spans="1:5">
      <c r="A135" s="152">
        <v>6</v>
      </c>
      <c r="B135" s="162"/>
      <c r="C135" s="160" t="s">
        <v>84</v>
      </c>
      <c r="D135" s="166">
        <v>6.3</v>
      </c>
      <c r="E135" s="162"/>
    </row>
    <row r="136" spans="1:5">
      <c r="A136" s="150">
        <v>7</v>
      </c>
      <c r="B136" s="158"/>
      <c r="C136" s="156" t="s">
        <v>121</v>
      </c>
      <c r="D136" s="165">
        <v>2.8</v>
      </c>
      <c r="E136" s="158"/>
    </row>
    <row r="137" spans="1:5">
      <c r="A137" s="152">
        <v>8</v>
      </c>
      <c r="B137" s="162"/>
      <c r="C137" s="160" t="s">
        <v>118</v>
      </c>
      <c r="D137" s="166">
        <v>2.38</v>
      </c>
      <c r="E137" s="162"/>
    </row>
    <row r="138" spans="1:5">
      <c r="A138" s="150">
        <v>9</v>
      </c>
      <c r="B138" s="158"/>
      <c r="C138" s="156" t="s">
        <v>104</v>
      </c>
      <c r="D138" s="165">
        <v>2.31</v>
      </c>
      <c r="E138" s="158"/>
    </row>
    <row r="139" spans="1:5">
      <c r="A139" s="152">
        <v>10</v>
      </c>
      <c r="B139" s="162"/>
      <c r="C139" s="160" t="s">
        <v>108</v>
      </c>
      <c r="D139" s="166">
        <v>1.68</v>
      </c>
      <c r="E139" s="162"/>
    </row>
    <row r="140" spans="1:5">
      <c r="A140" s="150">
        <v>11</v>
      </c>
      <c r="B140" s="158"/>
      <c r="C140" s="156" t="s">
        <v>130</v>
      </c>
      <c r="D140" s="165">
        <v>1.4</v>
      </c>
      <c r="E140" s="158"/>
    </row>
    <row r="141" spans="1:5">
      <c r="A141" s="208" t="s">
        <v>857</v>
      </c>
      <c r="B141" s="198"/>
      <c r="C141" s="199"/>
      <c r="D141" s="167">
        <v>350</v>
      </c>
      <c r="E141" s="168"/>
    </row>
    <row r="142" spans="1:5">
      <c r="A142" s="207" t="s">
        <v>858</v>
      </c>
      <c r="B142" s="198"/>
      <c r="C142" s="198"/>
      <c r="D142" s="198"/>
      <c r="E142" s="199"/>
    </row>
    <row r="143" spans="1:5">
      <c r="A143" s="154" t="s">
        <v>46</v>
      </c>
      <c r="B143" s="154"/>
      <c r="C143" s="154" t="s">
        <v>837</v>
      </c>
      <c r="D143" s="154" t="s">
        <v>838</v>
      </c>
      <c r="E143" s="154"/>
    </row>
    <row r="144" spans="1:5">
      <c r="A144" s="150">
        <v>1</v>
      </c>
      <c r="B144" s="158"/>
      <c r="C144" s="156" t="s">
        <v>120</v>
      </c>
      <c r="D144" s="165">
        <v>66.709999999999994</v>
      </c>
      <c r="E144" s="158"/>
    </row>
    <row r="145" spans="1:5">
      <c r="A145" s="152">
        <v>2</v>
      </c>
      <c r="B145" s="162"/>
      <c r="C145" s="160" t="s">
        <v>113</v>
      </c>
      <c r="D145" s="166">
        <v>32.57</v>
      </c>
      <c r="E145" s="162"/>
    </row>
    <row r="146" spans="1:5">
      <c r="A146" s="150">
        <v>3</v>
      </c>
      <c r="B146" s="158"/>
      <c r="C146" s="156" t="s">
        <v>116</v>
      </c>
      <c r="D146" s="165">
        <v>31.36</v>
      </c>
      <c r="E146" s="158"/>
    </row>
    <row r="147" spans="1:5">
      <c r="A147" s="152">
        <v>4</v>
      </c>
      <c r="B147" s="162"/>
      <c r="C147" s="160" t="s">
        <v>90</v>
      </c>
      <c r="D147" s="166">
        <v>23.14</v>
      </c>
      <c r="E147" s="162"/>
    </row>
    <row r="148" spans="1:5">
      <c r="A148" s="150">
        <v>5</v>
      </c>
      <c r="B148" s="158"/>
      <c r="C148" s="156" t="s">
        <v>99</v>
      </c>
      <c r="D148" s="165">
        <v>8.7200000000000006</v>
      </c>
      <c r="E148" s="158"/>
    </row>
    <row r="149" spans="1:5">
      <c r="A149" s="152">
        <v>6</v>
      </c>
      <c r="B149" s="162"/>
      <c r="C149" s="160" t="s">
        <v>92</v>
      </c>
      <c r="D149" s="166">
        <v>4.97</v>
      </c>
      <c r="E149" s="162"/>
    </row>
    <row r="150" spans="1:5">
      <c r="A150" s="150">
        <v>7</v>
      </c>
      <c r="B150" s="158"/>
      <c r="C150" s="156" t="s">
        <v>72</v>
      </c>
      <c r="D150" s="165">
        <v>2.25</v>
      </c>
      <c r="E150" s="158"/>
    </row>
    <row r="151" spans="1:5">
      <c r="A151" s="152">
        <v>8</v>
      </c>
      <c r="B151" s="162"/>
      <c r="C151" s="160" t="s">
        <v>84</v>
      </c>
      <c r="D151" s="166">
        <v>2.1</v>
      </c>
      <c r="E151" s="162"/>
    </row>
    <row r="152" spans="1:5">
      <c r="A152" s="150">
        <v>9</v>
      </c>
      <c r="B152" s="158"/>
      <c r="C152" s="156" t="s">
        <v>121</v>
      </c>
      <c r="D152" s="165">
        <v>1.56</v>
      </c>
      <c r="E152" s="158"/>
    </row>
    <row r="153" spans="1:5">
      <c r="A153" s="152">
        <v>10</v>
      </c>
      <c r="B153" s="162"/>
      <c r="C153" s="160" t="s">
        <v>108</v>
      </c>
      <c r="D153" s="166">
        <v>0.84</v>
      </c>
      <c r="E153" s="162"/>
    </row>
    <row r="154" spans="1:5">
      <c r="A154" s="150">
        <v>11</v>
      </c>
      <c r="B154" s="158"/>
      <c r="C154" s="156" t="s">
        <v>118</v>
      </c>
      <c r="D154" s="165">
        <v>0.77</v>
      </c>
      <c r="E154" s="158"/>
    </row>
    <row r="155" spans="1:5">
      <c r="A155" s="152">
        <v>12</v>
      </c>
      <c r="B155" s="162"/>
      <c r="C155" s="160" t="s">
        <v>93</v>
      </c>
      <c r="D155" s="166">
        <v>0.6</v>
      </c>
      <c r="E155" s="162"/>
    </row>
    <row r="156" spans="1:5">
      <c r="A156" s="150">
        <v>13</v>
      </c>
      <c r="B156" s="158"/>
      <c r="C156" s="156" t="s">
        <v>130</v>
      </c>
      <c r="D156" s="165">
        <v>0.56000000000000005</v>
      </c>
      <c r="E156" s="158"/>
    </row>
    <row r="157" spans="1:5">
      <c r="A157" s="152">
        <v>14</v>
      </c>
      <c r="B157" s="162"/>
      <c r="C157" s="160" t="s">
        <v>58</v>
      </c>
      <c r="D157" s="166">
        <v>0.45</v>
      </c>
      <c r="E157" s="162"/>
    </row>
    <row r="158" spans="1:5">
      <c r="A158" s="150">
        <v>15</v>
      </c>
      <c r="B158" s="158"/>
      <c r="C158" s="156" t="s">
        <v>111</v>
      </c>
      <c r="D158" s="165">
        <v>0.45</v>
      </c>
      <c r="E158" s="158"/>
    </row>
    <row r="159" spans="1:5">
      <c r="A159" s="152">
        <v>16</v>
      </c>
      <c r="B159" s="162"/>
      <c r="C159" s="160" t="s">
        <v>125</v>
      </c>
      <c r="D159" s="166">
        <v>0.45</v>
      </c>
      <c r="E159" s="162"/>
    </row>
    <row r="160" spans="1:5">
      <c r="A160" s="208" t="s">
        <v>859</v>
      </c>
      <c r="B160" s="198"/>
      <c r="C160" s="199"/>
      <c r="D160" s="167">
        <v>177.5</v>
      </c>
      <c r="E160" s="168"/>
    </row>
    <row r="161" spans="1:5">
      <c r="A161" s="207" t="s">
        <v>860</v>
      </c>
      <c r="B161" s="198"/>
      <c r="C161" s="198"/>
      <c r="D161" s="198"/>
      <c r="E161" s="199"/>
    </row>
    <row r="162" spans="1:5">
      <c r="A162" s="154" t="s">
        <v>46</v>
      </c>
      <c r="B162" s="154"/>
      <c r="C162" s="154" t="s">
        <v>837</v>
      </c>
      <c r="D162" s="154" t="s">
        <v>838</v>
      </c>
      <c r="E162" s="154"/>
    </row>
    <row r="163" spans="1:5">
      <c r="A163" s="150">
        <v>1</v>
      </c>
      <c r="B163" s="158"/>
      <c r="C163" s="156" t="s">
        <v>120</v>
      </c>
      <c r="D163" s="165">
        <v>97.59</v>
      </c>
      <c r="E163" s="158"/>
    </row>
    <row r="164" spans="1:5">
      <c r="A164" s="152">
        <v>2</v>
      </c>
      <c r="B164" s="162"/>
      <c r="C164" s="160" t="s">
        <v>116</v>
      </c>
      <c r="D164" s="166">
        <v>69.930000000000007</v>
      </c>
      <c r="E164" s="162"/>
    </row>
    <row r="165" spans="1:5">
      <c r="A165" s="150">
        <v>3</v>
      </c>
      <c r="B165" s="158"/>
      <c r="C165" s="156" t="s">
        <v>113</v>
      </c>
      <c r="D165" s="165">
        <v>43.88</v>
      </c>
      <c r="E165" s="158"/>
    </row>
    <row r="166" spans="1:5">
      <c r="A166" s="152">
        <v>4</v>
      </c>
      <c r="B166" s="162"/>
      <c r="C166" s="160" t="s">
        <v>89</v>
      </c>
      <c r="D166" s="166">
        <v>10.29</v>
      </c>
      <c r="E166" s="162"/>
    </row>
    <row r="167" spans="1:5">
      <c r="A167" s="150">
        <v>5</v>
      </c>
      <c r="B167" s="158"/>
      <c r="C167" s="156" t="s">
        <v>99</v>
      </c>
      <c r="D167" s="165">
        <v>6.38</v>
      </c>
      <c r="E167" s="158"/>
    </row>
    <row r="168" spans="1:5">
      <c r="A168" s="152">
        <v>6</v>
      </c>
      <c r="B168" s="162"/>
      <c r="C168" s="160" t="s">
        <v>128</v>
      </c>
      <c r="D168" s="166">
        <v>6.15</v>
      </c>
      <c r="E168" s="162"/>
    </row>
    <row r="169" spans="1:5">
      <c r="A169" s="150">
        <v>7</v>
      </c>
      <c r="B169" s="158"/>
      <c r="C169" s="156" t="s">
        <v>93</v>
      </c>
      <c r="D169" s="165">
        <v>3.95</v>
      </c>
      <c r="E169" s="158"/>
    </row>
    <row r="170" spans="1:5">
      <c r="A170" s="152">
        <v>8</v>
      </c>
      <c r="B170" s="162"/>
      <c r="C170" s="160" t="s">
        <v>108</v>
      </c>
      <c r="D170" s="166">
        <v>2.73</v>
      </c>
      <c r="E170" s="162"/>
    </row>
    <row r="171" spans="1:5">
      <c r="A171" s="150">
        <v>9</v>
      </c>
      <c r="B171" s="158"/>
      <c r="C171" s="156" t="s">
        <v>121</v>
      </c>
      <c r="D171" s="165">
        <v>2.09</v>
      </c>
      <c r="E171" s="158"/>
    </row>
    <row r="172" spans="1:5">
      <c r="A172" s="152">
        <v>10</v>
      </c>
      <c r="B172" s="162"/>
      <c r="C172" s="160" t="s">
        <v>80</v>
      </c>
      <c r="D172" s="166">
        <v>1.1599999999999999</v>
      </c>
      <c r="E172" s="162"/>
    </row>
    <row r="173" spans="1:5">
      <c r="A173" s="150">
        <v>11</v>
      </c>
      <c r="B173" s="158"/>
      <c r="C173" s="156" t="s">
        <v>104</v>
      </c>
      <c r="D173" s="165">
        <v>0.77</v>
      </c>
      <c r="E173" s="158"/>
    </row>
    <row r="174" spans="1:5">
      <c r="A174" s="152">
        <v>12</v>
      </c>
      <c r="B174" s="162"/>
      <c r="C174" s="160" t="s">
        <v>65</v>
      </c>
      <c r="D174" s="166">
        <v>0.77</v>
      </c>
      <c r="E174" s="162"/>
    </row>
    <row r="175" spans="1:5">
      <c r="A175" s="150">
        <v>13</v>
      </c>
      <c r="B175" s="158"/>
      <c r="C175" s="156" t="s">
        <v>75</v>
      </c>
      <c r="D175" s="165">
        <v>0.77</v>
      </c>
      <c r="E175" s="158"/>
    </row>
    <row r="176" spans="1:5">
      <c r="A176" s="152">
        <v>14</v>
      </c>
      <c r="B176" s="162"/>
      <c r="C176" s="160" t="s">
        <v>57</v>
      </c>
      <c r="D176" s="166">
        <v>0.68</v>
      </c>
      <c r="E176" s="162"/>
    </row>
    <row r="177" spans="1:5">
      <c r="A177" s="150">
        <v>15</v>
      </c>
      <c r="B177" s="158"/>
      <c r="C177" s="156" t="s">
        <v>53</v>
      </c>
      <c r="D177" s="165">
        <v>0.64</v>
      </c>
      <c r="E177" s="158"/>
    </row>
    <row r="178" spans="1:5">
      <c r="A178" s="152">
        <v>16</v>
      </c>
      <c r="B178" s="162"/>
      <c r="C178" s="160" t="s">
        <v>81</v>
      </c>
      <c r="D178" s="166">
        <v>0.48</v>
      </c>
      <c r="E178" s="162"/>
    </row>
    <row r="179" spans="1:5">
      <c r="A179" s="150">
        <v>17</v>
      </c>
      <c r="B179" s="158"/>
      <c r="C179" s="156" t="s">
        <v>125</v>
      </c>
      <c r="D179" s="165">
        <v>0.48</v>
      </c>
      <c r="E179" s="158"/>
    </row>
    <row r="180" spans="1:5">
      <c r="A180" s="152">
        <v>18</v>
      </c>
      <c r="B180" s="162"/>
      <c r="C180" s="160" t="s">
        <v>129</v>
      </c>
      <c r="D180" s="166">
        <v>0.48</v>
      </c>
      <c r="E180" s="162"/>
    </row>
    <row r="181" spans="1:5">
      <c r="A181" s="150">
        <v>19</v>
      </c>
      <c r="B181" s="158"/>
      <c r="C181" s="156" t="s">
        <v>130</v>
      </c>
      <c r="D181" s="165">
        <v>0.42</v>
      </c>
      <c r="E181" s="158"/>
    </row>
    <row r="182" spans="1:5">
      <c r="A182" s="152">
        <v>20</v>
      </c>
      <c r="B182" s="162"/>
      <c r="C182" s="160" t="s">
        <v>124</v>
      </c>
      <c r="D182" s="166">
        <v>0.24</v>
      </c>
      <c r="E182" s="162"/>
    </row>
    <row r="183" spans="1:5">
      <c r="A183" s="150">
        <v>21</v>
      </c>
      <c r="B183" s="158"/>
      <c r="C183" s="156" t="s">
        <v>59</v>
      </c>
      <c r="D183" s="165">
        <v>0.12</v>
      </c>
      <c r="E183" s="158"/>
    </row>
    <row r="184" spans="1:5">
      <c r="A184" s="208" t="s">
        <v>861</v>
      </c>
      <c r="B184" s="198"/>
      <c r="C184" s="199"/>
      <c r="D184" s="167">
        <v>250</v>
      </c>
      <c r="E184" s="168"/>
    </row>
    <row r="185" spans="1:5">
      <c r="A185" s="207" t="s">
        <v>862</v>
      </c>
      <c r="B185" s="198"/>
      <c r="C185" s="198"/>
      <c r="D185" s="198"/>
      <c r="E185" s="199"/>
    </row>
    <row r="186" spans="1:5">
      <c r="A186" s="154" t="s">
        <v>46</v>
      </c>
      <c r="B186" s="154"/>
      <c r="C186" s="154" t="s">
        <v>837</v>
      </c>
      <c r="D186" s="154" t="s">
        <v>838</v>
      </c>
      <c r="E186" s="154"/>
    </row>
    <row r="187" spans="1:5">
      <c r="A187" s="150">
        <v>1</v>
      </c>
      <c r="B187" s="158"/>
      <c r="C187" s="156" t="s">
        <v>120</v>
      </c>
      <c r="D187" s="165">
        <v>33.46</v>
      </c>
      <c r="E187" s="158"/>
    </row>
    <row r="188" spans="1:5">
      <c r="A188" s="152">
        <v>2</v>
      </c>
      <c r="B188" s="162"/>
      <c r="C188" s="160" t="s">
        <v>116</v>
      </c>
      <c r="D188" s="166">
        <v>31.36</v>
      </c>
      <c r="E188" s="162"/>
    </row>
    <row r="189" spans="1:5">
      <c r="A189" s="150">
        <v>3</v>
      </c>
      <c r="B189" s="158"/>
      <c r="C189" s="156" t="s">
        <v>92</v>
      </c>
      <c r="D189" s="165">
        <v>1.68</v>
      </c>
      <c r="E189" s="158"/>
    </row>
    <row r="190" spans="1:5">
      <c r="A190" s="152">
        <v>4</v>
      </c>
      <c r="B190" s="162"/>
      <c r="C190" s="160" t="s">
        <v>99</v>
      </c>
      <c r="D190" s="166">
        <v>1.68</v>
      </c>
      <c r="E190" s="162"/>
    </row>
    <row r="191" spans="1:5">
      <c r="A191" s="150">
        <v>5</v>
      </c>
      <c r="B191" s="158"/>
      <c r="C191" s="156" t="s">
        <v>108</v>
      </c>
      <c r="D191" s="165">
        <v>0.84</v>
      </c>
      <c r="E191" s="158"/>
    </row>
    <row r="192" spans="1:5">
      <c r="A192" s="152">
        <v>6</v>
      </c>
      <c r="B192" s="162"/>
      <c r="C192" s="160" t="s">
        <v>121</v>
      </c>
      <c r="D192" s="166">
        <v>0.56000000000000005</v>
      </c>
      <c r="E192" s="162"/>
    </row>
    <row r="193" spans="1:5">
      <c r="A193" s="150">
        <v>7</v>
      </c>
      <c r="B193" s="158"/>
      <c r="C193" s="156" t="s">
        <v>130</v>
      </c>
      <c r="D193" s="165">
        <v>0.28000000000000003</v>
      </c>
      <c r="E193" s="158"/>
    </row>
    <row r="194" spans="1:5">
      <c r="A194" s="152">
        <v>8</v>
      </c>
      <c r="B194" s="162"/>
      <c r="C194" s="160" t="s">
        <v>118</v>
      </c>
      <c r="D194" s="166">
        <v>0.14000000000000001</v>
      </c>
      <c r="E194" s="162"/>
    </row>
    <row r="195" spans="1:5">
      <c r="A195" s="208" t="s">
        <v>863</v>
      </c>
      <c r="B195" s="198"/>
      <c r="C195" s="199"/>
      <c r="D195" s="167">
        <v>70</v>
      </c>
      <c r="E195" s="168"/>
    </row>
    <row r="196" spans="1:5">
      <c r="A196" s="207" t="s">
        <v>864</v>
      </c>
      <c r="B196" s="198"/>
      <c r="C196" s="198"/>
      <c r="D196" s="198"/>
      <c r="E196" s="199"/>
    </row>
    <row r="197" spans="1:5">
      <c r="A197" s="154" t="s">
        <v>46</v>
      </c>
      <c r="B197" s="154"/>
      <c r="C197" s="154" t="s">
        <v>837</v>
      </c>
      <c r="D197" s="154" t="s">
        <v>838</v>
      </c>
      <c r="E197" s="154"/>
    </row>
    <row r="198" spans="1:5">
      <c r="A198" s="150">
        <v>1</v>
      </c>
      <c r="B198" s="158"/>
      <c r="C198" s="156" t="s">
        <v>120</v>
      </c>
      <c r="D198" s="165">
        <v>97.44</v>
      </c>
      <c r="E198" s="158"/>
    </row>
    <row r="199" spans="1:5">
      <c r="A199" s="152">
        <v>2</v>
      </c>
      <c r="B199" s="162"/>
      <c r="C199" s="160" t="s">
        <v>113</v>
      </c>
      <c r="D199" s="166">
        <v>81.98</v>
      </c>
      <c r="E199" s="162"/>
    </row>
    <row r="200" spans="1:5">
      <c r="A200" s="150">
        <v>3</v>
      </c>
      <c r="B200" s="158"/>
      <c r="C200" s="156" t="s">
        <v>92</v>
      </c>
      <c r="D200" s="165">
        <v>9.76</v>
      </c>
      <c r="E200" s="158"/>
    </row>
    <row r="201" spans="1:5">
      <c r="A201" s="152">
        <v>4</v>
      </c>
      <c r="B201" s="162"/>
      <c r="C201" s="160" t="s">
        <v>99</v>
      </c>
      <c r="D201" s="166">
        <v>9.76</v>
      </c>
      <c r="E201" s="162"/>
    </row>
    <row r="202" spans="1:5">
      <c r="A202" s="150">
        <v>5</v>
      </c>
      <c r="B202" s="158"/>
      <c r="C202" s="156" t="s">
        <v>71</v>
      </c>
      <c r="D202" s="165">
        <v>6.16</v>
      </c>
      <c r="E202" s="158"/>
    </row>
    <row r="203" spans="1:5">
      <c r="A203" s="152">
        <v>6</v>
      </c>
      <c r="B203" s="162"/>
      <c r="C203" s="160" t="s">
        <v>118</v>
      </c>
      <c r="D203" s="166">
        <v>1.99</v>
      </c>
      <c r="E203" s="162"/>
    </row>
    <row r="204" spans="1:5">
      <c r="A204" s="150">
        <v>7</v>
      </c>
      <c r="B204" s="158"/>
      <c r="C204" s="156" t="s">
        <v>121</v>
      </c>
      <c r="D204" s="165">
        <v>1.76</v>
      </c>
      <c r="E204" s="158"/>
    </row>
    <row r="205" spans="1:5">
      <c r="A205" s="152">
        <v>8</v>
      </c>
      <c r="B205" s="162"/>
      <c r="C205" s="160" t="s">
        <v>130</v>
      </c>
      <c r="D205" s="166">
        <v>0.83</v>
      </c>
      <c r="E205" s="162"/>
    </row>
    <row r="206" spans="1:5">
      <c r="A206" s="150">
        <v>9</v>
      </c>
      <c r="B206" s="158"/>
      <c r="C206" s="156" t="s">
        <v>104</v>
      </c>
      <c r="D206" s="165">
        <v>0.33</v>
      </c>
      <c r="E206" s="158"/>
    </row>
    <row r="207" spans="1:5">
      <c r="A207" s="208" t="s">
        <v>865</v>
      </c>
      <c r="B207" s="198"/>
      <c r="C207" s="199"/>
      <c r="D207" s="167">
        <v>210</v>
      </c>
      <c r="E207" s="168"/>
    </row>
    <row r="209" spans="1:5">
      <c r="A209" s="200" t="s">
        <v>840</v>
      </c>
      <c r="B209" s="178"/>
      <c r="C209" s="178"/>
      <c r="D209" s="178"/>
      <c r="E209" s="178"/>
    </row>
    <row r="210" spans="1:5">
      <c r="A210" s="154" t="s">
        <v>46</v>
      </c>
      <c r="B210" s="154"/>
      <c r="C210" s="154" t="s">
        <v>837</v>
      </c>
      <c r="D210" s="154" t="s">
        <v>841</v>
      </c>
      <c r="E210" s="154"/>
    </row>
    <row r="211" spans="1:5">
      <c r="A211" s="150">
        <v>1</v>
      </c>
      <c r="B211" s="158"/>
      <c r="C211" s="156" t="s">
        <v>120</v>
      </c>
      <c r="D211" s="165">
        <v>455.36</v>
      </c>
      <c r="E211" s="158"/>
    </row>
    <row r="212" spans="1:5">
      <c r="A212" s="152">
        <v>2</v>
      </c>
      <c r="B212" s="162"/>
      <c r="C212" s="160" t="s">
        <v>116</v>
      </c>
      <c r="D212" s="166">
        <v>282.73</v>
      </c>
      <c r="E212" s="162"/>
    </row>
    <row r="213" spans="1:5">
      <c r="A213" s="150">
        <v>3</v>
      </c>
      <c r="B213" s="158"/>
      <c r="C213" s="156" t="s">
        <v>113</v>
      </c>
      <c r="D213" s="165">
        <v>158.41999999999999</v>
      </c>
      <c r="E213" s="158"/>
    </row>
    <row r="214" spans="1:5">
      <c r="A214" s="152">
        <v>4</v>
      </c>
      <c r="B214" s="162"/>
      <c r="C214" s="160" t="s">
        <v>99</v>
      </c>
      <c r="D214" s="166">
        <v>34.520000000000003</v>
      </c>
      <c r="E214" s="162"/>
    </row>
    <row r="215" spans="1:5">
      <c r="A215" s="150">
        <v>5</v>
      </c>
      <c r="B215" s="158"/>
      <c r="C215" s="156" t="s">
        <v>92</v>
      </c>
      <c r="D215" s="165">
        <v>24.39</v>
      </c>
      <c r="E215" s="158"/>
    </row>
    <row r="216" spans="1:5">
      <c r="A216" s="152">
        <v>6</v>
      </c>
      <c r="B216" s="162"/>
      <c r="C216" s="160" t="s">
        <v>90</v>
      </c>
      <c r="D216" s="166">
        <v>23.14</v>
      </c>
      <c r="E216" s="162"/>
    </row>
    <row r="217" spans="1:5">
      <c r="A217" s="150">
        <v>7</v>
      </c>
      <c r="B217" s="158"/>
      <c r="C217" s="156" t="s">
        <v>71</v>
      </c>
      <c r="D217" s="165">
        <v>13.09</v>
      </c>
      <c r="E217" s="158"/>
    </row>
    <row r="218" spans="1:5">
      <c r="A218" s="152">
        <v>8</v>
      </c>
      <c r="B218" s="162"/>
      <c r="C218" s="160" t="s">
        <v>89</v>
      </c>
      <c r="D218" s="166">
        <v>10.29</v>
      </c>
      <c r="E218" s="162"/>
    </row>
    <row r="219" spans="1:5">
      <c r="A219" s="150">
        <v>9</v>
      </c>
      <c r="B219" s="158"/>
      <c r="C219" s="156" t="s">
        <v>121</v>
      </c>
      <c r="D219" s="165">
        <v>8.7799999999999994</v>
      </c>
      <c r="E219" s="158"/>
    </row>
    <row r="220" spans="1:5">
      <c r="A220" s="152">
        <v>10</v>
      </c>
      <c r="B220" s="162"/>
      <c r="C220" s="160" t="s">
        <v>84</v>
      </c>
      <c r="D220" s="166">
        <v>8.4</v>
      </c>
      <c r="E220" s="162"/>
    </row>
    <row r="221" spans="1:5">
      <c r="A221" s="150">
        <v>11</v>
      </c>
      <c r="B221" s="158"/>
      <c r="C221" s="156" t="s">
        <v>128</v>
      </c>
      <c r="D221" s="165">
        <v>6.15</v>
      </c>
      <c r="E221" s="158"/>
    </row>
    <row r="222" spans="1:5">
      <c r="A222" s="152">
        <v>12</v>
      </c>
      <c r="B222" s="162"/>
      <c r="C222" s="160" t="s">
        <v>108</v>
      </c>
      <c r="D222" s="166">
        <v>6.09</v>
      </c>
      <c r="E222" s="162"/>
    </row>
    <row r="223" spans="1:5">
      <c r="A223" s="150">
        <v>13</v>
      </c>
      <c r="B223" s="158"/>
      <c r="C223" s="156" t="s">
        <v>118</v>
      </c>
      <c r="D223" s="165">
        <v>5.28</v>
      </c>
      <c r="E223" s="158"/>
    </row>
    <row r="224" spans="1:5">
      <c r="A224" s="152">
        <v>14</v>
      </c>
      <c r="B224" s="162"/>
      <c r="C224" s="160" t="s">
        <v>93</v>
      </c>
      <c r="D224" s="166">
        <v>4.55</v>
      </c>
      <c r="E224" s="162"/>
    </row>
    <row r="225" spans="1:5">
      <c r="A225" s="150">
        <v>15</v>
      </c>
      <c r="B225" s="158"/>
      <c r="C225" s="156" t="s">
        <v>130</v>
      </c>
      <c r="D225" s="165">
        <v>3.49</v>
      </c>
      <c r="E225" s="158"/>
    </row>
    <row r="226" spans="1:5">
      <c r="A226" s="152">
        <v>16</v>
      </c>
      <c r="B226" s="162"/>
      <c r="C226" s="160" t="s">
        <v>104</v>
      </c>
      <c r="D226" s="166">
        <v>3.41</v>
      </c>
      <c r="E226" s="162"/>
    </row>
    <row r="227" spans="1:5">
      <c r="A227" s="150">
        <v>17</v>
      </c>
      <c r="B227" s="158"/>
      <c r="C227" s="156" t="s">
        <v>72</v>
      </c>
      <c r="D227" s="165">
        <v>2.25</v>
      </c>
      <c r="E227" s="158"/>
    </row>
    <row r="228" spans="1:5">
      <c r="A228" s="152">
        <v>18</v>
      </c>
      <c r="B228" s="162"/>
      <c r="C228" s="160" t="s">
        <v>80</v>
      </c>
      <c r="D228" s="166">
        <v>1.1599999999999999</v>
      </c>
      <c r="E228" s="162"/>
    </row>
    <row r="229" spans="1:5">
      <c r="A229" s="150">
        <v>19</v>
      </c>
      <c r="B229" s="158"/>
      <c r="C229" s="156" t="s">
        <v>125</v>
      </c>
      <c r="D229" s="165">
        <v>0.93</v>
      </c>
      <c r="E229" s="158"/>
    </row>
    <row r="230" spans="1:5">
      <c r="A230" s="152">
        <v>20</v>
      </c>
      <c r="B230" s="162"/>
      <c r="C230" s="160" t="s">
        <v>65</v>
      </c>
      <c r="D230" s="166">
        <v>0.77</v>
      </c>
      <c r="E230" s="162"/>
    </row>
    <row r="231" spans="1:5">
      <c r="A231" s="150">
        <v>21</v>
      </c>
      <c r="B231" s="158"/>
      <c r="C231" s="156" t="s">
        <v>75</v>
      </c>
      <c r="D231" s="165">
        <v>0.77</v>
      </c>
      <c r="E231" s="158"/>
    </row>
    <row r="232" spans="1:5">
      <c r="A232" s="152">
        <v>22</v>
      </c>
      <c r="B232" s="162"/>
      <c r="C232" s="160" t="s">
        <v>57</v>
      </c>
      <c r="D232" s="166">
        <v>0.68</v>
      </c>
      <c r="E232" s="162"/>
    </row>
    <row r="233" spans="1:5">
      <c r="A233" s="150">
        <v>23</v>
      </c>
      <c r="B233" s="158"/>
      <c r="C233" s="156" t="s">
        <v>53</v>
      </c>
      <c r="D233" s="165">
        <v>0.64</v>
      </c>
      <c r="E233" s="158"/>
    </row>
    <row r="234" spans="1:5">
      <c r="A234" s="152">
        <v>24</v>
      </c>
      <c r="B234" s="162"/>
      <c r="C234" s="160" t="s">
        <v>81</v>
      </c>
      <c r="D234" s="166">
        <v>0.48</v>
      </c>
      <c r="E234" s="162"/>
    </row>
    <row r="235" spans="1:5">
      <c r="A235" s="150">
        <v>25</v>
      </c>
      <c r="B235" s="158"/>
      <c r="C235" s="156" t="s">
        <v>129</v>
      </c>
      <c r="D235" s="165">
        <v>0.48</v>
      </c>
      <c r="E235" s="158"/>
    </row>
    <row r="236" spans="1:5">
      <c r="A236" s="152">
        <v>26</v>
      </c>
      <c r="B236" s="162"/>
      <c r="C236" s="160" t="s">
        <v>58</v>
      </c>
      <c r="D236" s="166">
        <v>0.45</v>
      </c>
      <c r="E236" s="162"/>
    </row>
    <row r="237" spans="1:5">
      <c r="A237" s="150">
        <v>27</v>
      </c>
      <c r="B237" s="158"/>
      <c r="C237" s="156" t="s">
        <v>111</v>
      </c>
      <c r="D237" s="165">
        <v>0.45</v>
      </c>
      <c r="E237" s="158"/>
    </row>
    <row r="238" spans="1:5">
      <c r="A238" s="152">
        <v>28</v>
      </c>
      <c r="B238" s="162"/>
      <c r="C238" s="160" t="s">
        <v>124</v>
      </c>
      <c r="D238" s="166">
        <v>0.24</v>
      </c>
      <c r="E238" s="162"/>
    </row>
    <row r="239" spans="1:5">
      <c r="A239" s="150">
        <v>29</v>
      </c>
      <c r="B239" s="158"/>
      <c r="C239" s="156" t="s">
        <v>59</v>
      </c>
      <c r="D239" s="165">
        <v>0.12</v>
      </c>
      <c r="E239" s="158"/>
    </row>
    <row r="240" spans="1:5">
      <c r="A240" s="197" t="s">
        <v>866</v>
      </c>
      <c r="B240" s="198"/>
      <c r="C240" s="199"/>
      <c r="D240" s="169">
        <v>1057.5</v>
      </c>
      <c r="E240" s="164"/>
    </row>
    <row r="242" spans="1:5" ht="38.1" customHeight="1">
      <c r="A242" s="209" t="s">
        <v>867</v>
      </c>
      <c r="B242" s="178"/>
      <c r="C242" s="178"/>
      <c r="D242" s="178"/>
      <c r="E242" s="178"/>
    </row>
    <row r="243" spans="1:5">
      <c r="A243" s="205" t="s">
        <v>868</v>
      </c>
      <c r="B243" s="178"/>
      <c r="C243" s="178"/>
      <c r="D243" s="178"/>
      <c r="E243" s="178"/>
    </row>
    <row r="244" spans="1:5">
      <c r="A244" s="207" t="s">
        <v>869</v>
      </c>
      <c r="B244" s="198"/>
      <c r="C244" s="198"/>
      <c r="D244" s="198"/>
      <c r="E244" s="199"/>
    </row>
    <row r="245" spans="1:5">
      <c r="A245" s="154" t="s">
        <v>46</v>
      </c>
      <c r="B245" s="154"/>
      <c r="C245" s="154" t="s">
        <v>837</v>
      </c>
      <c r="D245" s="154" t="s">
        <v>838</v>
      </c>
      <c r="E245" s="154"/>
    </row>
    <row r="246" spans="1:5">
      <c r="A246" s="150">
        <v>1</v>
      </c>
      <c r="B246" s="158"/>
      <c r="C246" s="156" t="s">
        <v>120</v>
      </c>
      <c r="D246" s="165">
        <v>351.12</v>
      </c>
      <c r="E246" s="158"/>
    </row>
    <row r="247" spans="1:5">
      <c r="A247" s="152">
        <v>2</v>
      </c>
      <c r="B247" s="162"/>
      <c r="C247" s="160" t="s">
        <v>115</v>
      </c>
      <c r="D247" s="166">
        <v>67.06</v>
      </c>
      <c r="E247" s="162"/>
    </row>
    <row r="248" spans="1:5">
      <c r="A248" s="150">
        <v>3</v>
      </c>
      <c r="B248" s="158"/>
      <c r="C248" s="156" t="s">
        <v>122</v>
      </c>
      <c r="D248" s="165">
        <v>43.89</v>
      </c>
      <c r="E248" s="158"/>
    </row>
    <row r="249" spans="1:5">
      <c r="A249" s="152">
        <v>4</v>
      </c>
      <c r="B249" s="162"/>
      <c r="C249" s="160" t="s">
        <v>97</v>
      </c>
      <c r="D249" s="166">
        <v>43.69</v>
      </c>
      <c r="E249" s="162"/>
    </row>
    <row r="250" spans="1:5">
      <c r="A250" s="150">
        <v>5</v>
      </c>
      <c r="B250" s="158"/>
      <c r="C250" s="156" t="s">
        <v>92</v>
      </c>
      <c r="D250" s="165">
        <v>35.840000000000003</v>
      </c>
      <c r="E250" s="158"/>
    </row>
    <row r="251" spans="1:5">
      <c r="A251" s="152">
        <v>6</v>
      </c>
      <c r="B251" s="162"/>
      <c r="C251" s="160" t="s">
        <v>113</v>
      </c>
      <c r="D251" s="166">
        <v>20.46</v>
      </c>
      <c r="E251" s="162"/>
    </row>
    <row r="252" spans="1:5">
      <c r="A252" s="150">
        <v>7</v>
      </c>
      <c r="B252" s="158"/>
      <c r="C252" s="156" t="s">
        <v>68</v>
      </c>
      <c r="D252" s="165">
        <v>19.54</v>
      </c>
      <c r="E252" s="158"/>
    </row>
    <row r="253" spans="1:5">
      <c r="A253" s="152">
        <v>8</v>
      </c>
      <c r="B253" s="162"/>
      <c r="C253" s="160" t="s">
        <v>88</v>
      </c>
      <c r="D253" s="166">
        <v>15.71</v>
      </c>
      <c r="E253" s="162"/>
    </row>
    <row r="254" spans="1:5">
      <c r="A254" s="150">
        <v>9</v>
      </c>
      <c r="B254" s="158"/>
      <c r="C254" s="156" t="s">
        <v>132</v>
      </c>
      <c r="D254" s="165">
        <v>14.52</v>
      </c>
      <c r="E254" s="158"/>
    </row>
    <row r="255" spans="1:5">
      <c r="A255" s="152">
        <v>10</v>
      </c>
      <c r="B255" s="162"/>
      <c r="C255" s="160" t="s">
        <v>63</v>
      </c>
      <c r="D255" s="166">
        <v>10.210000000000001</v>
      </c>
      <c r="E255" s="162"/>
    </row>
    <row r="256" spans="1:5">
      <c r="A256" s="150">
        <v>11</v>
      </c>
      <c r="B256" s="158"/>
      <c r="C256" s="156" t="s">
        <v>99</v>
      </c>
      <c r="D256" s="165">
        <v>9.3699999999999992</v>
      </c>
      <c r="E256" s="158"/>
    </row>
    <row r="257" spans="1:5">
      <c r="A257" s="152">
        <v>12</v>
      </c>
      <c r="B257" s="162"/>
      <c r="C257" s="160" t="s">
        <v>74</v>
      </c>
      <c r="D257" s="166">
        <v>7.85</v>
      </c>
      <c r="E257" s="162"/>
    </row>
    <row r="258" spans="1:5">
      <c r="A258" s="150">
        <v>13</v>
      </c>
      <c r="B258" s="158"/>
      <c r="C258" s="156" t="s">
        <v>123</v>
      </c>
      <c r="D258" s="165">
        <v>7.85</v>
      </c>
      <c r="E258" s="158"/>
    </row>
    <row r="259" spans="1:5">
      <c r="A259" s="152">
        <v>14</v>
      </c>
      <c r="B259" s="162"/>
      <c r="C259" s="160" t="s">
        <v>62</v>
      </c>
      <c r="D259" s="166">
        <v>5.5</v>
      </c>
      <c r="E259" s="162"/>
    </row>
    <row r="260" spans="1:5">
      <c r="A260" s="150">
        <v>15</v>
      </c>
      <c r="B260" s="158"/>
      <c r="C260" s="156" t="s">
        <v>107</v>
      </c>
      <c r="D260" s="165">
        <v>3.23</v>
      </c>
      <c r="E260" s="158"/>
    </row>
    <row r="261" spans="1:5">
      <c r="A261" s="152">
        <v>16</v>
      </c>
      <c r="B261" s="162"/>
      <c r="C261" s="160" t="s">
        <v>118</v>
      </c>
      <c r="D261" s="166">
        <v>2.57</v>
      </c>
      <c r="E261" s="162"/>
    </row>
    <row r="262" spans="1:5">
      <c r="A262" s="150">
        <v>17</v>
      </c>
      <c r="B262" s="158"/>
      <c r="C262" s="156" t="s">
        <v>114</v>
      </c>
      <c r="D262" s="165">
        <v>1.58</v>
      </c>
      <c r="E262" s="158"/>
    </row>
    <row r="263" spans="1:5">
      <c r="A263" s="208" t="s">
        <v>870</v>
      </c>
      <c r="B263" s="198"/>
      <c r="C263" s="199"/>
      <c r="D263" s="167">
        <v>660</v>
      </c>
      <c r="E263" s="168"/>
    </row>
    <row r="264" spans="1:5">
      <c r="A264" s="207" t="s">
        <v>871</v>
      </c>
      <c r="B264" s="198"/>
      <c r="C264" s="198"/>
      <c r="D264" s="198"/>
      <c r="E264" s="199"/>
    </row>
    <row r="265" spans="1:5">
      <c r="A265" s="154" t="s">
        <v>46</v>
      </c>
      <c r="B265" s="154"/>
      <c r="C265" s="154" t="s">
        <v>837</v>
      </c>
      <c r="D265" s="154" t="s">
        <v>838</v>
      </c>
      <c r="E265" s="154"/>
    </row>
    <row r="266" spans="1:5">
      <c r="A266" s="150">
        <v>1</v>
      </c>
      <c r="B266" s="158"/>
      <c r="C266" s="156" t="s">
        <v>120</v>
      </c>
      <c r="D266" s="165">
        <v>351.12</v>
      </c>
      <c r="E266" s="158"/>
    </row>
    <row r="267" spans="1:5">
      <c r="A267" s="152">
        <v>2</v>
      </c>
      <c r="B267" s="162"/>
      <c r="C267" s="160" t="s">
        <v>115</v>
      </c>
      <c r="D267" s="166">
        <v>67.06</v>
      </c>
      <c r="E267" s="162"/>
    </row>
    <row r="268" spans="1:5">
      <c r="A268" s="150">
        <v>3</v>
      </c>
      <c r="B268" s="158"/>
      <c r="C268" s="156" t="s">
        <v>122</v>
      </c>
      <c r="D268" s="165">
        <v>43.89</v>
      </c>
      <c r="E268" s="158"/>
    </row>
    <row r="269" spans="1:5">
      <c r="A269" s="152">
        <v>4</v>
      </c>
      <c r="B269" s="162"/>
      <c r="C269" s="160" t="s">
        <v>97</v>
      </c>
      <c r="D269" s="166">
        <v>43.69</v>
      </c>
      <c r="E269" s="162"/>
    </row>
    <row r="270" spans="1:5">
      <c r="A270" s="150">
        <v>5</v>
      </c>
      <c r="B270" s="158"/>
      <c r="C270" s="156" t="s">
        <v>92</v>
      </c>
      <c r="D270" s="165">
        <v>35.840000000000003</v>
      </c>
      <c r="E270" s="158"/>
    </row>
    <row r="271" spans="1:5">
      <c r="A271" s="152">
        <v>6</v>
      </c>
      <c r="B271" s="162"/>
      <c r="C271" s="160" t="s">
        <v>113</v>
      </c>
      <c r="D271" s="166">
        <v>20.46</v>
      </c>
      <c r="E271" s="162"/>
    </row>
    <row r="272" spans="1:5">
      <c r="A272" s="150">
        <v>7</v>
      </c>
      <c r="B272" s="158"/>
      <c r="C272" s="156" t="s">
        <v>68</v>
      </c>
      <c r="D272" s="165">
        <v>19.54</v>
      </c>
      <c r="E272" s="158"/>
    </row>
    <row r="273" spans="1:5">
      <c r="A273" s="152">
        <v>8</v>
      </c>
      <c r="B273" s="162"/>
      <c r="C273" s="160" t="s">
        <v>69</v>
      </c>
      <c r="D273" s="166">
        <v>15.71</v>
      </c>
      <c r="E273" s="162"/>
    </row>
    <row r="274" spans="1:5">
      <c r="A274" s="150">
        <v>9</v>
      </c>
      <c r="B274" s="158"/>
      <c r="C274" s="156" t="s">
        <v>73</v>
      </c>
      <c r="D274" s="165">
        <v>15.71</v>
      </c>
      <c r="E274" s="158"/>
    </row>
    <row r="275" spans="1:5">
      <c r="A275" s="152">
        <v>10</v>
      </c>
      <c r="B275" s="162"/>
      <c r="C275" s="160" t="s">
        <v>132</v>
      </c>
      <c r="D275" s="166">
        <v>14.52</v>
      </c>
      <c r="E275" s="162"/>
    </row>
    <row r="276" spans="1:5">
      <c r="A276" s="150">
        <v>11</v>
      </c>
      <c r="B276" s="158"/>
      <c r="C276" s="156" t="s">
        <v>99</v>
      </c>
      <c r="D276" s="165">
        <v>9.3699999999999992</v>
      </c>
      <c r="E276" s="158"/>
    </row>
    <row r="277" spans="1:5">
      <c r="A277" s="152">
        <v>12</v>
      </c>
      <c r="B277" s="162"/>
      <c r="C277" s="160" t="s">
        <v>86</v>
      </c>
      <c r="D277" s="166">
        <v>7.85</v>
      </c>
      <c r="E277" s="162"/>
    </row>
    <row r="278" spans="1:5">
      <c r="A278" s="150">
        <v>13</v>
      </c>
      <c r="B278" s="158"/>
      <c r="C278" s="156" t="s">
        <v>100</v>
      </c>
      <c r="D278" s="165">
        <v>7.85</v>
      </c>
      <c r="E278" s="158"/>
    </row>
    <row r="279" spans="1:5">
      <c r="A279" s="152">
        <v>14</v>
      </c>
      <c r="B279" s="162"/>
      <c r="C279" s="160" t="s">
        <v>107</v>
      </c>
      <c r="D279" s="166">
        <v>3.23</v>
      </c>
      <c r="E279" s="162"/>
    </row>
    <row r="280" spans="1:5">
      <c r="A280" s="150">
        <v>15</v>
      </c>
      <c r="B280" s="158"/>
      <c r="C280" s="156" t="s">
        <v>118</v>
      </c>
      <c r="D280" s="165">
        <v>2.57</v>
      </c>
      <c r="E280" s="158"/>
    </row>
    <row r="281" spans="1:5">
      <c r="A281" s="152">
        <v>16</v>
      </c>
      <c r="B281" s="162"/>
      <c r="C281" s="160" t="s">
        <v>114</v>
      </c>
      <c r="D281" s="166">
        <v>1.58</v>
      </c>
      <c r="E281" s="162"/>
    </row>
    <row r="282" spans="1:5">
      <c r="A282" s="208" t="s">
        <v>872</v>
      </c>
      <c r="B282" s="198"/>
      <c r="C282" s="199"/>
      <c r="D282" s="167">
        <v>660</v>
      </c>
      <c r="E282" s="168"/>
    </row>
    <row r="283" spans="1:5">
      <c r="A283" s="207" t="s">
        <v>873</v>
      </c>
      <c r="B283" s="198"/>
      <c r="C283" s="198"/>
      <c r="D283" s="198"/>
      <c r="E283" s="199"/>
    </row>
    <row r="284" spans="1:5">
      <c r="A284" s="154" t="s">
        <v>46</v>
      </c>
      <c r="B284" s="154"/>
      <c r="C284" s="154" t="s">
        <v>837</v>
      </c>
      <c r="D284" s="154" t="s">
        <v>838</v>
      </c>
      <c r="E284" s="154"/>
    </row>
    <row r="285" spans="1:5">
      <c r="A285" s="150">
        <v>1</v>
      </c>
      <c r="B285" s="158"/>
      <c r="C285" s="156" t="s">
        <v>120</v>
      </c>
      <c r="D285" s="165">
        <v>303</v>
      </c>
      <c r="E285" s="158"/>
    </row>
    <row r="286" spans="1:5">
      <c r="A286" s="152">
        <v>2</v>
      </c>
      <c r="B286" s="162"/>
      <c r="C286" s="160" t="s">
        <v>99</v>
      </c>
      <c r="D286" s="166">
        <v>111.08</v>
      </c>
      <c r="E286" s="162"/>
    </row>
    <row r="287" spans="1:5">
      <c r="A287" s="150">
        <v>3</v>
      </c>
      <c r="B287" s="158"/>
      <c r="C287" s="156" t="s">
        <v>116</v>
      </c>
      <c r="D287" s="165">
        <v>99</v>
      </c>
      <c r="E287" s="158"/>
    </row>
    <row r="288" spans="1:5">
      <c r="A288" s="152">
        <v>4</v>
      </c>
      <c r="B288" s="162"/>
      <c r="C288" s="160" t="s">
        <v>113</v>
      </c>
      <c r="D288" s="166">
        <v>69.56</v>
      </c>
      <c r="E288" s="162"/>
    </row>
    <row r="289" spans="1:5">
      <c r="A289" s="150">
        <v>5</v>
      </c>
      <c r="B289" s="158"/>
      <c r="C289" s="156" t="s">
        <v>134</v>
      </c>
      <c r="D289" s="165">
        <v>49.5</v>
      </c>
      <c r="E289" s="158"/>
    </row>
    <row r="290" spans="1:5">
      <c r="A290" s="152">
        <v>6</v>
      </c>
      <c r="B290" s="162"/>
      <c r="C290" s="160" t="s">
        <v>118</v>
      </c>
      <c r="D290" s="166">
        <v>12.26</v>
      </c>
      <c r="E290" s="162"/>
    </row>
    <row r="291" spans="1:5">
      <c r="A291" s="150">
        <v>7</v>
      </c>
      <c r="B291" s="158"/>
      <c r="C291" s="156" t="s">
        <v>121</v>
      </c>
      <c r="D291" s="165">
        <v>12.26</v>
      </c>
      <c r="E291" s="158"/>
    </row>
    <row r="292" spans="1:5">
      <c r="A292" s="152">
        <v>8</v>
      </c>
      <c r="B292" s="162"/>
      <c r="C292" s="160" t="s">
        <v>130</v>
      </c>
      <c r="D292" s="166">
        <v>11.56</v>
      </c>
      <c r="E292" s="162"/>
    </row>
    <row r="293" spans="1:5">
      <c r="A293" s="150">
        <v>9</v>
      </c>
      <c r="B293" s="158"/>
      <c r="C293" s="156" t="s">
        <v>90</v>
      </c>
      <c r="D293" s="165">
        <v>11</v>
      </c>
      <c r="E293" s="158"/>
    </row>
    <row r="294" spans="1:5">
      <c r="A294" s="152">
        <v>10</v>
      </c>
      <c r="B294" s="162"/>
      <c r="C294" s="160" t="s">
        <v>92</v>
      </c>
      <c r="D294" s="166">
        <v>6.58</v>
      </c>
      <c r="E294" s="162"/>
    </row>
    <row r="295" spans="1:5">
      <c r="A295" s="150">
        <v>11</v>
      </c>
      <c r="B295" s="158"/>
      <c r="C295" s="156" t="s">
        <v>84</v>
      </c>
      <c r="D295" s="165">
        <v>4.2</v>
      </c>
      <c r="E295" s="158"/>
    </row>
    <row r="296" spans="1:5">
      <c r="A296" s="208" t="s">
        <v>874</v>
      </c>
      <c r="B296" s="198"/>
      <c r="C296" s="199"/>
      <c r="D296" s="167">
        <v>690</v>
      </c>
      <c r="E296" s="168"/>
    </row>
    <row r="297" spans="1:5">
      <c r="A297" s="207" t="s">
        <v>875</v>
      </c>
      <c r="B297" s="198"/>
      <c r="C297" s="198"/>
      <c r="D297" s="198"/>
      <c r="E297" s="199"/>
    </row>
    <row r="298" spans="1:5">
      <c r="A298" s="154" t="s">
        <v>46</v>
      </c>
      <c r="B298" s="154"/>
      <c r="C298" s="154" t="s">
        <v>837</v>
      </c>
      <c r="D298" s="154" t="s">
        <v>838</v>
      </c>
      <c r="E298" s="154"/>
    </row>
    <row r="299" spans="1:5">
      <c r="A299" s="150">
        <v>1</v>
      </c>
      <c r="B299" s="158"/>
      <c r="C299" s="156" t="s">
        <v>120</v>
      </c>
      <c r="D299" s="165">
        <v>236.5</v>
      </c>
      <c r="E299" s="158"/>
    </row>
    <row r="300" spans="1:5">
      <c r="A300" s="152">
        <v>2</v>
      </c>
      <c r="B300" s="162"/>
      <c r="C300" s="160" t="s">
        <v>99</v>
      </c>
      <c r="D300" s="166">
        <v>104.5</v>
      </c>
      <c r="E300" s="162"/>
    </row>
    <row r="301" spans="1:5">
      <c r="A301" s="150">
        <v>3</v>
      </c>
      <c r="B301" s="158"/>
      <c r="C301" s="156" t="s">
        <v>116</v>
      </c>
      <c r="D301" s="165">
        <v>99</v>
      </c>
      <c r="E301" s="158"/>
    </row>
    <row r="302" spans="1:5">
      <c r="A302" s="152">
        <v>4</v>
      </c>
      <c r="B302" s="162"/>
      <c r="C302" s="160" t="s">
        <v>134</v>
      </c>
      <c r="D302" s="166">
        <v>49.5</v>
      </c>
      <c r="E302" s="162"/>
    </row>
    <row r="303" spans="1:5">
      <c r="A303" s="150">
        <v>5</v>
      </c>
      <c r="B303" s="158"/>
      <c r="C303" s="156" t="s">
        <v>113</v>
      </c>
      <c r="D303" s="165">
        <v>16.5</v>
      </c>
      <c r="E303" s="158"/>
    </row>
    <row r="304" spans="1:5">
      <c r="A304" s="152">
        <v>6</v>
      </c>
      <c r="B304" s="162"/>
      <c r="C304" s="160" t="s">
        <v>90</v>
      </c>
      <c r="D304" s="166">
        <v>11</v>
      </c>
      <c r="E304" s="162"/>
    </row>
    <row r="305" spans="1:5">
      <c r="A305" s="150">
        <v>7</v>
      </c>
      <c r="B305" s="158"/>
      <c r="C305" s="156" t="s">
        <v>118</v>
      </c>
      <c r="D305" s="165">
        <v>11</v>
      </c>
      <c r="E305" s="158"/>
    </row>
    <row r="306" spans="1:5">
      <c r="A306" s="152">
        <v>8</v>
      </c>
      <c r="B306" s="162"/>
      <c r="C306" s="160" t="s">
        <v>121</v>
      </c>
      <c r="D306" s="166">
        <v>11</v>
      </c>
      <c r="E306" s="162"/>
    </row>
    <row r="307" spans="1:5">
      <c r="A307" s="150">
        <v>9</v>
      </c>
      <c r="B307" s="158"/>
      <c r="C307" s="156" t="s">
        <v>130</v>
      </c>
      <c r="D307" s="165">
        <v>11</v>
      </c>
      <c r="E307" s="158"/>
    </row>
    <row r="308" spans="1:5">
      <c r="A308" s="208" t="s">
        <v>876</v>
      </c>
      <c r="B308" s="198"/>
      <c r="C308" s="199"/>
      <c r="D308" s="167">
        <v>550</v>
      </c>
      <c r="E308" s="168"/>
    </row>
    <row r="310" spans="1:5">
      <c r="A310" s="200" t="s">
        <v>840</v>
      </c>
      <c r="B310" s="178"/>
      <c r="C310" s="178"/>
      <c r="D310" s="178"/>
      <c r="E310" s="178"/>
    </row>
    <row r="311" spans="1:5">
      <c r="A311" s="154" t="s">
        <v>46</v>
      </c>
      <c r="B311" s="154"/>
      <c r="C311" s="154" t="s">
        <v>837</v>
      </c>
      <c r="D311" s="154" t="s">
        <v>841</v>
      </c>
      <c r="E311" s="154"/>
    </row>
    <row r="312" spans="1:5">
      <c r="A312" s="150">
        <v>1</v>
      </c>
      <c r="B312" s="158"/>
      <c r="C312" s="156" t="s">
        <v>120</v>
      </c>
      <c r="D312" s="165">
        <v>1241.74</v>
      </c>
      <c r="E312" s="158"/>
    </row>
    <row r="313" spans="1:5">
      <c r="A313" s="152">
        <v>2</v>
      </c>
      <c r="B313" s="162"/>
      <c r="C313" s="160" t="s">
        <v>99</v>
      </c>
      <c r="D313" s="166">
        <v>234.32</v>
      </c>
      <c r="E313" s="162"/>
    </row>
    <row r="314" spans="1:5">
      <c r="A314" s="150">
        <v>3</v>
      </c>
      <c r="B314" s="158"/>
      <c r="C314" s="156" t="s">
        <v>116</v>
      </c>
      <c r="D314" s="165">
        <v>198</v>
      </c>
      <c r="E314" s="158"/>
    </row>
    <row r="315" spans="1:5">
      <c r="A315" s="152">
        <v>4</v>
      </c>
      <c r="B315" s="162"/>
      <c r="C315" s="160" t="s">
        <v>115</v>
      </c>
      <c r="D315" s="166">
        <v>134.11000000000001</v>
      </c>
      <c r="E315" s="162"/>
    </row>
    <row r="316" spans="1:5">
      <c r="A316" s="150">
        <v>5</v>
      </c>
      <c r="B316" s="158"/>
      <c r="C316" s="156" t="s">
        <v>113</v>
      </c>
      <c r="D316" s="165">
        <v>126.98</v>
      </c>
      <c r="E316" s="158"/>
    </row>
    <row r="317" spans="1:5">
      <c r="A317" s="152">
        <v>6</v>
      </c>
      <c r="B317" s="162"/>
      <c r="C317" s="160" t="s">
        <v>134</v>
      </c>
      <c r="D317" s="166">
        <v>99</v>
      </c>
      <c r="E317" s="162"/>
    </row>
    <row r="318" spans="1:5">
      <c r="A318" s="150">
        <v>7</v>
      </c>
      <c r="B318" s="158"/>
      <c r="C318" s="156" t="s">
        <v>122</v>
      </c>
      <c r="D318" s="165">
        <v>87.78</v>
      </c>
      <c r="E318" s="158"/>
    </row>
    <row r="319" spans="1:5">
      <c r="A319" s="152">
        <v>8</v>
      </c>
      <c r="B319" s="162"/>
      <c r="C319" s="160" t="s">
        <v>97</v>
      </c>
      <c r="D319" s="166">
        <v>87.38</v>
      </c>
      <c r="E319" s="162"/>
    </row>
    <row r="320" spans="1:5">
      <c r="A320" s="150">
        <v>9</v>
      </c>
      <c r="B320" s="158"/>
      <c r="C320" s="156" t="s">
        <v>92</v>
      </c>
      <c r="D320" s="165">
        <v>78.260000000000005</v>
      </c>
      <c r="E320" s="158"/>
    </row>
    <row r="321" spans="1:5">
      <c r="A321" s="152">
        <v>10</v>
      </c>
      <c r="B321" s="162"/>
      <c r="C321" s="160" t="s">
        <v>68</v>
      </c>
      <c r="D321" s="166">
        <v>39.07</v>
      </c>
      <c r="E321" s="162"/>
    </row>
    <row r="322" spans="1:5">
      <c r="A322" s="150">
        <v>11</v>
      </c>
      <c r="B322" s="158"/>
      <c r="C322" s="156" t="s">
        <v>132</v>
      </c>
      <c r="D322" s="165">
        <v>29.04</v>
      </c>
      <c r="E322" s="158"/>
    </row>
    <row r="323" spans="1:5">
      <c r="A323" s="152">
        <v>12</v>
      </c>
      <c r="B323" s="162"/>
      <c r="C323" s="160" t="s">
        <v>118</v>
      </c>
      <c r="D323" s="166">
        <v>28.41</v>
      </c>
      <c r="E323" s="162"/>
    </row>
    <row r="324" spans="1:5">
      <c r="A324" s="150">
        <v>13</v>
      </c>
      <c r="B324" s="158"/>
      <c r="C324" s="156" t="s">
        <v>121</v>
      </c>
      <c r="D324" s="165">
        <v>23.26</v>
      </c>
      <c r="E324" s="158"/>
    </row>
    <row r="325" spans="1:5">
      <c r="A325" s="152">
        <v>14</v>
      </c>
      <c r="B325" s="162"/>
      <c r="C325" s="160" t="s">
        <v>130</v>
      </c>
      <c r="D325" s="166">
        <v>22.56</v>
      </c>
      <c r="E325" s="162"/>
    </row>
    <row r="326" spans="1:5">
      <c r="A326" s="150">
        <v>15</v>
      </c>
      <c r="B326" s="158"/>
      <c r="C326" s="156" t="s">
        <v>90</v>
      </c>
      <c r="D326" s="165">
        <v>22</v>
      </c>
      <c r="E326" s="158"/>
    </row>
    <row r="327" spans="1:5">
      <c r="A327" s="152">
        <v>16</v>
      </c>
      <c r="B327" s="162"/>
      <c r="C327" s="160" t="s">
        <v>88</v>
      </c>
      <c r="D327" s="166">
        <v>15.71</v>
      </c>
      <c r="E327" s="162"/>
    </row>
    <row r="328" spans="1:5">
      <c r="A328" s="150">
        <v>17</v>
      </c>
      <c r="B328" s="158"/>
      <c r="C328" s="156" t="s">
        <v>69</v>
      </c>
      <c r="D328" s="165">
        <v>15.71</v>
      </c>
      <c r="E328" s="158"/>
    </row>
    <row r="329" spans="1:5">
      <c r="A329" s="152">
        <v>18</v>
      </c>
      <c r="B329" s="162"/>
      <c r="C329" s="160" t="s">
        <v>73</v>
      </c>
      <c r="D329" s="166">
        <v>15.71</v>
      </c>
      <c r="E329" s="162"/>
    </row>
    <row r="330" spans="1:5">
      <c r="A330" s="150">
        <v>19</v>
      </c>
      <c r="B330" s="158"/>
      <c r="C330" s="156" t="s">
        <v>63</v>
      </c>
      <c r="D330" s="165">
        <v>10.210000000000001</v>
      </c>
      <c r="E330" s="158"/>
    </row>
    <row r="331" spans="1:5">
      <c r="A331" s="152">
        <v>20</v>
      </c>
      <c r="B331" s="162"/>
      <c r="C331" s="160" t="s">
        <v>74</v>
      </c>
      <c r="D331" s="166">
        <v>7.85</v>
      </c>
      <c r="E331" s="162"/>
    </row>
    <row r="332" spans="1:5">
      <c r="A332" s="150">
        <v>21</v>
      </c>
      <c r="B332" s="158"/>
      <c r="C332" s="156" t="s">
        <v>123</v>
      </c>
      <c r="D332" s="165">
        <v>7.85</v>
      </c>
      <c r="E332" s="158"/>
    </row>
    <row r="333" spans="1:5">
      <c r="A333" s="152">
        <v>22</v>
      </c>
      <c r="B333" s="162"/>
      <c r="C333" s="160" t="s">
        <v>86</v>
      </c>
      <c r="D333" s="166">
        <v>7.85</v>
      </c>
      <c r="E333" s="162"/>
    </row>
    <row r="334" spans="1:5">
      <c r="A334" s="150">
        <v>23</v>
      </c>
      <c r="B334" s="158"/>
      <c r="C334" s="156" t="s">
        <v>100</v>
      </c>
      <c r="D334" s="165">
        <v>7.85</v>
      </c>
      <c r="E334" s="158"/>
    </row>
    <row r="335" spans="1:5">
      <c r="A335" s="152">
        <v>24</v>
      </c>
      <c r="B335" s="162"/>
      <c r="C335" s="160" t="s">
        <v>107</v>
      </c>
      <c r="D335" s="166">
        <v>6.47</v>
      </c>
      <c r="E335" s="162"/>
    </row>
    <row r="336" spans="1:5">
      <c r="A336" s="150">
        <v>25</v>
      </c>
      <c r="B336" s="158"/>
      <c r="C336" s="156" t="s">
        <v>62</v>
      </c>
      <c r="D336" s="165">
        <v>5.5</v>
      </c>
      <c r="E336" s="158"/>
    </row>
    <row r="337" spans="1:5">
      <c r="A337" s="152">
        <v>26</v>
      </c>
      <c r="B337" s="162"/>
      <c r="C337" s="160" t="s">
        <v>84</v>
      </c>
      <c r="D337" s="166">
        <v>4.2</v>
      </c>
      <c r="E337" s="162"/>
    </row>
    <row r="338" spans="1:5">
      <c r="A338" s="150">
        <v>27</v>
      </c>
      <c r="B338" s="158"/>
      <c r="C338" s="156" t="s">
        <v>114</v>
      </c>
      <c r="D338" s="165">
        <v>3.17</v>
      </c>
      <c r="E338" s="158"/>
    </row>
    <row r="339" spans="1:5">
      <c r="A339" s="197" t="s">
        <v>877</v>
      </c>
      <c r="B339" s="198"/>
      <c r="C339" s="199"/>
      <c r="D339" s="169">
        <v>2560</v>
      </c>
      <c r="E339" s="164"/>
    </row>
    <row r="341" spans="1:5" ht="38.1" customHeight="1">
      <c r="A341" s="209" t="s">
        <v>878</v>
      </c>
      <c r="B341" s="178"/>
      <c r="C341" s="178"/>
      <c r="D341" s="178"/>
      <c r="E341" s="178"/>
    </row>
    <row r="342" spans="1:5">
      <c r="A342" s="205" t="s">
        <v>879</v>
      </c>
      <c r="B342" s="178"/>
      <c r="C342" s="178"/>
      <c r="D342" s="178"/>
      <c r="E342" s="178"/>
    </row>
    <row r="343" spans="1:5">
      <c r="A343" s="207" t="s">
        <v>880</v>
      </c>
      <c r="B343" s="198"/>
      <c r="C343" s="198"/>
      <c r="D343" s="198"/>
      <c r="E343" s="199"/>
    </row>
    <row r="344" spans="1:5">
      <c r="A344" s="154" t="s">
        <v>46</v>
      </c>
      <c r="B344" s="154"/>
      <c r="C344" s="154" t="s">
        <v>837</v>
      </c>
      <c r="D344" s="154" t="s">
        <v>838</v>
      </c>
      <c r="E344" s="154"/>
    </row>
    <row r="345" spans="1:5">
      <c r="A345" s="150">
        <v>1</v>
      </c>
      <c r="B345" s="158"/>
      <c r="C345" s="156" t="s">
        <v>120</v>
      </c>
      <c r="D345" s="165">
        <v>481.36</v>
      </c>
      <c r="E345" s="158"/>
    </row>
    <row r="346" spans="1:5">
      <c r="A346" s="152">
        <v>2</v>
      </c>
      <c r="B346" s="162"/>
      <c r="C346" s="160" t="s">
        <v>116</v>
      </c>
      <c r="D346" s="166">
        <v>263.12</v>
      </c>
      <c r="E346" s="162"/>
    </row>
    <row r="347" spans="1:5">
      <c r="A347" s="150">
        <v>3</v>
      </c>
      <c r="B347" s="158"/>
      <c r="C347" s="156" t="s">
        <v>99</v>
      </c>
      <c r="D347" s="165">
        <v>135.30000000000001</v>
      </c>
      <c r="E347" s="158"/>
    </row>
    <row r="348" spans="1:5">
      <c r="A348" s="152">
        <v>4</v>
      </c>
      <c r="B348" s="162"/>
      <c r="C348" s="160" t="s">
        <v>134</v>
      </c>
      <c r="D348" s="166">
        <v>59.4</v>
      </c>
      <c r="E348" s="162"/>
    </row>
    <row r="349" spans="1:5">
      <c r="A349" s="150">
        <v>5</v>
      </c>
      <c r="B349" s="158"/>
      <c r="C349" s="156" t="s">
        <v>113</v>
      </c>
      <c r="D349" s="165">
        <v>32.56</v>
      </c>
      <c r="E349" s="158"/>
    </row>
    <row r="350" spans="1:5">
      <c r="A350" s="152">
        <v>6</v>
      </c>
      <c r="B350" s="162"/>
      <c r="C350" s="160" t="s">
        <v>115</v>
      </c>
      <c r="D350" s="166">
        <v>27.28</v>
      </c>
      <c r="E350" s="162"/>
    </row>
    <row r="351" spans="1:5">
      <c r="A351" s="150">
        <v>7</v>
      </c>
      <c r="B351" s="158"/>
      <c r="C351" s="156" t="s">
        <v>121</v>
      </c>
      <c r="D351" s="165">
        <v>16.61</v>
      </c>
      <c r="E351" s="158"/>
    </row>
    <row r="352" spans="1:5">
      <c r="A352" s="152">
        <v>8</v>
      </c>
      <c r="B352" s="162"/>
      <c r="C352" s="160" t="s">
        <v>118</v>
      </c>
      <c r="D352" s="166">
        <v>15.73</v>
      </c>
      <c r="E352" s="162"/>
    </row>
    <row r="353" spans="1:5">
      <c r="A353" s="150">
        <v>9</v>
      </c>
      <c r="B353" s="158"/>
      <c r="C353" s="156" t="s">
        <v>130</v>
      </c>
      <c r="D353" s="165">
        <v>14.85</v>
      </c>
      <c r="E353" s="158"/>
    </row>
    <row r="354" spans="1:5">
      <c r="A354" s="152">
        <v>10</v>
      </c>
      <c r="B354" s="162"/>
      <c r="C354" s="160" t="s">
        <v>82</v>
      </c>
      <c r="D354" s="166">
        <v>13.64</v>
      </c>
      <c r="E354" s="162"/>
    </row>
    <row r="355" spans="1:5">
      <c r="A355" s="150">
        <v>11</v>
      </c>
      <c r="B355" s="158"/>
      <c r="C355" s="156" t="s">
        <v>90</v>
      </c>
      <c r="D355" s="165">
        <v>13.2</v>
      </c>
      <c r="E355" s="158"/>
    </row>
    <row r="356" spans="1:5">
      <c r="A356" s="152">
        <v>12</v>
      </c>
      <c r="B356" s="162"/>
      <c r="C356" s="160" t="s">
        <v>92</v>
      </c>
      <c r="D356" s="166">
        <v>9.9</v>
      </c>
      <c r="E356" s="162"/>
    </row>
    <row r="357" spans="1:5">
      <c r="A357" s="150">
        <v>13</v>
      </c>
      <c r="B357" s="158"/>
      <c r="C357" s="156" t="s">
        <v>84</v>
      </c>
      <c r="D357" s="165">
        <v>6.27</v>
      </c>
      <c r="E357" s="158"/>
    </row>
    <row r="358" spans="1:5">
      <c r="A358" s="152">
        <v>14</v>
      </c>
      <c r="B358" s="162"/>
      <c r="C358" s="160" t="s">
        <v>71</v>
      </c>
      <c r="D358" s="166">
        <v>5.83</v>
      </c>
      <c r="E358" s="162"/>
    </row>
    <row r="359" spans="1:5">
      <c r="A359" s="150">
        <v>15</v>
      </c>
      <c r="B359" s="158"/>
      <c r="C359" s="156" t="s">
        <v>108</v>
      </c>
      <c r="D359" s="165">
        <v>2.64</v>
      </c>
      <c r="E359" s="158"/>
    </row>
    <row r="360" spans="1:5">
      <c r="A360" s="152">
        <v>16</v>
      </c>
      <c r="B360" s="162"/>
      <c r="C360" s="160" t="s">
        <v>104</v>
      </c>
      <c r="D360" s="166">
        <v>2.31</v>
      </c>
      <c r="E360" s="162"/>
    </row>
    <row r="361" spans="1:5">
      <c r="A361" s="208" t="s">
        <v>881</v>
      </c>
      <c r="B361" s="198"/>
      <c r="C361" s="199"/>
      <c r="D361" s="167">
        <v>1100</v>
      </c>
      <c r="E361" s="168"/>
    </row>
    <row r="362" spans="1:5">
      <c r="A362" s="207" t="s">
        <v>882</v>
      </c>
      <c r="B362" s="198"/>
      <c r="C362" s="198"/>
      <c r="D362" s="198"/>
      <c r="E362" s="199"/>
    </row>
    <row r="363" spans="1:5">
      <c r="A363" s="154" t="s">
        <v>46</v>
      </c>
      <c r="B363" s="154"/>
      <c r="C363" s="154" t="s">
        <v>837</v>
      </c>
      <c r="D363" s="154" t="s">
        <v>838</v>
      </c>
      <c r="E363" s="154"/>
    </row>
    <row r="364" spans="1:5">
      <c r="A364" s="150">
        <v>1</v>
      </c>
      <c r="B364" s="158"/>
      <c r="C364" s="156" t="s">
        <v>120</v>
      </c>
      <c r="D364" s="165">
        <v>469.26</v>
      </c>
      <c r="E364" s="158"/>
    </row>
    <row r="365" spans="1:5">
      <c r="A365" s="152">
        <v>2</v>
      </c>
      <c r="B365" s="162"/>
      <c r="C365" s="160" t="s">
        <v>99</v>
      </c>
      <c r="D365" s="166">
        <v>190.3</v>
      </c>
      <c r="E365" s="162"/>
    </row>
    <row r="366" spans="1:5">
      <c r="A366" s="150">
        <v>3</v>
      </c>
      <c r="B366" s="158"/>
      <c r="C366" s="156" t="s">
        <v>116</v>
      </c>
      <c r="D366" s="165">
        <v>178.2</v>
      </c>
      <c r="E366" s="158"/>
    </row>
    <row r="367" spans="1:5">
      <c r="A367" s="152">
        <v>4</v>
      </c>
      <c r="B367" s="162"/>
      <c r="C367" s="160" t="s">
        <v>134</v>
      </c>
      <c r="D367" s="166">
        <v>89.1</v>
      </c>
      <c r="E367" s="162"/>
    </row>
    <row r="368" spans="1:5">
      <c r="A368" s="150">
        <v>5</v>
      </c>
      <c r="B368" s="158"/>
      <c r="C368" s="156" t="s">
        <v>113</v>
      </c>
      <c r="D368" s="165">
        <v>42.46</v>
      </c>
      <c r="E368" s="158"/>
    </row>
    <row r="369" spans="1:5">
      <c r="A369" s="152">
        <v>6</v>
      </c>
      <c r="B369" s="162"/>
      <c r="C369" s="160" t="s">
        <v>115</v>
      </c>
      <c r="D369" s="166">
        <v>27.28</v>
      </c>
      <c r="E369" s="162"/>
    </row>
    <row r="370" spans="1:5">
      <c r="A370" s="150">
        <v>7</v>
      </c>
      <c r="B370" s="158"/>
      <c r="C370" s="156" t="s">
        <v>118</v>
      </c>
      <c r="D370" s="165">
        <v>20.79</v>
      </c>
      <c r="E370" s="158"/>
    </row>
    <row r="371" spans="1:5">
      <c r="A371" s="152">
        <v>8</v>
      </c>
      <c r="B371" s="162"/>
      <c r="C371" s="160" t="s">
        <v>121</v>
      </c>
      <c r="D371" s="166">
        <v>20.57</v>
      </c>
      <c r="E371" s="162"/>
    </row>
    <row r="372" spans="1:5">
      <c r="A372" s="150">
        <v>9</v>
      </c>
      <c r="B372" s="158"/>
      <c r="C372" s="156" t="s">
        <v>130</v>
      </c>
      <c r="D372" s="165">
        <v>20.13</v>
      </c>
      <c r="E372" s="158"/>
    </row>
    <row r="373" spans="1:5">
      <c r="A373" s="152">
        <v>10</v>
      </c>
      <c r="B373" s="162"/>
      <c r="C373" s="160" t="s">
        <v>90</v>
      </c>
      <c r="D373" s="166">
        <v>19.8</v>
      </c>
      <c r="E373" s="162"/>
    </row>
    <row r="374" spans="1:5">
      <c r="A374" s="150">
        <v>11</v>
      </c>
      <c r="B374" s="158"/>
      <c r="C374" s="156" t="s">
        <v>82</v>
      </c>
      <c r="D374" s="165">
        <v>13.64</v>
      </c>
      <c r="E374" s="158"/>
    </row>
    <row r="375" spans="1:5">
      <c r="A375" s="152">
        <v>12</v>
      </c>
      <c r="B375" s="162"/>
      <c r="C375" s="160" t="s">
        <v>84</v>
      </c>
      <c r="D375" s="166">
        <v>2.97</v>
      </c>
      <c r="E375" s="162"/>
    </row>
    <row r="376" spans="1:5">
      <c r="A376" s="150">
        <v>13</v>
      </c>
      <c r="B376" s="158"/>
      <c r="C376" s="156" t="s">
        <v>71</v>
      </c>
      <c r="D376" s="165">
        <v>2.2000000000000002</v>
      </c>
      <c r="E376" s="158"/>
    </row>
    <row r="377" spans="1:5">
      <c r="A377" s="152">
        <v>14</v>
      </c>
      <c r="B377" s="162"/>
      <c r="C377" s="160" t="s">
        <v>92</v>
      </c>
      <c r="D377" s="166">
        <v>2.2000000000000002</v>
      </c>
      <c r="E377" s="162"/>
    </row>
    <row r="378" spans="1:5">
      <c r="A378" s="150">
        <v>15</v>
      </c>
      <c r="B378" s="158"/>
      <c r="C378" s="156" t="s">
        <v>104</v>
      </c>
      <c r="D378" s="165">
        <v>1.1000000000000001</v>
      </c>
      <c r="E378" s="158"/>
    </row>
    <row r="379" spans="1:5">
      <c r="A379" s="208" t="s">
        <v>883</v>
      </c>
      <c r="B379" s="198"/>
      <c r="C379" s="199"/>
      <c r="D379" s="167">
        <v>1100</v>
      </c>
      <c r="E379" s="168"/>
    </row>
    <row r="380" spans="1:5">
      <c r="A380" s="207" t="s">
        <v>884</v>
      </c>
      <c r="B380" s="198"/>
      <c r="C380" s="198"/>
      <c r="D380" s="198"/>
      <c r="E380" s="199"/>
    </row>
    <row r="381" spans="1:5">
      <c r="A381" s="154" t="s">
        <v>46</v>
      </c>
      <c r="B381" s="154"/>
      <c r="C381" s="154" t="s">
        <v>837</v>
      </c>
      <c r="D381" s="154" t="s">
        <v>838</v>
      </c>
      <c r="E381" s="154"/>
    </row>
    <row r="382" spans="1:5">
      <c r="A382" s="150">
        <v>1</v>
      </c>
      <c r="B382" s="158"/>
      <c r="C382" s="156" t="s">
        <v>120</v>
      </c>
      <c r="D382" s="165">
        <v>473</v>
      </c>
      <c r="E382" s="158"/>
    </row>
    <row r="383" spans="1:5">
      <c r="A383" s="152">
        <v>2</v>
      </c>
      <c r="B383" s="162"/>
      <c r="C383" s="160" t="s">
        <v>116</v>
      </c>
      <c r="D383" s="166">
        <v>222.31</v>
      </c>
      <c r="E383" s="162"/>
    </row>
    <row r="384" spans="1:5">
      <c r="A384" s="150">
        <v>3</v>
      </c>
      <c r="B384" s="158"/>
      <c r="C384" s="156" t="s">
        <v>99</v>
      </c>
      <c r="D384" s="165">
        <v>190.41</v>
      </c>
      <c r="E384" s="158"/>
    </row>
    <row r="385" spans="1:5">
      <c r="A385" s="152">
        <v>4</v>
      </c>
      <c r="B385" s="162"/>
      <c r="C385" s="160" t="s">
        <v>134</v>
      </c>
      <c r="D385" s="166">
        <v>89.1</v>
      </c>
      <c r="E385" s="162"/>
    </row>
    <row r="386" spans="1:5">
      <c r="A386" s="150">
        <v>5</v>
      </c>
      <c r="B386" s="158"/>
      <c r="C386" s="156" t="s">
        <v>113</v>
      </c>
      <c r="D386" s="165">
        <v>29.7</v>
      </c>
      <c r="E386" s="158"/>
    </row>
    <row r="387" spans="1:5">
      <c r="A387" s="152">
        <v>6</v>
      </c>
      <c r="B387" s="162"/>
      <c r="C387" s="160" t="s">
        <v>121</v>
      </c>
      <c r="D387" s="166">
        <v>20.57</v>
      </c>
      <c r="E387" s="162"/>
    </row>
    <row r="388" spans="1:5">
      <c r="A388" s="150">
        <v>7</v>
      </c>
      <c r="B388" s="158"/>
      <c r="C388" s="156" t="s">
        <v>130</v>
      </c>
      <c r="D388" s="165">
        <v>20.13</v>
      </c>
      <c r="E388" s="158"/>
    </row>
    <row r="389" spans="1:5">
      <c r="A389" s="152">
        <v>8</v>
      </c>
      <c r="B389" s="162"/>
      <c r="C389" s="160" t="s">
        <v>118</v>
      </c>
      <c r="D389" s="166">
        <v>20.02</v>
      </c>
      <c r="E389" s="162"/>
    </row>
    <row r="390" spans="1:5">
      <c r="A390" s="150">
        <v>9</v>
      </c>
      <c r="B390" s="158"/>
      <c r="C390" s="156" t="s">
        <v>90</v>
      </c>
      <c r="D390" s="165">
        <v>19.8</v>
      </c>
      <c r="E390" s="158"/>
    </row>
    <row r="391" spans="1:5">
      <c r="A391" s="152">
        <v>10</v>
      </c>
      <c r="B391" s="162"/>
      <c r="C391" s="160" t="s">
        <v>89</v>
      </c>
      <c r="D391" s="166">
        <v>4.7300000000000004</v>
      </c>
      <c r="E391" s="162"/>
    </row>
    <row r="392" spans="1:5">
      <c r="A392" s="150">
        <v>11</v>
      </c>
      <c r="B392" s="158"/>
      <c r="C392" s="156" t="s">
        <v>108</v>
      </c>
      <c r="D392" s="165">
        <v>3.52</v>
      </c>
      <c r="E392" s="158"/>
    </row>
    <row r="393" spans="1:5">
      <c r="A393" s="152">
        <v>12</v>
      </c>
      <c r="B393" s="162"/>
      <c r="C393" s="160" t="s">
        <v>128</v>
      </c>
      <c r="D393" s="166">
        <v>3.52</v>
      </c>
      <c r="E393" s="162"/>
    </row>
    <row r="394" spans="1:5">
      <c r="A394" s="150">
        <v>13</v>
      </c>
      <c r="B394" s="158"/>
      <c r="C394" s="156" t="s">
        <v>92</v>
      </c>
      <c r="D394" s="165">
        <v>2.31</v>
      </c>
      <c r="E394" s="158"/>
    </row>
    <row r="395" spans="1:5">
      <c r="A395" s="152">
        <v>14</v>
      </c>
      <c r="B395" s="162"/>
      <c r="C395" s="160" t="s">
        <v>93</v>
      </c>
      <c r="D395" s="166">
        <v>0.88</v>
      </c>
      <c r="E395" s="162"/>
    </row>
    <row r="396" spans="1:5">
      <c r="A396" s="208" t="s">
        <v>885</v>
      </c>
      <c r="B396" s="198"/>
      <c r="C396" s="199"/>
      <c r="D396" s="167">
        <v>1100</v>
      </c>
      <c r="E396" s="168"/>
    </row>
    <row r="397" spans="1:5">
      <c r="A397" s="207" t="s">
        <v>886</v>
      </c>
      <c r="B397" s="198"/>
      <c r="C397" s="198"/>
      <c r="D397" s="198"/>
      <c r="E397" s="199"/>
    </row>
    <row r="398" spans="1:5">
      <c r="A398" s="154" t="s">
        <v>46</v>
      </c>
      <c r="B398" s="154"/>
      <c r="C398" s="154" t="s">
        <v>837</v>
      </c>
      <c r="D398" s="154" t="s">
        <v>838</v>
      </c>
      <c r="E398" s="154"/>
    </row>
    <row r="399" spans="1:5">
      <c r="A399" s="150">
        <v>1</v>
      </c>
      <c r="B399" s="158"/>
      <c r="C399" s="156" t="s">
        <v>120</v>
      </c>
      <c r="D399" s="165">
        <v>474.54</v>
      </c>
      <c r="E399" s="158"/>
    </row>
    <row r="400" spans="1:5">
      <c r="A400" s="152">
        <v>2</v>
      </c>
      <c r="B400" s="162"/>
      <c r="C400" s="160" t="s">
        <v>116</v>
      </c>
      <c r="D400" s="166">
        <v>223.96</v>
      </c>
      <c r="E400" s="162"/>
    </row>
    <row r="401" spans="1:5">
      <c r="A401" s="150">
        <v>3</v>
      </c>
      <c r="B401" s="158"/>
      <c r="C401" s="156" t="s">
        <v>99</v>
      </c>
      <c r="D401" s="165">
        <v>190.52</v>
      </c>
      <c r="E401" s="158"/>
    </row>
    <row r="402" spans="1:5">
      <c r="A402" s="152">
        <v>4</v>
      </c>
      <c r="B402" s="162"/>
      <c r="C402" s="160" t="s">
        <v>134</v>
      </c>
      <c r="D402" s="166">
        <v>89.1</v>
      </c>
      <c r="E402" s="162"/>
    </row>
    <row r="403" spans="1:5">
      <c r="A403" s="150">
        <v>5</v>
      </c>
      <c r="B403" s="158"/>
      <c r="C403" s="156" t="s">
        <v>113</v>
      </c>
      <c r="D403" s="165">
        <v>29.7</v>
      </c>
      <c r="E403" s="158"/>
    </row>
    <row r="404" spans="1:5">
      <c r="A404" s="152">
        <v>6</v>
      </c>
      <c r="B404" s="162"/>
      <c r="C404" s="160" t="s">
        <v>118</v>
      </c>
      <c r="D404" s="166">
        <v>20.9</v>
      </c>
      <c r="E404" s="162"/>
    </row>
    <row r="405" spans="1:5">
      <c r="A405" s="150">
        <v>7</v>
      </c>
      <c r="B405" s="158"/>
      <c r="C405" s="156" t="s">
        <v>121</v>
      </c>
      <c r="D405" s="165">
        <v>20.68</v>
      </c>
      <c r="E405" s="158"/>
    </row>
    <row r="406" spans="1:5">
      <c r="A406" s="152">
        <v>8</v>
      </c>
      <c r="B406" s="162"/>
      <c r="C406" s="160" t="s">
        <v>130</v>
      </c>
      <c r="D406" s="166">
        <v>20.239999999999998</v>
      </c>
      <c r="E406" s="162"/>
    </row>
    <row r="407" spans="1:5">
      <c r="A407" s="150">
        <v>9</v>
      </c>
      <c r="B407" s="158"/>
      <c r="C407" s="156" t="s">
        <v>90</v>
      </c>
      <c r="D407" s="165">
        <v>19.8</v>
      </c>
      <c r="E407" s="158"/>
    </row>
    <row r="408" spans="1:5">
      <c r="A408" s="152">
        <v>10</v>
      </c>
      <c r="B408" s="162"/>
      <c r="C408" s="160" t="s">
        <v>71</v>
      </c>
      <c r="D408" s="166">
        <v>3.63</v>
      </c>
      <c r="E408" s="162"/>
    </row>
    <row r="409" spans="1:5">
      <c r="A409" s="150">
        <v>11</v>
      </c>
      <c r="B409" s="158"/>
      <c r="C409" s="156" t="s">
        <v>84</v>
      </c>
      <c r="D409" s="165">
        <v>3.3</v>
      </c>
      <c r="E409" s="158"/>
    </row>
    <row r="410" spans="1:5">
      <c r="A410" s="152">
        <v>12</v>
      </c>
      <c r="B410" s="162"/>
      <c r="C410" s="160" t="s">
        <v>92</v>
      </c>
      <c r="D410" s="166">
        <v>2.42</v>
      </c>
      <c r="E410" s="162"/>
    </row>
    <row r="411" spans="1:5">
      <c r="A411" s="150">
        <v>13</v>
      </c>
      <c r="B411" s="158"/>
      <c r="C411" s="156" t="s">
        <v>104</v>
      </c>
      <c r="D411" s="165">
        <v>1.21</v>
      </c>
      <c r="E411" s="158"/>
    </row>
    <row r="412" spans="1:5">
      <c r="A412" s="208" t="s">
        <v>887</v>
      </c>
      <c r="B412" s="198"/>
      <c r="C412" s="199"/>
      <c r="D412" s="167">
        <v>1100</v>
      </c>
      <c r="E412" s="168"/>
    </row>
    <row r="413" spans="1:5">
      <c r="A413" s="207" t="s">
        <v>888</v>
      </c>
      <c r="B413" s="198"/>
      <c r="C413" s="198"/>
      <c r="D413" s="198"/>
      <c r="E413" s="199"/>
    </row>
    <row r="414" spans="1:5">
      <c r="A414" s="154" t="s">
        <v>46</v>
      </c>
      <c r="B414" s="154"/>
      <c r="C414" s="154" t="s">
        <v>837</v>
      </c>
      <c r="D414" s="154" t="s">
        <v>838</v>
      </c>
      <c r="E414" s="154"/>
    </row>
    <row r="415" spans="1:5">
      <c r="A415" s="150">
        <v>1</v>
      </c>
      <c r="B415" s="158"/>
      <c r="C415" s="156" t="s">
        <v>120</v>
      </c>
      <c r="D415" s="165">
        <v>522.05999999999995</v>
      </c>
      <c r="E415" s="158"/>
    </row>
    <row r="416" spans="1:5">
      <c r="A416" s="152">
        <v>2</v>
      </c>
      <c r="B416" s="162"/>
      <c r="C416" s="160" t="s">
        <v>116</v>
      </c>
      <c r="D416" s="166">
        <v>489.28</v>
      </c>
      <c r="E416" s="162"/>
    </row>
    <row r="417" spans="1:5">
      <c r="A417" s="150">
        <v>3</v>
      </c>
      <c r="B417" s="158"/>
      <c r="C417" s="156" t="s">
        <v>92</v>
      </c>
      <c r="D417" s="165">
        <v>26.18</v>
      </c>
      <c r="E417" s="158"/>
    </row>
    <row r="418" spans="1:5">
      <c r="A418" s="152">
        <v>4</v>
      </c>
      <c r="B418" s="162"/>
      <c r="C418" s="160" t="s">
        <v>99</v>
      </c>
      <c r="D418" s="166">
        <v>26.18</v>
      </c>
      <c r="E418" s="162"/>
    </row>
    <row r="419" spans="1:5">
      <c r="A419" s="150">
        <v>5</v>
      </c>
      <c r="B419" s="158"/>
      <c r="C419" s="156" t="s">
        <v>108</v>
      </c>
      <c r="D419" s="165">
        <v>11.88</v>
      </c>
      <c r="E419" s="158"/>
    </row>
    <row r="420" spans="1:5">
      <c r="A420" s="152">
        <v>6</v>
      </c>
      <c r="B420" s="162"/>
      <c r="C420" s="160" t="s">
        <v>121</v>
      </c>
      <c r="D420" s="166">
        <v>8.8000000000000007</v>
      </c>
      <c r="E420" s="162"/>
    </row>
    <row r="421" spans="1:5">
      <c r="A421" s="150">
        <v>7</v>
      </c>
      <c r="B421" s="158"/>
      <c r="C421" s="156" t="s">
        <v>130</v>
      </c>
      <c r="D421" s="165">
        <v>4.4000000000000004</v>
      </c>
      <c r="E421" s="158"/>
    </row>
    <row r="422" spans="1:5">
      <c r="A422" s="152">
        <v>8</v>
      </c>
      <c r="B422" s="162"/>
      <c r="C422" s="160" t="s">
        <v>71</v>
      </c>
      <c r="D422" s="166">
        <v>3.63</v>
      </c>
      <c r="E422" s="162"/>
    </row>
    <row r="423" spans="1:5">
      <c r="A423" s="150">
        <v>9</v>
      </c>
      <c r="B423" s="158"/>
      <c r="C423" s="156" t="s">
        <v>84</v>
      </c>
      <c r="D423" s="165">
        <v>3.3</v>
      </c>
      <c r="E423" s="158"/>
    </row>
    <row r="424" spans="1:5">
      <c r="A424" s="152">
        <v>10</v>
      </c>
      <c r="B424" s="162"/>
      <c r="C424" s="160" t="s">
        <v>118</v>
      </c>
      <c r="D424" s="166">
        <v>3.08</v>
      </c>
      <c r="E424" s="162"/>
    </row>
    <row r="425" spans="1:5">
      <c r="A425" s="150">
        <v>11</v>
      </c>
      <c r="B425" s="158"/>
      <c r="C425" s="156" t="s">
        <v>104</v>
      </c>
      <c r="D425" s="165">
        <v>1.21</v>
      </c>
      <c r="E425" s="158"/>
    </row>
    <row r="426" spans="1:5">
      <c r="A426" s="208" t="s">
        <v>889</v>
      </c>
      <c r="B426" s="198"/>
      <c r="C426" s="199"/>
      <c r="D426" s="167">
        <v>1100</v>
      </c>
      <c r="E426" s="168"/>
    </row>
    <row r="428" spans="1:5">
      <c r="A428" s="200" t="s">
        <v>840</v>
      </c>
      <c r="B428" s="178"/>
      <c r="C428" s="178"/>
      <c r="D428" s="178"/>
      <c r="E428" s="178"/>
    </row>
    <row r="429" spans="1:5">
      <c r="A429" s="154" t="s">
        <v>46</v>
      </c>
      <c r="B429" s="154"/>
      <c r="C429" s="154" t="s">
        <v>837</v>
      </c>
      <c r="D429" s="154" t="s">
        <v>841</v>
      </c>
      <c r="E429" s="154"/>
    </row>
    <row r="430" spans="1:5">
      <c r="A430" s="150">
        <v>1</v>
      </c>
      <c r="B430" s="158"/>
      <c r="C430" s="156" t="s">
        <v>120</v>
      </c>
      <c r="D430" s="165">
        <v>2420.2199999999998</v>
      </c>
      <c r="E430" s="158"/>
    </row>
    <row r="431" spans="1:5">
      <c r="A431" s="152">
        <v>2</v>
      </c>
      <c r="B431" s="162"/>
      <c r="C431" s="160" t="s">
        <v>116</v>
      </c>
      <c r="D431" s="166">
        <v>1376.87</v>
      </c>
      <c r="E431" s="162"/>
    </row>
    <row r="432" spans="1:5">
      <c r="A432" s="150">
        <v>3</v>
      </c>
      <c r="B432" s="158"/>
      <c r="C432" s="156" t="s">
        <v>99</v>
      </c>
      <c r="D432" s="165">
        <v>732.71</v>
      </c>
      <c r="E432" s="158"/>
    </row>
    <row r="433" spans="1:5">
      <c r="A433" s="152">
        <v>4</v>
      </c>
      <c r="B433" s="162"/>
      <c r="C433" s="160" t="s">
        <v>134</v>
      </c>
      <c r="D433" s="166">
        <v>326.7</v>
      </c>
      <c r="E433" s="162"/>
    </row>
    <row r="434" spans="1:5">
      <c r="A434" s="150">
        <v>5</v>
      </c>
      <c r="B434" s="158"/>
      <c r="C434" s="156" t="s">
        <v>113</v>
      </c>
      <c r="D434" s="165">
        <v>134.41999999999999</v>
      </c>
      <c r="E434" s="158"/>
    </row>
    <row r="435" spans="1:5">
      <c r="A435" s="152">
        <v>6</v>
      </c>
      <c r="B435" s="162"/>
      <c r="C435" s="160" t="s">
        <v>121</v>
      </c>
      <c r="D435" s="166">
        <v>87.23</v>
      </c>
      <c r="E435" s="162"/>
    </row>
    <row r="436" spans="1:5">
      <c r="A436" s="150">
        <v>7</v>
      </c>
      <c r="B436" s="158"/>
      <c r="C436" s="156" t="s">
        <v>118</v>
      </c>
      <c r="D436" s="165">
        <v>80.52</v>
      </c>
      <c r="E436" s="158"/>
    </row>
    <row r="437" spans="1:5">
      <c r="A437" s="152">
        <v>8</v>
      </c>
      <c r="B437" s="162"/>
      <c r="C437" s="160" t="s">
        <v>130</v>
      </c>
      <c r="D437" s="166">
        <v>79.75</v>
      </c>
      <c r="E437" s="162"/>
    </row>
    <row r="438" spans="1:5">
      <c r="A438" s="150">
        <v>9</v>
      </c>
      <c r="B438" s="158"/>
      <c r="C438" s="156" t="s">
        <v>90</v>
      </c>
      <c r="D438" s="165">
        <v>72.599999999999994</v>
      </c>
      <c r="E438" s="158"/>
    </row>
    <row r="439" spans="1:5">
      <c r="A439" s="152">
        <v>10</v>
      </c>
      <c r="B439" s="162"/>
      <c r="C439" s="160" t="s">
        <v>115</v>
      </c>
      <c r="D439" s="166">
        <v>54.56</v>
      </c>
      <c r="E439" s="162"/>
    </row>
    <row r="440" spans="1:5">
      <c r="A440" s="150">
        <v>11</v>
      </c>
      <c r="B440" s="158"/>
      <c r="C440" s="156" t="s">
        <v>92</v>
      </c>
      <c r="D440" s="165">
        <v>43.01</v>
      </c>
      <c r="E440" s="158"/>
    </row>
    <row r="441" spans="1:5">
      <c r="A441" s="152">
        <v>12</v>
      </c>
      <c r="B441" s="162"/>
      <c r="C441" s="160" t="s">
        <v>82</v>
      </c>
      <c r="D441" s="166">
        <v>27.28</v>
      </c>
      <c r="E441" s="162"/>
    </row>
    <row r="442" spans="1:5">
      <c r="A442" s="150">
        <v>13</v>
      </c>
      <c r="B442" s="158"/>
      <c r="C442" s="156" t="s">
        <v>108</v>
      </c>
      <c r="D442" s="165">
        <v>18.04</v>
      </c>
      <c r="E442" s="158"/>
    </row>
    <row r="443" spans="1:5">
      <c r="A443" s="152">
        <v>14</v>
      </c>
      <c r="B443" s="162"/>
      <c r="C443" s="160" t="s">
        <v>84</v>
      </c>
      <c r="D443" s="166">
        <v>15.84</v>
      </c>
      <c r="E443" s="162"/>
    </row>
    <row r="444" spans="1:5">
      <c r="A444" s="150">
        <v>15</v>
      </c>
      <c r="B444" s="158"/>
      <c r="C444" s="156" t="s">
        <v>71</v>
      </c>
      <c r="D444" s="165">
        <v>15.29</v>
      </c>
      <c r="E444" s="158"/>
    </row>
    <row r="445" spans="1:5">
      <c r="A445" s="152">
        <v>16</v>
      </c>
      <c r="B445" s="162"/>
      <c r="C445" s="160" t="s">
        <v>104</v>
      </c>
      <c r="D445" s="166">
        <v>5.83</v>
      </c>
      <c r="E445" s="162"/>
    </row>
    <row r="446" spans="1:5">
      <c r="A446" s="150">
        <v>17</v>
      </c>
      <c r="B446" s="158"/>
      <c r="C446" s="156" t="s">
        <v>89</v>
      </c>
      <c r="D446" s="165">
        <v>4.7300000000000004</v>
      </c>
      <c r="E446" s="158"/>
    </row>
    <row r="447" spans="1:5">
      <c r="A447" s="152">
        <v>18</v>
      </c>
      <c r="B447" s="162"/>
      <c r="C447" s="160" t="s">
        <v>128</v>
      </c>
      <c r="D447" s="166">
        <v>3.52</v>
      </c>
      <c r="E447" s="162"/>
    </row>
    <row r="448" spans="1:5">
      <c r="A448" s="150">
        <v>19</v>
      </c>
      <c r="B448" s="158"/>
      <c r="C448" s="156" t="s">
        <v>93</v>
      </c>
      <c r="D448" s="165">
        <v>0.88</v>
      </c>
      <c r="E448" s="158"/>
    </row>
    <row r="449" spans="1:5">
      <c r="A449" s="197" t="s">
        <v>890</v>
      </c>
      <c r="B449" s="198"/>
      <c r="C449" s="199"/>
      <c r="D449" s="169">
        <v>5500</v>
      </c>
      <c r="E449" s="164"/>
    </row>
    <row r="451" spans="1:5" ht="38.1" customHeight="1">
      <c r="A451" s="209" t="s">
        <v>891</v>
      </c>
      <c r="B451" s="178"/>
      <c r="C451" s="178"/>
      <c r="D451" s="178"/>
      <c r="E451" s="178"/>
    </row>
    <row r="452" spans="1:5">
      <c r="A452" s="205" t="s">
        <v>892</v>
      </c>
      <c r="B452" s="178"/>
      <c r="C452" s="178"/>
      <c r="D452" s="178"/>
      <c r="E452" s="178"/>
    </row>
    <row r="453" spans="1:5">
      <c r="A453" s="207" t="s">
        <v>893</v>
      </c>
      <c r="B453" s="198"/>
      <c r="C453" s="198"/>
      <c r="D453" s="198"/>
      <c r="E453" s="199"/>
    </row>
    <row r="454" spans="1:5">
      <c r="A454" s="154" t="s">
        <v>46</v>
      </c>
      <c r="B454" s="154"/>
      <c r="C454" s="154" t="s">
        <v>837</v>
      </c>
      <c r="D454" s="154" t="s">
        <v>838</v>
      </c>
      <c r="E454" s="154"/>
    </row>
    <row r="455" spans="1:5">
      <c r="A455" s="150">
        <v>1</v>
      </c>
      <c r="B455" s="158"/>
      <c r="C455" s="156" t="s">
        <v>120</v>
      </c>
      <c r="D455" s="165">
        <v>473</v>
      </c>
      <c r="E455" s="158"/>
    </row>
    <row r="456" spans="1:5">
      <c r="A456" s="152">
        <v>2</v>
      </c>
      <c r="B456" s="162"/>
      <c r="C456" s="160" t="s">
        <v>99</v>
      </c>
      <c r="D456" s="166">
        <v>209</v>
      </c>
      <c r="E456" s="162"/>
    </row>
    <row r="457" spans="1:5">
      <c r="A457" s="150">
        <v>3</v>
      </c>
      <c r="B457" s="158"/>
      <c r="C457" s="156" t="s">
        <v>116</v>
      </c>
      <c r="D457" s="165">
        <v>198</v>
      </c>
      <c r="E457" s="158"/>
    </row>
    <row r="458" spans="1:5">
      <c r="A458" s="152">
        <v>4</v>
      </c>
      <c r="B458" s="162"/>
      <c r="C458" s="160" t="s">
        <v>134</v>
      </c>
      <c r="D458" s="166">
        <v>99</v>
      </c>
      <c r="E458" s="162"/>
    </row>
    <row r="459" spans="1:5">
      <c r="A459" s="150">
        <v>5</v>
      </c>
      <c r="B459" s="158"/>
      <c r="C459" s="156" t="s">
        <v>113</v>
      </c>
      <c r="D459" s="165">
        <v>33</v>
      </c>
      <c r="E459" s="158"/>
    </row>
    <row r="460" spans="1:5">
      <c r="A460" s="152">
        <v>6</v>
      </c>
      <c r="B460" s="162"/>
      <c r="C460" s="160" t="s">
        <v>90</v>
      </c>
      <c r="D460" s="166">
        <v>22</v>
      </c>
      <c r="E460" s="162"/>
    </row>
    <row r="461" spans="1:5">
      <c r="A461" s="150">
        <v>7</v>
      </c>
      <c r="B461" s="158"/>
      <c r="C461" s="156" t="s">
        <v>118</v>
      </c>
      <c r="D461" s="165">
        <v>22</v>
      </c>
      <c r="E461" s="158"/>
    </row>
    <row r="462" spans="1:5">
      <c r="A462" s="152">
        <v>8</v>
      </c>
      <c r="B462" s="162"/>
      <c r="C462" s="160" t="s">
        <v>121</v>
      </c>
      <c r="D462" s="166">
        <v>22</v>
      </c>
      <c r="E462" s="162"/>
    </row>
    <row r="463" spans="1:5">
      <c r="A463" s="150">
        <v>9</v>
      </c>
      <c r="B463" s="158"/>
      <c r="C463" s="156" t="s">
        <v>130</v>
      </c>
      <c r="D463" s="165">
        <v>22</v>
      </c>
      <c r="E463" s="158"/>
    </row>
    <row r="464" spans="1:5">
      <c r="A464" s="208" t="s">
        <v>894</v>
      </c>
      <c r="B464" s="198"/>
      <c r="C464" s="199"/>
      <c r="D464" s="167">
        <v>1100</v>
      </c>
      <c r="E464" s="168"/>
    </row>
    <row r="465" spans="1:5">
      <c r="A465" s="207" t="s">
        <v>895</v>
      </c>
      <c r="B465" s="198"/>
      <c r="C465" s="198"/>
      <c r="D465" s="198"/>
      <c r="E465" s="199"/>
    </row>
    <row r="466" spans="1:5">
      <c r="A466" s="154" t="s">
        <v>46</v>
      </c>
      <c r="B466" s="154"/>
      <c r="C466" s="154" t="s">
        <v>837</v>
      </c>
      <c r="D466" s="154" t="s">
        <v>838</v>
      </c>
      <c r="E466" s="154"/>
    </row>
    <row r="467" spans="1:5">
      <c r="A467" s="150">
        <v>1</v>
      </c>
      <c r="B467" s="158"/>
      <c r="C467" s="156" t="s">
        <v>120</v>
      </c>
      <c r="D467" s="165">
        <v>469.26</v>
      </c>
      <c r="E467" s="158"/>
    </row>
    <row r="468" spans="1:5">
      <c r="A468" s="152">
        <v>2</v>
      </c>
      <c r="B468" s="162"/>
      <c r="C468" s="160" t="s">
        <v>99</v>
      </c>
      <c r="D468" s="166">
        <v>190.3</v>
      </c>
      <c r="E468" s="162"/>
    </row>
    <row r="469" spans="1:5">
      <c r="A469" s="150">
        <v>3</v>
      </c>
      <c r="B469" s="158"/>
      <c r="C469" s="156" t="s">
        <v>116</v>
      </c>
      <c r="D469" s="165">
        <v>178.2</v>
      </c>
      <c r="E469" s="158"/>
    </row>
    <row r="470" spans="1:5">
      <c r="A470" s="152">
        <v>4</v>
      </c>
      <c r="B470" s="162"/>
      <c r="C470" s="160" t="s">
        <v>134</v>
      </c>
      <c r="D470" s="166">
        <v>89.1</v>
      </c>
      <c r="E470" s="162"/>
    </row>
    <row r="471" spans="1:5">
      <c r="A471" s="150">
        <v>5</v>
      </c>
      <c r="B471" s="158"/>
      <c r="C471" s="156" t="s">
        <v>113</v>
      </c>
      <c r="D471" s="165">
        <v>42.46</v>
      </c>
      <c r="E471" s="158"/>
    </row>
    <row r="472" spans="1:5">
      <c r="A472" s="152">
        <v>6</v>
      </c>
      <c r="B472" s="162"/>
      <c r="C472" s="160" t="s">
        <v>115</v>
      </c>
      <c r="D472" s="166">
        <v>27.28</v>
      </c>
      <c r="E472" s="162"/>
    </row>
    <row r="473" spans="1:5">
      <c r="A473" s="150">
        <v>7</v>
      </c>
      <c r="B473" s="158"/>
      <c r="C473" s="156" t="s">
        <v>118</v>
      </c>
      <c r="D473" s="165">
        <v>20.79</v>
      </c>
      <c r="E473" s="158"/>
    </row>
    <row r="474" spans="1:5">
      <c r="A474" s="152">
        <v>8</v>
      </c>
      <c r="B474" s="162"/>
      <c r="C474" s="160" t="s">
        <v>121</v>
      </c>
      <c r="D474" s="166">
        <v>20.57</v>
      </c>
      <c r="E474" s="162"/>
    </row>
    <row r="475" spans="1:5">
      <c r="A475" s="150">
        <v>9</v>
      </c>
      <c r="B475" s="158"/>
      <c r="C475" s="156" t="s">
        <v>130</v>
      </c>
      <c r="D475" s="165">
        <v>20.13</v>
      </c>
      <c r="E475" s="158"/>
    </row>
    <row r="476" spans="1:5">
      <c r="A476" s="152">
        <v>10</v>
      </c>
      <c r="B476" s="162"/>
      <c r="C476" s="160" t="s">
        <v>90</v>
      </c>
      <c r="D476" s="166">
        <v>19.8</v>
      </c>
      <c r="E476" s="162"/>
    </row>
    <row r="477" spans="1:5">
      <c r="A477" s="150">
        <v>11</v>
      </c>
      <c r="B477" s="158"/>
      <c r="C477" s="156" t="s">
        <v>82</v>
      </c>
      <c r="D477" s="165">
        <v>13.64</v>
      </c>
      <c r="E477" s="158"/>
    </row>
    <row r="478" spans="1:5">
      <c r="A478" s="152">
        <v>12</v>
      </c>
      <c r="B478" s="162"/>
      <c r="C478" s="160" t="s">
        <v>84</v>
      </c>
      <c r="D478" s="166">
        <v>2.97</v>
      </c>
      <c r="E478" s="162"/>
    </row>
    <row r="479" spans="1:5">
      <c r="A479" s="150">
        <v>13</v>
      </c>
      <c r="B479" s="158"/>
      <c r="C479" s="156" t="s">
        <v>71</v>
      </c>
      <c r="D479" s="165">
        <v>2.2000000000000002</v>
      </c>
      <c r="E479" s="158"/>
    </row>
    <row r="480" spans="1:5">
      <c r="A480" s="152">
        <v>14</v>
      </c>
      <c r="B480" s="162"/>
      <c r="C480" s="160" t="s">
        <v>92</v>
      </c>
      <c r="D480" s="166">
        <v>2.2000000000000002</v>
      </c>
      <c r="E480" s="162"/>
    </row>
    <row r="481" spans="1:5">
      <c r="A481" s="150">
        <v>15</v>
      </c>
      <c r="B481" s="158"/>
      <c r="C481" s="156" t="s">
        <v>104</v>
      </c>
      <c r="D481" s="165">
        <v>1.1000000000000001</v>
      </c>
      <c r="E481" s="158"/>
    </row>
    <row r="482" spans="1:5">
      <c r="A482" s="208" t="s">
        <v>896</v>
      </c>
      <c r="B482" s="198"/>
      <c r="C482" s="199"/>
      <c r="D482" s="167">
        <v>1100</v>
      </c>
      <c r="E482" s="168"/>
    </row>
    <row r="483" spans="1:5">
      <c r="A483" s="207" t="s">
        <v>897</v>
      </c>
      <c r="B483" s="198"/>
      <c r="C483" s="198"/>
      <c r="D483" s="198"/>
      <c r="E483" s="199"/>
    </row>
    <row r="484" spans="1:5">
      <c r="A484" s="154" t="s">
        <v>46</v>
      </c>
      <c r="B484" s="154"/>
      <c r="C484" s="154" t="s">
        <v>837</v>
      </c>
      <c r="D484" s="154" t="s">
        <v>838</v>
      </c>
      <c r="E484" s="154"/>
    </row>
    <row r="485" spans="1:5">
      <c r="A485" s="150">
        <v>1</v>
      </c>
      <c r="B485" s="158"/>
      <c r="C485" s="156" t="s">
        <v>120</v>
      </c>
      <c r="D485" s="165">
        <v>614.24</v>
      </c>
      <c r="E485" s="158"/>
    </row>
    <row r="486" spans="1:5">
      <c r="A486" s="152">
        <v>2</v>
      </c>
      <c r="B486" s="162"/>
      <c r="C486" s="160" t="s">
        <v>116</v>
      </c>
      <c r="D486" s="166">
        <v>289.52</v>
      </c>
      <c r="E486" s="162"/>
    </row>
    <row r="487" spans="1:5">
      <c r="A487" s="150">
        <v>3</v>
      </c>
      <c r="B487" s="158"/>
      <c r="C487" s="156" t="s">
        <v>99</v>
      </c>
      <c r="D487" s="165">
        <v>216.04</v>
      </c>
      <c r="E487" s="158"/>
    </row>
    <row r="488" spans="1:5">
      <c r="A488" s="152">
        <v>4</v>
      </c>
      <c r="B488" s="162"/>
      <c r="C488" s="160" t="s">
        <v>134</v>
      </c>
      <c r="D488" s="166">
        <v>99</v>
      </c>
      <c r="E488" s="162"/>
    </row>
    <row r="489" spans="1:5">
      <c r="A489" s="150">
        <v>5</v>
      </c>
      <c r="B489" s="158"/>
      <c r="C489" s="156" t="s">
        <v>113</v>
      </c>
      <c r="D489" s="165">
        <v>45.76</v>
      </c>
      <c r="E489" s="158"/>
    </row>
    <row r="490" spans="1:5">
      <c r="A490" s="152">
        <v>6</v>
      </c>
      <c r="B490" s="162"/>
      <c r="C490" s="160" t="s">
        <v>115</v>
      </c>
      <c r="D490" s="166">
        <v>27.28</v>
      </c>
      <c r="E490" s="162"/>
    </row>
    <row r="491" spans="1:5">
      <c r="A491" s="150">
        <v>7</v>
      </c>
      <c r="B491" s="158"/>
      <c r="C491" s="156" t="s">
        <v>118</v>
      </c>
      <c r="D491" s="165">
        <v>25.19</v>
      </c>
      <c r="E491" s="158"/>
    </row>
    <row r="492" spans="1:5">
      <c r="A492" s="152">
        <v>8</v>
      </c>
      <c r="B492" s="162"/>
      <c r="C492" s="160" t="s">
        <v>121</v>
      </c>
      <c r="D492" s="166">
        <v>24.53</v>
      </c>
      <c r="E492" s="162"/>
    </row>
    <row r="493" spans="1:5">
      <c r="A493" s="150">
        <v>9</v>
      </c>
      <c r="B493" s="158"/>
      <c r="C493" s="156" t="s">
        <v>130</v>
      </c>
      <c r="D493" s="165">
        <v>23.21</v>
      </c>
      <c r="E493" s="158"/>
    </row>
    <row r="494" spans="1:5">
      <c r="A494" s="152">
        <v>10</v>
      </c>
      <c r="B494" s="162"/>
      <c r="C494" s="160" t="s">
        <v>90</v>
      </c>
      <c r="D494" s="166">
        <v>22</v>
      </c>
      <c r="E494" s="162"/>
    </row>
    <row r="495" spans="1:5">
      <c r="A495" s="150">
        <v>11</v>
      </c>
      <c r="B495" s="158"/>
      <c r="C495" s="156" t="s">
        <v>82</v>
      </c>
      <c r="D495" s="165">
        <v>13.64</v>
      </c>
      <c r="E495" s="158"/>
    </row>
    <row r="496" spans="1:5">
      <c r="A496" s="152">
        <v>12</v>
      </c>
      <c r="B496" s="162"/>
      <c r="C496" s="160" t="s">
        <v>84</v>
      </c>
      <c r="D496" s="166">
        <v>9.57</v>
      </c>
      <c r="E496" s="162"/>
    </row>
    <row r="497" spans="1:5">
      <c r="A497" s="150">
        <v>13</v>
      </c>
      <c r="B497" s="158"/>
      <c r="C497" s="156" t="s">
        <v>71</v>
      </c>
      <c r="D497" s="165">
        <v>9.4600000000000009</v>
      </c>
      <c r="E497" s="158"/>
    </row>
    <row r="498" spans="1:5">
      <c r="A498" s="152">
        <v>14</v>
      </c>
      <c r="B498" s="162"/>
      <c r="C498" s="160" t="s">
        <v>92</v>
      </c>
      <c r="D498" s="166">
        <v>7.04</v>
      </c>
      <c r="E498" s="162"/>
    </row>
    <row r="499" spans="1:5">
      <c r="A499" s="150">
        <v>15</v>
      </c>
      <c r="B499" s="158"/>
      <c r="C499" s="156" t="s">
        <v>104</v>
      </c>
      <c r="D499" s="165">
        <v>3.52</v>
      </c>
      <c r="E499" s="158"/>
    </row>
    <row r="500" spans="1:5">
      <c r="A500" s="208" t="s">
        <v>898</v>
      </c>
      <c r="B500" s="198"/>
      <c r="C500" s="199"/>
      <c r="D500" s="167">
        <v>1430</v>
      </c>
      <c r="E500" s="168"/>
    </row>
    <row r="501" spans="1:5">
      <c r="A501" s="207" t="s">
        <v>899</v>
      </c>
      <c r="B501" s="198"/>
      <c r="C501" s="198"/>
      <c r="D501" s="198"/>
      <c r="E501" s="199"/>
    </row>
    <row r="502" spans="1:5">
      <c r="A502" s="154" t="s">
        <v>46</v>
      </c>
      <c r="B502" s="154"/>
      <c r="C502" s="154" t="s">
        <v>837</v>
      </c>
      <c r="D502" s="154" t="s">
        <v>838</v>
      </c>
      <c r="E502" s="154"/>
    </row>
    <row r="503" spans="1:5">
      <c r="A503" s="150">
        <v>1</v>
      </c>
      <c r="B503" s="158"/>
      <c r="C503" s="156" t="s">
        <v>120</v>
      </c>
      <c r="D503" s="165">
        <v>670.56</v>
      </c>
      <c r="E503" s="158"/>
    </row>
    <row r="504" spans="1:5">
      <c r="A504" s="152">
        <v>2</v>
      </c>
      <c r="B504" s="162"/>
      <c r="C504" s="160" t="s">
        <v>116</v>
      </c>
      <c r="D504" s="166">
        <v>407.22</v>
      </c>
      <c r="E504" s="162"/>
    </row>
    <row r="505" spans="1:5">
      <c r="A505" s="150">
        <v>3</v>
      </c>
      <c r="B505" s="158"/>
      <c r="C505" s="156" t="s">
        <v>99</v>
      </c>
      <c r="D505" s="165">
        <v>200.2</v>
      </c>
      <c r="E505" s="158"/>
    </row>
    <row r="506" spans="1:5">
      <c r="A506" s="152">
        <v>4</v>
      </c>
      <c r="B506" s="162"/>
      <c r="C506" s="160" t="s">
        <v>134</v>
      </c>
      <c r="D506" s="166">
        <v>89.1</v>
      </c>
      <c r="E506" s="162"/>
    </row>
    <row r="507" spans="1:5">
      <c r="A507" s="150">
        <v>5</v>
      </c>
      <c r="B507" s="158"/>
      <c r="C507" s="156" t="s">
        <v>113</v>
      </c>
      <c r="D507" s="165">
        <v>29.7</v>
      </c>
      <c r="E507" s="158"/>
    </row>
    <row r="508" spans="1:5">
      <c r="A508" s="152">
        <v>6</v>
      </c>
      <c r="B508" s="162"/>
      <c r="C508" s="160" t="s">
        <v>121</v>
      </c>
      <c r="D508" s="166">
        <v>23.98</v>
      </c>
      <c r="E508" s="162"/>
    </row>
    <row r="509" spans="1:5">
      <c r="A509" s="150">
        <v>7</v>
      </c>
      <c r="B509" s="158"/>
      <c r="C509" s="156" t="s">
        <v>118</v>
      </c>
      <c r="D509" s="165">
        <v>22.66</v>
      </c>
      <c r="E509" s="158"/>
    </row>
    <row r="510" spans="1:5">
      <c r="A510" s="152">
        <v>8</v>
      </c>
      <c r="B510" s="162"/>
      <c r="C510" s="160" t="s">
        <v>130</v>
      </c>
      <c r="D510" s="166">
        <v>21.78</v>
      </c>
      <c r="E510" s="162"/>
    </row>
    <row r="511" spans="1:5">
      <c r="A511" s="150">
        <v>9</v>
      </c>
      <c r="B511" s="158"/>
      <c r="C511" s="156" t="s">
        <v>90</v>
      </c>
      <c r="D511" s="165">
        <v>19.8</v>
      </c>
      <c r="E511" s="158"/>
    </row>
    <row r="512" spans="1:5">
      <c r="A512" s="152">
        <v>10</v>
      </c>
      <c r="B512" s="162"/>
      <c r="C512" s="160" t="s">
        <v>92</v>
      </c>
      <c r="D512" s="166">
        <v>12.1</v>
      </c>
      <c r="E512" s="162"/>
    </row>
    <row r="513" spans="1:5">
      <c r="A513" s="150">
        <v>11</v>
      </c>
      <c r="B513" s="158"/>
      <c r="C513" s="156" t="s">
        <v>89</v>
      </c>
      <c r="D513" s="165">
        <v>9.4600000000000009</v>
      </c>
      <c r="E513" s="158"/>
    </row>
    <row r="514" spans="1:5">
      <c r="A514" s="152">
        <v>12</v>
      </c>
      <c r="B514" s="162"/>
      <c r="C514" s="160" t="s">
        <v>108</v>
      </c>
      <c r="D514" s="166">
        <v>8.36</v>
      </c>
      <c r="E514" s="162"/>
    </row>
    <row r="515" spans="1:5">
      <c r="A515" s="150">
        <v>13</v>
      </c>
      <c r="B515" s="158"/>
      <c r="C515" s="156" t="s">
        <v>71</v>
      </c>
      <c r="D515" s="165">
        <v>7.26</v>
      </c>
      <c r="E515" s="158"/>
    </row>
    <row r="516" spans="1:5">
      <c r="A516" s="152">
        <v>14</v>
      </c>
      <c r="B516" s="162"/>
      <c r="C516" s="160" t="s">
        <v>128</v>
      </c>
      <c r="D516" s="166">
        <v>7.04</v>
      </c>
      <c r="E516" s="162"/>
    </row>
    <row r="517" spans="1:5">
      <c r="A517" s="150">
        <v>15</v>
      </c>
      <c r="B517" s="158"/>
      <c r="C517" s="156" t="s">
        <v>84</v>
      </c>
      <c r="D517" s="165">
        <v>6.6</v>
      </c>
      <c r="E517" s="158"/>
    </row>
    <row r="518" spans="1:5">
      <c r="A518" s="152">
        <v>16</v>
      </c>
      <c r="B518" s="162"/>
      <c r="C518" s="160" t="s">
        <v>104</v>
      </c>
      <c r="D518" s="166">
        <v>2.42</v>
      </c>
      <c r="E518" s="162"/>
    </row>
    <row r="519" spans="1:5">
      <c r="A519" s="150">
        <v>17</v>
      </c>
      <c r="B519" s="158"/>
      <c r="C519" s="156" t="s">
        <v>93</v>
      </c>
      <c r="D519" s="165">
        <v>1.76</v>
      </c>
      <c r="E519" s="158"/>
    </row>
    <row r="520" spans="1:5">
      <c r="A520" s="208" t="s">
        <v>900</v>
      </c>
      <c r="B520" s="198"/>
      <c r="C520" s="199"/>
      <c r="D520" s="167">
        <v>1540</v>
      </c>
      <c r="E520" s="168"/>
    </row>
    <row r="521" spans="1:5">
      <c r="A521" s="207" t="s">
        <v>901</v>
      </c>
      <c r="B521" s="198"/>
      <c r="C521" s="198"/>
      <c r="D521" s="198"/>
      <c r="E521" s="199"/>
    </row>
    <row r="522" spans="1:5">
      <c r="A522" s="154" t="s">
        <v>46</v>
      </c>
      <c r="B522" s="154"/>
      <c r="C522" s="154" t="s">
        <v>837</v>
      </c>
      <c r="D522" s="154" t="s">
        <v>838</v>
      </c>
      <c r="E522" s="154"/>
    </row>
    <row r="523" spans="1:5">
      <c r="A523" s="150">
        <v>1</v>
      </c>
      <c r="B523" s="158"/>
      <c r="C523" s="156" t="s">
        <v>120</v>
      </c>
      <c r="D523" s="165">
        <v>596.20000000000005</v>
      </c>
      <c r="E523" s="158"/>
    </row>
    <row r="524" spans="1:5">
      <c r="A524" s="152">
        <v>2</v>
      </c>
      <c r="B524" s="162"/>
      <c r="C524" s="160" t="s">
        <v>116</v>
      </c>
      <c r="D524" s="166">
        <v>280.94</v>
      </c>
      <c r="E524" s="162"/>
    </row>
    <row r="525" spans="1:5">
      <c r="A525" s="150">
        <v>3</v>
      </c>
      <c r="B525" s="158"/>
      <c r="C525" s="156" t="s">
        <v>99</v>
      </c>
      <c r="D525" s="165">
        <v>177.32</v>
      </c>
      <c r="E525" s="158"/>
    </row>
    <row r="526" spans="1:5">
      <c r="A526" s="152">
        <v>4</v>
      </c>
      <c r="B526" s="162"/>
      <c r="C526" s="160" t="s">
        <v>113</v>
      </c>
      <c r="D526" s="166">
        <v>90.64</v>
      </c>
      <c r="E526" s="162"/>
    </row>
    <row r="527" spans="1:5">
      <c r="A527" s="150">
        <v>5</v>
      </c>
      <c r="B527" s="158"/>
      <c r="C527" s="156" t="s">
        <v>134</v>
      </c>
      <c r="D527" s="165">
        <v>79.2</v>
      </c>
      <c r="E527" s="158"/>
    </row>
    <row r="528" spans="1:5">
      <c r="A528" s="152">
        <v>6</v>
      </c>
      <c r="B528" s="162"/>
      <c r="C528" s="160" t="s">
        <v>115</v>
      </c>
      <c r="D528" s="166">
        <v>54.56</v>
      </c>
      <c r="E528" s="162"/>
    </row>
    <row r="529" spans="1:5">
      <c r="A529" s="150">
        <v>7</v>
      </c>
      <c r="B529" s="158"/>
      <c r="C529" s="156" t="s">
        <v>82</v>
      </c>
      <c r="D529" s="165">
        <v>27.28</v>
      </c>
      <c r="E529" s="158"/>
    </row>
    <row r="530" spans="1:5">
      <c r="A530" s="152">
        <v>8</v>
      </c>
      <c r="B530" s="162"/>
      <c r="C530" s="160" t="s">
        <v>121</v>
      </c>
      <c r="D530" s="166">
        <v>22</v>
      </c>
      <c r="E530" s="162"/>
    </row>
    <row r="531" spans="1:5">
      <c r="A531" s="150">
        <v>9</v>
      </c>
      <c r="B531" s="158"/>
      <c r="C531" s="156" t="s">
        <v>118</v>
      </c>
      <c r="D531" s="165">
        <v>19.8</v>
      </c>
      <c r="E531" s="158"/>
    </row>
    <row r="532" spans="1:5">
      <c r="A532" s="152">
        <v>10</v>
      </c>
      <c r="B532" s="162"/>
      <c r="C532" s="160" t="s">
        <v>130</v>
      </c>
      <c r="D532" s="166">
        <v>19.14</v>
      </c>
      <c r="E532" s="162"/>
    </row>
    <row r="533" spans="1:5">
      <c r="A533" s="150">
        <v>11</v>
      </c>
      <c r="B533" s="158"/>
      <c r="C533" s="156" t="s">
        <v>90</v>
      </c>
      <c r="D533" s="165">
        <v>17.600000000000001</v>
      </c>
      <c r="E533" s="158"/>
    </row>
    <row r="534" spans="1:5">
      <c r="A534" s="152">
        <v>12</v>
      </c>
      <c r="B534" s="162"/>
      <c r="C534" s="160" t="s">
        <v>89</v>
      </c>
      <c r="D534" s="166">
        <v>10.78</v>
      </c>
      <c r="E534" s="162"/>
    </row>
    <row r="535" spans="1:5">
      <c r="A535" s="150">
        <v>13</v>
      </c>
      <c r="B535" s="158"/>
      <c r="C535" s="156" t="s">
        <v>92</v>
      </c>
      <c r="D535" s="165">
        <v>7.04</v>
      </c>
      <c r="E535" s="158"/>
    </row>
    <row r="536" spans="1:5">
      <c r="A536" s="152">
        <v>14</v>
      </c>
      <c r="B536" s="162"/>
      <c r="C536" s="160" t="s">
        <v>84</v>
      </c>
      <c r="D536" s="166">
        <v>5.94</v>
      </c>
      <c r="E536" s="162"/>
    </row>
    <row r="537" spans="1:5">
      <c r="A537" s="150">
        <v>15</v>
      </c>
      <c r="B537" s="158"/>
      <c r="C537" s="156" t="s">
        <v>128</v>
      </c>
      <c r="D537" s="165">
        <v>5.94</v>
      </c>
      <c r="E537" s="158"/>
    </row>
    <row r="538" spans="1:5">
      <c r="A538" s="152">
        <v>16</v>
      </c>
      <c r="B538" s="162"/>
      <c r="C538" s="160" t="s">
        <v>71</v>
      </c>
      <c r="D538" s="166">
        <v>4.4000000000000004</v>
      </c>
      <c r="E538" s="162"/>
    </row>
    <row r="539" spans="1:5">
      <c r="A539" s="150">
        <v>17</v>
      </c>
      <c r="B539" s="158"/>
      <c r="C539" s="156" t="s">
        <v>108</v>
      </c>
      <c r="D539" s="165">
        <v>4.18</v>
      </c>
      <c r="E539" s="158"/>
    </row>
    <row r="540" spans="1:5">
      <c r="A540" s="152">
        <v>18</v>
      </c>
      <c r="B540" s="162"/>
      <c r="C540" s="160" t="s">
        <v>93</v>
      </c>
      <c r="D540" s="166">
        <v>2.42</v>
      </c>
      <c r="E540" s="162"/>
    </row>
    <row r="541" spans="1:5">
      <c r="A541" s="150">
        <v>19</v>
      </c>
      <c r="B541" s="158"/>
      <c r="C541" s="156" t="s">
        <v>104</v>
      </c>
      <c r="D541" s="165">
        <v>2.2000000000000002</v>
      </c>
      <c r="E541" s="158"/>
    </row>
    <row r="542" spans="1:5">
      <c r="A542" s="152">
        <v>20</v>
      </c>
      <c r="B542" s="162"/>
      <c r="C542" s="160" t="s">
        <v>65</v>
      </c>
      <c r="D542" s="166">
        <v>1.21</v>
      </c>
      <c r="E542" s="162"/>
    </row>
    <row r="543" spans="1:5">
      <c r="A543" s="150">
        <v>21</v>
      </c>
      <c r="B543" s="158"/>
      <c r="C543" s="156" t="s">
        <v>75</v>
      </c>
      <c r="D543" s="165">
        <v>1.21</v>
      </c>
      <c r="E543" s="158"/>
    </row>
    <row r="544" spans="1:5">
      <c r="A544" s="208" t="s">
        <v>902</v>
      </c>
      <c r="B544" s="198"/>
      <c r="C544" s="199"/>
      <c r="D544" s="167">
        <v>1430</v>
      </c>
      <c r="E544" s="168"/>
    </row>
    <row r="545" spans="1:5">
      <c r="A545" s="207" t="s">
        <v>903</v>
      </c>
      <c r="B545" s="198"/>
      <c r="C545" s="198"/>
      <c r="D545" s="198"/>
      <c r="E545" s="199"/>
    </row>
    <row r="546" spans="1:5">
      <c r="A546" s="154" t="s">
        <v>46</v>
      </c>
      <c r="B546" s="154"/>
      <c r="C546" s="154" t="s">
        <v>837</v>
      </c>
      <c r="D546" s="154" t="s">
        <v>838</v>
      </c>
      <c r="E546" s="154"/>
    </row>
    <row r="547" spans="1:5">
      <c r="A547" s="150">
        <v>1</v>
      </c>
      <c r="B547" s="158"/>
      <c r="C547" s="156" t="s">
        <v>120</v>
      </c>
      <c r="D547" s="165">
        <v>292.60000000000002</v>
      </c>
      <c r="E547" s="158"/>
    </row>
    <row r="548" spans="1:5">
      <c r="A548" s="152">
        <v>2</v>
      </c>
      <c r="B548" s="162"/>
      <c r="C548" s="160" t="s">
        <v>115</v>
      </c>
      <c r="D548" s="166">
        <v>55.88</v>
      </c>
      <c r="E548" s="162"/>
    </row>
    <row r="549" spans="1:5">
      <c r="A549" s="150">
        <v>3</v>
      </c>
      <c r="B549" s="158"/>
      <c r="C549" s="156" t="s">
        <v>122</v>
      </c>
      <c r="D549" s="165">
        <v>36.58</v>
      </c>
      <c r="E549" s="158"/>
    </row>
    <row r="550" spans="1:5">
      <c r="A550" s="152">
        <v>4</v>
      </c>
      <c r="B550" s="162"/>
      <c r="C550" s="160" t="s">
        <v>97</v>
      </c>
      <c r="D550" s="166">
        <v>36.409999999999997</v>
      </c>
      <c r="E550" s="162"/>
    </row>
    <row r="551" spans="1:5">
      <c r="A551" s="150">
        <v>5</v>
      </c>
      <c r="B551" s="158"/>
      <c r="C551" s="156" t="s">
        <v>92</v>
      </c>
      <c r="D551" s="165">
        <v>29.86</v>
      </c>
      <c r="E551" s="158"/>
    </row>
    <row r="552" spans="1:5">
      <c r="A552" s="152">
        <v>6</v>
      </c>
      <c r="B552" s="162"/>
      <c r="C552" s="160" t="s">
        <v>113</v>
      </c>
      <c r="D552" s="166">
        <v>17.05</v>
      </c>
      <c r="E552" s="162"/>
    </row>
    <row r="553" spans="1:5">
      <c r="A553" s="150">
        <v>7</v>
      </c>
      <c r="B553" s="158"/>
      <c r="C553" s="156" t="s">
        <v>68</v>
      </c>
      <c r="D553" s="165">
        <v>16.28</v>
      </c>
      <c r="E553" s="158"/>
    </row>
    <row r="554" spans="1:5">
      <c r="A554" s="152">
        <v>8</v>
      </c>
      <c r="B554" s="162"/>
      <c r="C554" s="160" t="s">
        <v>132</v>
      </c>
      <c r="D554" s="166">
        <v>12.1</v>
      </c>
      <c r="E554" s="162"/>
    </row>
    <row r="555" spans="1:5">
      <c r="A555" s="150">
        <v>9</v>
      </c>
      <c r="B555" s="158"/>
      <c r="C555" s="156" t="s">
        <v>74</v>
      </c>
      <c r="D555" s="165">
        <v>7.85</v>
      </c>
      <c r="E555" s="158"/>
    </row>
    <row r="556" spans="1:5">
      <c r="A556" s="152">
        <v>10</v>
      </c>
      <c r="B556" s="162"/>
      <c r="C556" s="160" t="s">
        <v>123</v>
      </c>
      <c r="D556" s="166">
        <v>7.85</v>
      </c>
      <c r="E556" s="162"/>
    </row>
    <row r="557" spans="1:5">
      <c r="A557" s="150">
        <v>11</v>
      </c>
      <c r="B557" s="158"/>
      <c r="C557" s="156" t="s">
        <v>88</v>
      </c>
      <c r="D557" s="165">
        <v>7.85</v>
      </c>
      <c r="E557" s="158"/>
    </row>
    <row r="558" spans="1:5">
      <c r="A558" s="152">
        <v>12</v>
      </c>
      <c r="B558" s="162"/>
      <c r="C558" s="160" t="s">
        <v>99</v>
      </c>
      <c r="D558" s="166">
        <v>7.81</v>
      </c>
      <c r="E558" s="162"/>
    </row>
    <row r="559" spans="1:5">
      <c r="A559" s="150">
        <v>13</v>
      </c>
      <c r="B559" s="158"/>
      <c r="C559" s="156" t="s">
        <v>63</v>
      </c>
      <c r="D559" s="165">
        <v>5.0999999999999996</v>
      </c>
      <c r="E559" s="158"/>
    </row>
    <row r="560" spans="1:5">
      <c r="A560" s="152">
        <v>14</v>
      </c>
      <c r="B560" s="162"/>
      <c r="C560" s="160" t="s">
        <v>86</v>
      </c>
      <c r="D560" s="166">
        <v>3.93</v>
      </c>
      <c r="E560" s="162"/>
    </row>
    <row r="561" spans="1:5">
      <c r="A561" s="150">
        <v>15</v>
      </c>
      <c r="B561" s="158"/>
      <c r="C561" s="156" t="s">
        <v>100</v>
      </c>
      <c r="D561" s="165">
        <v>3.93</v>
      </c>
      <c r="E561" s="158"/>
    </row>
    <row r="562" spans="1:5">
      <c r="A562" s="152">
        <v>16</v>
      </c>
      <c r="B562" s="162"/>
      <c r="C562" s="160" t="s">
        <v>62</v>
      </c>
      <c r="D562" s="166">
        <v>2.75</v>
      </c>
      <c r="E562" s="162"/>
    </row>
    <row r="563" spans="1:5">
      <c r="A563" s="150">
        <v>17</v>
      </c>
      <c r="B563" s="158"/>
      <c r="C563" s="156" t="s">
        <v>107</v>
      </c>
      <c r="D563" s="165">
        <v>2.7</v>
      </c>
      <c r="E563" s="158"/>
    </row>
    <row r="564" spans="1:5">
      <c r="A564" s="152">
        <v>18</v>
      </c>
      <c r="B564" s="162"/>
      <c r="C564" s="160" t="s">
        <v>118</v>
      </c>
      <c r="D564" s="166">
        <v>2.15</v>
      </c>
      <c r="E564" s="162"/>
    </row>
    <row r="565" spans="1:5">
      <c r="A565" s="150">
        <v>19</v>
      </c>
      <c r="B565" s="158"/>
      <c r="C565" s="156" t="s">
        <v>114</v>
      </c>
      <c r="D565" s="165">
        <v>1.32</v>
      </c>
      <c r="E565" s="158"/>
    </row>
    <row r="566" spans="1:5">
      <c r="A566" s="208" t="s">
        <v>904</v>
      </c>
      <c r="B566" s="198"/>
      <c r="C566" s="199"/>
      <c r="D566" s="167">
        <v>550</v>
      </c>
      <c r="E566" s="168"/>
    </row>
    <row r="568" spans="1:5">
      <c r="A568" s="200" t="s">
        <v>840</v>
      </c>
      <c r="B568" s="178"/>
      <c r="C568" s="178"/>
      <c r="D568" s="178"/>
      <c r="E568" s="178"/>
    </row>
    <row r="569" spans="1:5">
      <c r="A569" s="154" t="s">
        <v>46</v>
      </c>
      <c r="B569" s="154"/>
      <c r="C569" s="154" t="s">
        <v>837</v>
      </c>
      <c r="D569" s="154" t="s">
        <v>841</v>
      </c>
      <c r="E569" s="154"/>
    </row>
    <row r="570" spans="1:5">
      <c r="A570" s="150">
        <v>1</v>
      </c>
      <c r="B570" s="158"/>
      <c r="C570" s="156" t="s">
        <v>120</v>
      </c>
      <c r="D570" s="165">
        <v>3115.86</v>
      </c>
      <c r="E570" s="158"/>
    </row>
    <row r="571" spans="1:5">
      <c r="A571" s="152">
        <v>2</v>
      </c>
      <c r="B571" s="162"/>
      <c r="C571" s="160" t="s">
        <v>116</v>
      </c>
      <c r="D571" s="166">
        <v>1353.88</v>
      </c>
      <c r="E571" s="162"/>
    </row>
    <row r="572" spans="1:5">
      <c r="A572" s="150">
        <v>3</v>
      </c>
      <c r="B572" s="158"/>
      <c r="C572" s="156" t="s">
        <v>99</v>
      </c>
      <c r="D572" s="165">
        <v>1000.67</v>
      </c>
      <c r="E572" s="158"/>
    </row>
    <row r="573" spans="1:5">
      <c r="A573" s="152">
        <v>4</v>
      </c>
      <c r="B573" s="162"/>
      <c r="C573" s="160" t="s">
        <v>134</v>
      </c>
      <c r="D573" s="166">
        <v>455.4</v>
      </c>
      <c r="E573" s="162"/>
    </row>
    <row r="574" spans="1:5">
      <c r="A574" s="150">
        <v>5</v>
      </c>
      <c r="B574" s="158"/>
      <c r="C574" s="156" t="s">
        <v>113</v>
      </c>
      <c r="D574" s="165">
        <v>258.61</v>
      </c>
      <c r="E574" s="158"/>
    </row>
    <row r="575" spans="1:5">
      <c r="A575" s="152">
        <v>6</v>
      </c>
      <c r="B575" s="162"/>
      <c r="C575" s="160" t="s">
        <v>115</v>
      </c>
      <c r="D575" s="166">
        <v>165</v>
      </c>
      <c r="E575" s="162"/>
    </row>
    <row r="576" spans="1:5">
      <c r="A576" s="150">
        <v>7</v>
      </c>
      <c r="B576" s="158"/>
      <c r="C576" s="156" t="s">
        <v>121</v>
      </c>
      <c r="D576" s="165">
        <v>113.08</v>
      </c>
      <c r="E576" s="158"/>
    </row>
    <row r="577" spans="1:5">
      <c r="A577" s="152">
        <v>8</v>
      </c>
      <c r="B577" s="162"/>
      <c r="C577" s="160" t="s">
        <v>118</v>
      </c>
      <c r="D577" s="166">
        <v>112.58</v>
      </c>
      <c r="E577" s="162"/>
    </row>
    <row r="578" spans="1:5">
      <c r="A578" s="150">
        <v>9</v>
      </c>
      <c r="B578" s="158"/>
      <c r="C578" s="156" t="s">
        <v>130</v>
      </c>
      <c r="D578" s="165">
        <v>106.26</v>
      </c>
      <c r="E578" s="158"/>
    </row>
    <row r="579" spans="1:5">
      <c r="A579" s="152">
        <v>10</v>
      </c>
      <c r="B579" s="162"/>
      <c r="C579" s="160" t="s">
        <v>90</v>
      </c>
      <c r="D579" s="166">
        <v>101.2</v>
      </c>
      <c r="E579" s="162"/>
    </row>
    <row r="580" spans="1:5">
      <c r="A580" s="150">
        <v>11</v>
      </c>
      <c r="B580" s="158"/>
      <c r="C580" s="156" t="s">
        <v>92</v>
      </c>
      <c r="D580" s="165">
        <v>58.25</v>
      </c>
      <c r="E580" s="158"/>
    </row>
    <row r="581" spans="1:5">
      <c r="A581" s="152">
        <v>12</v>
      </c>
      <c r="B581" s="162"/>
      <c r="C581" s="160" t="s">
        <v>82</v>
      </c>
      <c r="D581" s="166">
        <v>54.56</v>
      </c>
      <c r="E581" s="162"/>
    </row>
    <row r="582" spans="1:5">
      <c r="A582" s="150">
        <v>13</v>
      </c>
      <c r="B582" s="158"/>
      <c r="C582" s="156" t="s">
        <v>122</v>
      </c>
      <c r="D582" s="165">
        <v>36.58</v>
      </c>
      <c r="E582" s="158"/>
    </row>
    <row r="583" spans="1:5">
      <c r="A583" s="152">
        <v>14</v>
      </c>
      <c r="B583" s="162"/>
      <c r="C583" s="160" t="s">
        <v>97</v>
      </c>
      <c r="D583" s="166">
        <v>36.409999999999997</v>
      </c>
      <c r="E583" s="162"/>
    </row>
    <row r="584" spans="1:5">
      <c r="A584" s="150">
        <v>15</v>
      </c>
      <c r="B584" s="158"/>
      <c r="C584" s="156" t="s">
        <v>84</v>
      </c>
      <c r="D584" s="165">
        <v>25.08</v>
      </c>
      <c r="E584" s="158"/>
    </row>
    <row r="585" spans="1:5">
      <c r="A585" s="152">
        <v>16</v>
      </c>
      <c r="B585" s="162"/>
      <c r="C585" s="160" t="s">
        <v>71</v>
      </c>
      <c r="D585" s="166">
        <v>23.32</v>
      </c>
      <c r="E585" s="162"/>
    </row>
    <row r="586" spans="1:5">
      <c r="A586" s="150">
        <v>17</v>
      </c>
      <c r="B586" s="158"/>
      <c r="C586" s="156" t="s">
        <v>89</v>
      </c>
      <c r="D586" s="165">
        <v>20.239999999999998</v>
      </c>
      <c r="E586" s="158"/>
    </row>
    <row r="587" spans="1:5">
      <c r="A587" s="152">
        <v>18</v>
      </c>
      <c r="B587" s="162"/>
      <c r="C587" s="160" t="s">
        <v>68</v>
      </c>
      <c r="D587" s="166">
        <v>16.28</v>
      </c>
      <c r="E587" s="162"/>
    </row>
    <row r="588" spans="1:5">
      <c r="A588" s="150">
        <v>19</v>
      </c>
      <c r="B588" s="158"/>
      <c r="C588" s="156" t="s">
        <v>128</v>
      </c>
      <c r="D588" s="165">
        <v>12.98</v>
      </c>
      <c r="E588" s="158"/>
    </row>
    <row r="589" spans="1:5">
      <c r="A589" s="152">
        <v>20</v>
      </c>
      <c r="B589" s="162"/>
      <c r="C589" s="160" t="s">
        <v>108</v>
      </c>
      <c r="D589" s="166">
        <v>12.54</v>
      </c>
      <c r="E589" s="162"/>
    </row>
    <row r="590" spans="1:5">
      <c r="A590" s="150">
        <v>21</v>
      </c>
      <c r="B590" s="158"/>
      <c r="C590" s="156" t="s">
        <v>132</v>
      </c>
      <c r="D590" s="165">
        <v>12.1</v>
      </c>
      <c r="E590" s="158"/>
    </row>
    <row r="591" spans="1:5">
      <c r="A591" s="152">
        <v>22</v>
      </c>
      <c r="B591" s="162"/>
      <c r="C591" s="160" t="s">
        <v>104</v>
      </c>
      <c r="D591" s="166">
        <v>9.24</v>
      </c>
      <c r="E591" s="162"/>
    </row>
    <row r="592" spans="1:5">
      <c r="A592" s="150">
        <v>23</v>
      </c>
      <c r="B592" s="158"/>
      <c r="C592" s="156" t="s">
        <v>74</v>
      </c>
      <c r="D592" s="165">
        <v>7.85</v>
      </c>
      <c r="E592" s="158"/>
    </row>
    <row r="593" spans="1:5">
      <c r="A593" s="152">
        <v>24</v>
      </c>
      <c r="B593" s="162"/>
      <c r="C593" s="160" t="s">
        <v>123</v>
      </c>
      <c r="D593" s="166">
        <v>7.85</v>
      </c>
      <c r="E593" s="162"/>
    </row>
    <row r="594" spans="1:5">
      <c r="A594" s="150">
        <v>25</v>
      </c>
      <c r="B594" s="158"/>
      <c r="C594" s="156" t="s">
        <v>88</v>
      </c>
      <c r="D594" s="165">
        <v>7.85</v>
      </c>
      <c r="E594" s="158"/>
    </row>
    <row r="595" spans="1:5">
      <c r="A595" s="152">
        <v>26</v>
      </c>
      <c r="B595" s="162"/>
      <c r="C595" s="160" t="s">
        <v>63</v>
      </c>
      <c r="D595" s="166">
        <v>5.0999999999999996</v>
      </c>
      <c r="E595" s="162"/>
    </row>
    <row r="596" spans="1:5">
      <c r="A596" s="150">
        <v>27</v>
      </c>
      <c r="B596" s="158"/>
      <c r="C596" s="156" t="s">
        <v>93</v>
      </c>
      <c r="D596" s="165">
        <v>4.18</v>
      </c>
      <c r="E596" s="158"/>
    </row>
    <row r="597" spans="1:5">
      <c r="A597" s="152">
        <v>28</v>
      </c>
      <c r="B597" s="162"/>
      <c r="C597" s="160" t="s">
        <v>86</v>
      </c>
      <c r="D597" s="166">
        <v>3.93</v>
      </c>
      <c r="E597" s="162"/>
    </row>
    <row r="598" spans="1:5">
      <c r="A598" s="150">
        <v>29</v>
      </c>
      <c r="B598" s="158"/>
      <c r="C598" s="156" t="s">
        <v>100</v>
      </c>
      <c r="D598" s="165">
        <v>3.93</v>
      </c>
      <c r="E598" s="158"/>
    </row>
    <row r="599" spans="1:5">
      <c r="A599" s="152">
        <v>30</v>
      </c>
      <c r="B599" s="162"/>
      <c r="C599" s="160" t="s">
        <v>62</v>
      </c>
      <c r="D599" s="166">
        <v>2.75</v>
      </c>
      <c r="E599" s="162"/>
    </row>
    <row r="600" spans="1:5">
      <c r="A600" s="150">
        <v>31</v>
      </c>
      <c r="B600" s="158"/>
      <c r="C600" s="156" t="s">
        <v>107</v>
      </c>
      <c r="D600" s="165">
        <v>2.7</v>
      </c>
      <c r="E600" s="158"/>
    </row>
    <row r="601" spans="1:5">
      <c r="A601" s="152">
        <v>32</v>
      </c>
      <c r="B601" s="162"/>
      <c r="C601" s="160" t="s">
        <v>114</v>
      </c>
      <c r="D601" s="166">
        <v>1.32</v>
      </c>
      <c r="E601" s="162"/>
    </row>
    <row r="602" spans="1:5">
      <c r="A602" s="150">
        <v>33</v>
      </c>
      <c r="B602" s="158"/>
      <c r="C602" s="156" t="s">
        <v>65</v>
      </c>
      <c r="D602" s="165">
        <v>1.21</v>
      </c>
      <c r="E602" s="158"/>
    </row>
    <row r="603" spans="1:5">
      <c r="A603" s="152">
        <v>34</v>
      </c>
      <c r="B603" s="162"/>
      <c r="C603" s="160" t="s">
        <v>75</v>
      </c>
      <c r="D603" s="166">
        <v>1.21</v>
      </c>
      <c r="E603" s="162"/>
    </row>
    <row r="604" spans="1:5">
      <c r="A604" s="197" t="s">
        <v>905</v>
      </c>
      <c r="B604" s="198"/>
      <c r="C604" s="199"/>
      <c r="D604" s="169">
        <v>7150</v>
      </c>
      <c r="E604" s="164"/>
    </row>
    <row r="606" spans="1:5" ht="38.1" customHeight="1">
      <c r="A606" s="209" t="s">
        <v>906</v>
      </c>
      <c r="B606" s="178"/>
      <c r="C606" s="178"/>
      <c r="D606" s="178"/>
      <c r="E606" s="178"/>
    </row>
    <row r="607" spans="1:5">
      <c r="A607" s="205" t="s">
        <v>907</v>
      </c>
      <c r="B607" s="178"/>
      <c r="C607" s="178"/>
      <c r="D607" s="178"/>
      <c r="E607" s="178"/>
    </row>
    <row r="608" spans="1:5">
      <c r="A608" s="207" t="s">
        <v>908</v>
      </c>
      <c r="B608" s="198"/>
      <c r="C608" s="198"/>
      <c r="D608" s="198"/>
      <c r="E608" s="199"/>
    </row>
    <row r="609" spans="1:5">
      <c r="A609" s="154" t="s">
        <v>46</v>
      </c>
      <c r="B609" s="154"/>
      <c r="C609" s="154" t="s">
        <v>837</v>
      </c>
      <c r="D609" s="154" t="s">
        <v>838</v>
      </c>
      <c r="E609" s="154"/>
    </row>
    <row r="610" spans="1:5">
      <c r="A610" s="150">
        <v>1</v>
      </c>
      <c r="B610" s="158"/>
      <c r="C610" s="156" t="s">
        <v>120</v>
      </c>
      <c r="D610" s="165">
        <v>625.04999999999995</v>
      </c>
      <c r="E610" s="158"/>
    </row>
    <row r="611" spans="1:5">
      <c r="A611" s="152">
        <v>2</v>
      </c>
      <c r="B611" s="162"/>
      <c r="C611" s="160" t="s">
        <v>116</v>
      </c>
      <c r="D611" s="166">
        <v>407.44</v>
      </c>
      <c r="E611" s="162"/>
    </row>
    <row r="612" spans="1:5">
      <c r="A612" s="150">
        <v>3</v>
      </c>
      <c r="B612" s="158"/>
      <c r="C612" s="156" t="s">
        <v>99</v>
      </c>
      <c r="D612" s="165">
        <v>144.09</v>
      </c>
      <c r="E612" s="158"/>
    </row>
    <row r="613" spans="1:5">
      <c r="A613" s="152">
        <v>4</v>
      </c>
      <c r="B613" s="162"/>
      <c r="C613" s="160" t="s">
        <v>134</v>
      </c>
      <c r="D613" s="166">
        <v>59.4</v>
      </c>
      <c r="E613" s="162"/>
    </row>
    <row r="614" spans="1:5">
      <c r="A614" s="150">
        <v>5</v>
      </c>
      <c r="B614" s="158"/>
      <c r="C614" s="156" t="s">
        <v>113</v>
      </c>
      <c r="D614" s="165">
        <v>46.33</v>
      </c>
      <c r="E614" s="158"/>
    </row>
    <row r="615" spans="1:5">
      <c r="A615" s="152">
        <v>6</v>
      </c>
      <c r="B615" s="162"/>
      <c r="C615" s="160" t="s">
        <v>121</v>
      </c>
      <c r="D615" s="166">
        <v>19.11</v>
      </c>
      <c r="E615" s="162"/>
    </row>
    <row r="616" spans="1:5">
      <c r="A616" s="150">
        <v>7</v>
      </c>
      <c r="B616" s="158"/>
      <c r="C616" s="156" t="s">
        <v>92</v>
      </c>
      <c r="D616" s="165">
        <v>18.690000000000001</v>
      </c>
      <c r="E616" s="158"/>
    </row>
    <row r="617" spans="1:5">
      <c r="A617" s="152">
        <v>8</v>
      </c>
      <c r="B617" s="162"/>
      <c r="C617" s="160" t="s">
        <v>118</v>
      </c>
      <c r="D617" s="166">
        <v>16.91</v>
      </c>
      <c r="E617" s="162"/>
    </row>
    <row r="618" spans="1:5">
      <c r="A618" s="150">
        <v>9</v>
      </c>
      <c r="B618" s="158"/>
      <c r="C618" s="156" t="s">
        <v>130</v>
      </c>
      <c r="D618" s="165">
        <v>16.12</v>
      </c>
      <c r="E618" s="158"/>
    </row>
    <row r="619" spans="1:5">
      <c r="A619" s="152">
        <v>10</v>
      </c>
      <c r="B619" s="162"/>
      <c r="C619" s="160" t="s">
        <v>90</v>
      </c>
      <c r="D619" s="166">
        <v>13.2</v>
      </c>
      <c r="E619" s="162"/>
    </row>
    <row r="620" spans="1:5">
      <c r="A620" s="150">
        <v>11</v>
      </c>
      <c r="B620" s="158"/>
      <c r="C620" s="156" t="s">
        <v>84</v>
      </c>
      <c r="D620" s="165">
        <v>8.6999999999999993</v>
      </c>
      <c r="E620" s="158"/>
    </row>
    <row r="621" spans="1:5">
      <c r="A621" s="152">
        <v>12</v>
      </c>
      <c r="B621" s="162"/>
      <c r="C621" s="160" t="s">
        <v>71</v>
      </c>
      <c r="D621" s="166">
        <v>7.26</v>
      </c>
      <c r="E621" s="162"/>
    </row>
    <row r="622" spans="1:5">
      <c r="A622" s="150">
        <v>13</v>
      </c>
      <c r="B622" s="158"/>
      <c r="C622" s="156" t="s">
        <v>108</v>
      </c>
      <c r="D622" s="165">
        <v>5.28</v>
      </c>
      <c r="E622" s="158"/>
    </row>
    <row r="623" spans="1:5">
      <c r="A623" s="152">
        <v>14</v>
      </c>
      <c r="B623" s="162"/>
      <c r="C623" s="160" t="s">
        <v>104</v>
      </c>
      <c r="D623" s="166">
        <v>2.42</v>
      </c>
      <c r="E623" s="162"/>
    </row>
    <row r="624" spans="1:5">
      <c r="A624" s="208" t="s">
        <v>909</v>
      </c>
      <c r="B624" s="198"/>
      <c r="C624" s="199"/>
      <c r="D624" s="167">
        <v>1390</v>
      </c>
      <c r="E624" s="168"/>
    </row>
    <row r="625" spans="1:5">
      <c r="A625" s="207" t="s">
        <v>910</v>
      </c>
      <c r="B625" s="198"/>
      <c r="C625" s="198"/>
      <c r="D625" s="198"/>
      <c r="E625" s="199"/>
    </row>
    <row r="626" spans="1:5">
      <c r="A626" s="154" t="s">
        <v>46</v>
      </c>
      <c r="B626" s="154"/>
      <c r="C626" s="154" t="s">
        <v>837</v>
      </c>
      <c r="D626" s="154" t="s">
        <v>838</v>
      </c>
      <c r="E626" s="154"/>
    </row>
    <row r="627" spans="1:5">
      <c r="A627" s="150">
        <v>1</v>
      </c>
      <c r="B627" s="158"/>
      <c r="C627" s="156" t="s">
        <v>120</v>
      </c>
      <c r="D627" s="165">
        <v>613.58000000000004</v>
      </c>
      <c r="E627" s="158"/>
    </row>
    <row r="628" spans="1:5">
      <c r="A628" s="152">
        <v>2</v>
      </c>
      <c r="B628" s="162"/>
      <c r="C628" s="160" t="s">
        <v>116</v>
      </c>
      <c r="D628" s="166">
        <v>321.64</v>
      </c>
      <c r="E628" s="162"/>
    </row>
    <row r="629" spans="1:5">
      <c r="A629" s="150">
        <v>3</v>
      </c>
      <c r="B629" s="158"/>
      <c r="C629" s="156" t="s">
        <v>99</v>
      </c>
      <c r="D629" s="165">
        <v>160.38</v>
      </c>
      <c r="E629" s="158"/>
    </row>
    <row r="630" spans="1:5">
      <c r="A630" s="152">
        <v>4</v>
      </c>
      <c r="B630" s="162"/>
      <c r="C630" s="160" t="s">
        <v>134</v>
      </c>
      <c r="D630" s="166">
        <v>69.3</v>
      </c>
      <c r="E630" s="162"/>
    </row>
    <row r="631" spans="1:5">
      <c r="A631" s="150">
        <v>5</v>
      </c>
      <c r="B631" s="158"/>
      <c r="C631" s="156" t="s">
        <v>115</v>
      </c>
      <c r="D631" s="165">
        <v>54.56</v>
      </c>
      <c r="E631" s="158"/>
    </row>
    <row r="632" spans="1:5">
      <c r="A632" s="152">
        <v>6</v>
      </c>
      <c r="B632" s="162"/>
      <c r="C632" s="160" t="s">
        <v>113</v>
      </c>
      <c r="D632" s="166">
        <v>48.62</v>
      </c>
      <c r="E632" s="162"/>
    </row>
    <row r="633" spans="1:5">
      <c r="A633" s="150">
        <v>7</v>
      </c>
      <c r="B633" s="158"/>
      <c r="C633" s="156" t="s">
        <v>82</v>
      </c>
      <c r="D633" s="165">
        <v>27.28</v>
      </c>
      <c r="E633" s="158"/>
    </row>
    <row r="634" spans="1:5">
      <c r="A634" s="152">
        <v>8</v>
      </c>
      <c r="B634" s="162"/>
      <c r="C634" s="160" t="s">
        <v>118</v>
      </c>
      <c r="D634" s="166">
        <v>21.78</v>
      </c>
      <c r="E634" s="162"/>
    </row>
    <row r="635" spans="1:5">
      <c r="A635" s="150">
        <v>9</v>
      </c>
      <c r="B635" s="158"/>
      <c r="C635" s="156" t="s">
        <v>121</v>
      </c>
      <c r="D635" s="165">
        <v>20.46</v>
      </c>
      <c r="E635" s="158"/>
    </row>
    <row r="636" spans="1:5">
      <c r="A636" s="152">
        <v>10</v>
      </c>
      <c r="B636" s="162"/>
      <c r="C636" s="160" t="s">
        <v>84</v>
      </c>
      <c r="D636" s="166">
        <v>19.14</v>
      </c>
      <c r="E636" s="162"/>
    </row>
    <row r="637" spans="1:5">
      <c r="A637" s="150">
        <v>11</v>
      </c>
      <c r="B637" s="158"/>
      <c r="C637" s="156" t="s">
        <v>71</v>
      </c>
      <c r="D637" s="165">
        <v>18.920000000000002</v>
      </c>
      <c r="E637" s="158"/>
    </row>
    <row r="638" spans="1:5">
      <c r="A638" s="152">
        <v>12</v>
      </c>
      <c r="B638" s="162"/>
      <c r="C638" s="160" t="s">
        <v>130</v>
      </c>
      <c r="D638" s="166">
        <v>17.82</v>
      </c>
      <c r="E638" s="162"/>
    </row>
    <row r="639" spans="1:5">
      <c r="A639" s="150">
        <v>13</v>
      </c>
      <c r="B639" s="158"/>
      <c r="C639" s="156" t="s">
        <v>90</v>
      </c>
      <c r="D639" s="165">
        <v>15.4</v>
      </c>
      <c r="E639" s="158"/>
    </row>
    <row r="640" spans="1:5">
      <c r="A640" s="152">
        <v>14</v>
      </c>
      <c r="B640" s="162"/>
      <c r="C640" s="160" t="s">
        <v>92</v>
      </c>
      <c r="D640" s="166">
        <v>14.08</v>
      </c>
      <c r="E640" s="162"/>
    </row>
    <row r="641" spans="1:5">
      <c r="A641" s="150">
        <v>15</v>
      </c>
      <c r="B641" s="158"/>
      <c r="C641" s="156" t="s">
        <v>104</v>
      </c>
      <c r="D641" s="165">
        <v>7.04</v>
      </c>
      <c r="E641" s="158"/>
    </row>
    <row r="642" spans="1:5">
      <c r="A642" s="208" t="s">
        <v>911</v>
      </c>
      <c r="B642" s="198"/>
      <c r="C642" s="199"/>
      <c r="D642" s="167">
        <v>1430</v>
      </c>
      <c r="E642" s="168"/>
    </row>
    <row r="643" spans="1:5">
      <c r="A643" s="207" t="s">
        <v>912</v>
      </c>
      <c r="B643" s="198"/>
      <c r="C643" s="198"/>
      <c r="D643" s="198"/>
      <c r="E643" s="199"/>
    </row>
    <row r="644" spans="1:5">
      <c r="A644" s="154" t="s">
        <v>46</v>
      </c>
      <c r="B644" s="154"/>
      <c r="C644" s="154" t="s">
        <v>837</v>
      </c>
      <c r="D644" s="154" t="s">
        <v>838</v>
      </c>
      <c r="E644" s="154"/>
    </row>
    <row r="645" spans="1:5">
      <c r="A645" s="150">
        <v>1</v>
      </c>
      <c r="B645" s="158"/>
      <c r="C645" s="156" t="s">
        <v>120</v>
      </c>
      <c r="D645" s="165">
        <v>506.33</v>
      </c>
      <c r="E645" s="158"/>
    </row>
    <row r="646" spans="1:5">
      <c r="A646" s="152">
        <v>2</v>
      </c>
      <c r="B646" s="162"/>
      <c r="C646" s="160" t="s">
        <v>99</v>
      </c>
      <c r="D646" s="166">
        <v>212.34</v>
      </c>
      <c r="E646" s="162"/>
    </row>
    <row r="647" spans="1:5">
      <c r="A647" s="150">
        <v>3</v>
      </c>
      <c r="B647" s="158"/>
      <c r="C647" s="156" t="s">
        <v>116</v>
      </c>
      <c r="D647" s="165">
        <v>198</v>
      </c>
      <c r="E647" s="158"/>
    </row>
    <row r="648" spans="1:5">
      <c r="A648" s="152">
        <v>4</v>
      </c>
      <c r="B648" s="162"/>
      <c r="C648" s="160" t="s">
        <v>134</v>
      </c>
      <c r="D648" s="166">
        <v>99</v>
      </c>
      <c r="E648" s="162"/>
    </row>
    <row r="649" spans="1:5">
      <c r="A649" s="150">
        <v>5</v>
      </c>
      <c r="B649" s="158"/>
      <c r="C649" s="156" t="s">
        <v>113</v>
      </c>
      <c r="D649" s="165">
        <v>61.43</v>
      </c>
      <c r="E649" s="158"/>
    </row>
    <row r="650" spans="1:5">
      <c r="A650" s="152">
        <v>6</v>
      </c>
      <c r="B650" s="162"/>
      <c r="C650" s="160" t="s">
        <v>118</v>
      </c>
      <c r="D650" s="166">
        <v>22.68</v>
      </c>
      <c r="E650" s="162"/>
    </row>
    <row r="651" spans="1:5">
      <c r="A651" s="150">
        <v>7</v>
      </c>
      <c r="B651" s="158"/>
      <c r="C651" s="156" t="s">
        <v>121</v>
      </c>
      <c r="D651" s="165">
        <v>22.6</v>
      </c>
      <c r="E651" s="158"/>
    </row>
    <row r="652" spans="1:5">
      <c r="A652" s="152">
        <v>8</v>
      </c>
      <c r="B652" s="162"/>
      <c r="C652" s="160" t="s">
        <v>130</v>
      </c>
      <c r="D652" s="166">
        <v>22.28</v>
      </c>
      <c r="E652" s="162"/>
    </row>
    <row r="653" spans="1:5">
      <c r="A653" s="150">
        <v>9</v>
      </c>
      <c r="B653" s="158"/>
      <c r="C653" s="156" t="s">
        <v>90</v>
      </c>
      <c r="D653" s="165">
        <v>22</v>
      </c>
      <c r="E653" s="158"/>
    </row>
    <row r="654" spans="1:5">
      <c r="A654" s="152">
        <v>10</v>
      </c>
      <c r="B654" s="162"/>
      <c r="C654" s="160" t="s">
        <v>92</v>
      </c>
      <c r="D654" s="166">
        <v>3.34</v>
      </c>
      <c r="E654" s="162"/>
    </row>
    <row r="655" spans="1:5">
      <c r="A655" s="208" t="s">
        <v>913</v>
      </c>
      <c r="B655" s="198"/>
      <c r="C655" s="199"/>
      <c r="D655" s="167">
        <v>1170</v>
      </c>
      <c r="E655" s="168"/>
    </row>
    <row r="657" spans="1:5">
      <c r="A657" s="200" t="s">
        <v>840</v>
      </c>
      <c r="B657" s="178"/>
      <c r="C657" s="178"/>
      <c r="D657" s="178"/>
      <c r="E657" s="178"/>
    </row>
    <row r="658" spans="1:5">
      <c r="A658" s="154" t="s">
        <v>46</v>
      </c>
      <c r="B658" s="154"/>
      <c r="C658" s="154" t="s">
        <v>837</v>
      </c>
      <c r="D658" s="154" t="s">
        <v>841</v>
      </c>
      <c r="E658" s="154"/>
    </row>
    <row r="659" spans="1:5">
      <c r="A659" s="150">
        <v>1</v>
      </c>
      <c r="B659" s="158"/>
      <c r="C659" s="156" t="s">
        <v>120</v>
      </c>
      <c r="D659" s="165">
        <v>1744.96</v>
      </c>
      <c r="E659" s="158"/>
    </row>
    <row r="660" spans="1:5">
      <c r="A660" s="152">
        <v>2</v>
      </c>
      <c r="B660" s="162"/>
      <c r="C660" s="160" t="s">
        <v>116</v>
      </c>
      <c r="D660" s="166">
        <v>927.08</v>
      </c>
      <c r="E660" s="162"/>
    </row>
    <row r="661" spans="1:5">
      <c r="A661" s="150">
        <v>3</v>
      </c>
      <c r="B661" s="158"/>
      <c r="C661" s="156" t="s">
        <v>99</v>
      </c>
      <c r="D661" s="165">
        <v>516.80999999999995</v>
      </c>
      <c r="E661" s="158"/>
    </row>
    <row r="662" spans="1:5">
      <c r="A662" s="152">
        <v>4</v>
      </c>
      <c r="B662" s="162"/>
      <c r="C662" s="160" t="s">
        <v>134</v>
      </c>
      <c r="D662" s="166">
        <v>227.7</v>
      </c>
      <c r="E662" s="162"/>
    </row>
    <row r="663" spans="1:5">
      <c r="A663" s="150">
        <v>5</v>
      </c>
      <c r="B663" s="158"/>
      <c r="C663" s="156" t="s">
        <v>113</v>
      </c>
      <c r="D663" s="165">
        <v>156.38</v>
      </c>
      <c r="E663" s="158"/>
    </row>
    <row r="664" spans="1:5">
      <c r="A664" s="152">
        <v>6</v>
      </c>
      <c r="B664" s="162"/>
      <c r="C664" s="160" t="s">
        <v>121</v>
      </c>
      <c r="D664" s="166">
        <v>62.17</v>
      </c>
      <c r="E664" s="162"/>
    </row>
    <row r="665" spans="1:5">
      <c r="A665" s="150">
        <v>7</v>
      </c>
      <c r="B665" s="158"/>
      <c r="C665" s="156" t="s">
        <v>118</v>
      </c>
      <c r="D665" s="165">
        <v>61.37</v>
      </c>
      <c r="E665" s="158"/>
    </row>
    <row r="666" spans="1:5">
      <c r="A666" s="152">
        <v>8</v>
      </c>
      <c r="B666" s="162"/>
      <c r="C666" s="160" t="s">
        <v>130</v>
      </c>
      <c r="D666" s="166">
        <v>56.22</v>
      </c>
      <c r="E666" s="162"/>
    </row>
    <row r="667" spans="1:5">
      <c r="A667" s="150">
        <v>9</v>
      </c>
      <c r="B667" s="158"/>
      <c r="C667" s="156" t="s">
        <v>115</v>
      </c>
      <c r="D667" s="165">
        <v>54.56</v>
      </c>
      <c r="E667" s="158"/>
    </row>
    <row r="668" spans="1:5">
      <c r="A668" s="152">
        <v>10</v>
      </c>
      <c r="B668" s="162"/>
      <c r="C668" s="160" t="s">
        <v>90</v>
      </c>
      <c r="D668" s="166">
        <v>50.6</v>
      </c>
      <c r="E668" s="162"/>
    </row>
    <row r="669" spans="1:5">
      <c r="A669" s="150">
        <v>11</v>
      </c>
      <c r="B669" s="158"/>
      <c r="C669" s="156" t="s">
        <v>92</v>
      </c>
      <c r="D669" s="165">
        <v>36.11</v>
      </c>
      <c r="E669" s="158"/>
    </row>
    <row r="670" spans="1:5">
      <c r="A670" s="152">
        <v>12</v>
      </c>
      <c r="B670" s="162"/>
      <c r="C670" s="160" t="s">
        <v>84</v>
      </c>
      <c r="D670" s="166">
        <v>27.84</v>
      </c>
      <c r="E670" s="162"/>
    </row>
    <row r="671" spans="1:5">
      <c r="A671" s="150">
        <v>13</v>
      </c>
      <c r="B671" s="158"/>
      <c r="C671" s="156" t="s">
        <v>82</v>
      </c>
      <c r="D671" s="165">
        <v>27.28</v>
      </c>
      <c r="E671" s="158"/>
    </row>
    <row r="672" spans="1:5">
      <c r="A672" s="152">
        <v>14</v>
      </c>
      <c r="B672" s="162"/>
      <c r="C672" s="160" t="s">
        <v>71</v>
      </c>
      <c r="D672" s="166">
        <v>26.18</v>
      </c>
      <c r="E672" s="162"/>
    </row>
    <row r="673" spans="1:5">
      <c r="A673" s="150">
        <v>15</v>
      </c>
      <c r="B673" s="158"/>
      <c r="C673" s="156" t="s">
        <v>104</v>
      </c>
      <c r="D673" s="165">
        <v>9.4600000000000009</v>
      </c>
      <c r="E673" s="158"/>
    </row>
    <row r="674" spans="1:5">
      <c r="A674" s="152">
        <v>16</v>
      </c>
      <c r="B674" s="162"/>
      <c r="C674" s="160" t="s">
        <v>108</v>
      </c>
      <c r="D674" s="166">
        <v>5.28</v>
      </c>
      <c r="E674" s="162"/>
    </row>
    <row r="675" spans="1:5">
      <c r="A675" s="197" t="s">
        <v>914</v>
      </c>
      <c r="B675" s="198"/>
      <c r="C675" s="199"/>
      <c r="D675" s="169">
        <v>3990</v>
      </c>
      <c r="E675" s="164"/>
    </row>
    <row r="677" spans="1:5" ht="38.1" customHeight="1">
      <c r="A677" s="209" t="s">
        <v>915</v>
      </c>
      <c r="B677" s="178"/>
      <c r="C677" s="178"/>
      <c r="D677" s="178"/>
      <c r="E677" s="178"/>
    </row>
    <row r="678" spans="1:5">
      <c r="A678" s="205" t="s">
        <v>916</v>
      </c>
      <c r="B678" s="178"/>
      <c r="C678" s="178"/>
      <c r="D678" s="178"/>
      <c r="E678" s="178"/>
    </row>
    <row r="679" spans="1:5">
      <c r="A679" s="207" t="s">
        <v>917</v>
      </c>
      <c r="B679" s="198"/>
      <c r="C679" s="198"/>
      <c r="D679" s="198"/>
      <c r="E679" s="199"/>
    </row>
    <row r="680" spans="1:5">
      <c r="A680" s="154" t="s">
        <v>46</v>
      </c>
      <c r="B680" s="154"/>
      <c r="C680" s="154" t="s">
        <v>837</v>
      </c>
      <c r="D680" s="154" t="s">
        <v>838</v>
      </c>
      <c r="E680" s="154"/>
    </row>
    <row r="681" spans="1:5">
      <c r="A681" s="150">
        <v>1</v>
      </c>
      <c r="B681" s="158"/>
      <c r="C681" s="156" t="s">
        <v>120</v>
      </c>
      <c r="D681" s="165">
        <v>603.92999999999995</v>
      </c>
      <c r="E681" s="158"/>
    </row>
    <row r="682" spans="1:5">
      <c r="A682" s="152">
        <v>2</v>
      </c>
      <c r="B682" s="162"/>
      <c r="C682" s="160" t="s">
        <v>116</v>
      </c>
      <c r="D682" s="166">
        <v>289.52</v>
      </c>
      <c r="E682" s="162"/>
    </row>
    <row r="683" spans="1:5">
      <c r="A683" s="150">
        <v>3</v>
      </c>
      <c r="B683" s="158"/>
      <c r="C683" s="156" t="s">
        <v>99</v>
      </c>
      <c r="D683" s="165">
        <v>217.13</v>
      </c>
      <c r="E683" s="158"/>
    </row>
    <row r="684" spans="1:5">
      <c r="A684" s="152">
        <v>4</v>
      </c>
      <c r="B684" s="162"/>
      <c r="C684" s="160" t="s">
        <v>134</v>
      </c>
      <c r="D684" s="166">
        <v>99</v>
      </c>
      <c r="E684" s="162"/>
    </row>
    <row r="685" spans="1:5">
      <c r="A685" s="150">
        <v>5</v>
      </c>
      <c r="B685" s="158"/>
      <c r="C685" s="156" t="s">
        <v>113</v>
      </c>
      <c r="D685" s="165">
        <v>59.53</v>
      </c>
      <c r="E685" s="158"/>
    </row>
    <row r="686" spans="1:5">
      <c r="A686" s="152">
        <v>6</v>
      </c>
      <c r="B686" s="162"/>
      <c r="C686" s="160" t="s">
        <v>118</v>
      </c>
      <c r="D686" s="166">
        <v>24.83</v>
      </c>
      <c r="E686" s="162"/>
    </row>
    <row r="687" spans="1:5">
      <c r="A687" s="150">
        <v>7</v>
      </c>
      <c r="B687" s="158"/>
      <c r="C687" s="156" t="s">
        <v>121</v>
      </c>
      <c r="D687" s="165">
        <v>24.39</v>
      </c>
      <c r="E687" s="158"/>
    </row>
    <row r="688" spans="1:5">
      <c r="A688" s="152">
        <v>8</v>
      </c>
      <c r="B688" s="162"/>
      <c r="C688" s="160" t="s">
        <v>130</v>
      </c>
      <c r="D688" s="166">
        <v>23.16</v>
      </c>
      <c r="E688" s="162"/>
    </row>
    <row r="689" spans="1:5">
      <c r="A689" s="150">
        <v>9</v>
      </c>
      <c r="B689" s="158"/>
      <c r="C689" s="156" t="s">
        <v>90</v>
      </c>
      <c r="D689" s="165">
        <v>22</v>
      </c>
      <c r="E689" s="158"/>
    </row>
    <row r="690" spans="1:5">
      <c r="A690" s="152">
        <v>10</v>
      </c>
      <c r="B690" s="162"/>
      <c r="C690" s="160" t="s">
        <v>84</v>
      </c>
      <c r="D690" s="166">
        <v>8.6999999999999993</v>
      </c>
      <c r="E690" s="162"/>
    </row>
    <row r="691" spans="1:5">
      <c r="A691" s="150">
        <v>11</v>
      </c>
      <c r="B691" s="158"/>
      <c r="C691" s="156" t="s">
        <v>92</v>
      </c>
      <c r="D691" s="165">
        <v>8.1300000000000008</v>
      </c>
      <c r="E691" s="158"/>
    </row>
    <row r="692" spans="1:5">
      <c r="A692" s="152">
        <v>12</v>
      </c>
      <c r="B692" s="162"/>
      <c r="C692" s="160" t="s">
        <v>71</v>
      </c>
      <c r="D692" s="166">
        <v>7.26</v>
      </c>
      <c r="E692" s="162"/>
    </row>
    <row r="693" spans="1:5">
      <c r="A693" s="150">
        <v>13</v>
      </c>
      <c r="B693" s="158"/>
      <c r="C693" s="156" t="s">
        <v>104</v>
      </c>
      <c r="D693" s="165">
        <v>2.42</v>
      </c>
      <c r="E693" s="158"/>
    </row>
    <row r="694" spans="1:5">
      <c r="A694" s="208" t="s">
        <v>918</v>
      </c>
      <c r="B694" s="198"/>
      <c r="C694" s="199"/>
      <c r="D694" s="167">
        <v>1390</v>
      </c>
      <c r="E694" s="168"/>
    </row>
    <row r="695" spans="1:5">
      <c r="A695" s="207" t="s">
        <v>919</v>
      </c>
      <c r="B695" s="198"/>
      <c r="C695" s="198"/>
      <c r="D695" s="198"/>
      <c r="E695" s="199"/>
    </row>
    <row r="696" spans="1:5">
      <c r="A696" s="154" t="s">
        <v>46</v>
      </c>
      <c r="B696" s="154"/>
      <c r="C696" s="154" t="s">
        <v>837</v>
      </c>
      <c r="D696" s="154" t="s">
        <v>838</v>
      </c>
      <c r="E696" s="154"/>
    </row>
    <row r="697" spans="1:5">
      <c r="A697" s="150">
        <v>1</v>
      </c>
      <c r="B697" s="158"/>
      <c r="C697" s="156" t="s">
        <v>120</v>
      </c>
      <c r="D697" s="165">
        <v>570.36</v>
      </c>
      <c r="E697" s="158"/>
    </row>
    <row r="698" spans="1:5">
      <c r="A698" s="152">
        <v>2</v>
      </c>
      <c r="B698" s="162"/>
      <c r="C698" s="160" t="s">
        <v>99</v>
      </c>
      <c r="D698" s="166">
        <v>218.71</v>
      </c>
      <c r="E698" s="162"/>
    </row>
    <row r="699" spans="1:5">
      <c r="A699" s="150">
        <v>3</v>
      </c>
      <c r="B699" s="158"/>
      <c r="C699" s="156" t="s">
        <v>116</v>
      </c>
      <c r="D699" s="165">
        <v>198</v>
      </c>
      <c r="E699" s="158"/>
    </row>
    <row r="700" spans="1:5">
      <c r="A700" s="152">
        <v>4</v>
      </c>
      <c r="B700" s="162"/>
      <c r="C700" s="160" t="s">
        <v>113</v>
      </c>
      <c r="D700" s="166">
        <v>113.08</v>
      </c>
      <c r="E700" s="162"/>
    </row>
    <row r="701" spans="1:5">
      <c r="A701" s="150">
        <v>5</v>
      </c>
      <c r="B701" s="158"/>
      <c r="C701" s="156" t="s">
        <v>134</v>
      </c>
      <c r="D701" s="165">
        <v>99</v>
      </c>
      <c r="E701" s="158"/>
    </row>
    <row r="702" spans="1:5">
      <c r="A702" s="152">
        <v>6</v>
      </c>
      <c r="B702" s="162"/>
      <c r="C702" s="160" t="s">
        <v>118</v>
      </c>
      <c r="D702" s="166">
        <v>23.94</v>
      </c>
      <c r="E702" s="162"/>
    </row>
    <row r="703" spans="1:5">
      <c r="A703" s="150">
        <v>7</v>
      </c>
      <c r="B703" s="158"/>
      <c r="C703" s="156" t="s">
        <v>121</v>
      </c>
      <c r="D703" s="165">
        <v>23.79</v>
      </c>
      <c r="E703" s="158"/>
    </row>
    <row r="704" spans="1:5">
      <c r="A704" s="152">
        <v>8</v>
      </c>
      <c r="B704" s="162"/>
      <c r="C704" s="160" t="s">
        <v>130</v>
      </c>
      <c r="D704" s="166">
        <v>22.83</v>
      </c>
      <c r="E704" s="162"/>
    </row>
    <row r="705" spans="1:5">
      <c r="A705" s="150">
        <v>9</v>
      </c>
      <c r="B705" s="158"/>
      <c r="C705" s="156" t="s">
        <v>90</v>
      </c>
      <c r="D705" s="165">
        <v>22</v>
      </c>
      <c r="E705" s="158"/>
    </row>
    <row r="706" spans="1:5">
      <c r="A706" s="152">
        <v>10</v>
      </c>
      <c r="B706" s="162"/>
      <c r="C706" s="160" t="s">
        <v>92</v>
      </c>
      <c r="D706" s="166">
        <v>9.7100000000000009</v>
      </c>
      <c r="E706" s="162"/>
    </row>
    <row r="707" spans="1:5">
      <c r="A707" s="150">
        <v>11</v>
      </c>
      <c r="B707" s="158"/>
      <c r="C707" s="156" t="s">
        <v>71</v>
      </c>
      <c r="D707" s="165">
        <v>6.16</v>
      </c>
      <c r="E707" s="158"/>
    </row>
    <row r="708" spans="1:5">
      <c r="A708" s="152">
        <v>12</v>
      </c>
      <c r="B708" s="162"/>
      <c r="C708" s="160" t="s">
        <v>84</v>
      </c>
      <c r="D708" s="166">
        <v>2.1</v>
      </c>
      <c r="E708" s="162"/>
    </row>
    <row r="709" spans="1:5">
      <c r="A709" s="150">
        <v>13</v>
      </c>
      <c r="B709" s="158"/>
      <c r="C709" s="156" t="s">
        <v>104</v>
      </c>
      <c r="D709" s="165">
        <v>0.33</v>
      </c>
      <c r="E709" s="158"/>
    </row>
    <row r="710" spans="1:5">
      <c r="A710" s="208" t="s">
        <v>920</v>
      </c>
      <c r="B710" s="198"/>
      <c r="C710" s="199"/>
      <c r="D710" s="167">
        <v>1310</v>
      </c>
      <c r="E710" s="168"/>
    </row>
    <row r="712" spans="1:5">
      <c r="A712" s="200" t="s">
        <v>840</v>
      </c>
      <c r="B712" s="178"/>
      <c r="C712" s="178"/>
      <c r="D712" s="178"/>
      <c r="E712" s="178"/>
    </row>
    <row r="713" spans="1:5">
      <c r="A713" s="154" t="s">
        <v>46</v>
      </c>
      <c r="B713" s="154"/>
      <c r="C713" s="154" t="s">
        <v>837</v>
      </c>
      <c r="D713" s="154" t="s">
        <v>841</v>
      </c>
      <c r="E713" s="154"/>
    </row>
    <row r="714" spans="1:5">
      <c r="A714" s="150">
        <v>1</v>
      </c>
      <c r="B714" s="158"/>
      <c r="C714" s="156" t="s">
        <v>120</v>
      </c>
      <c r="D714" s="165">
        <v>1174.29</v>
      </c>
      <c r="E714" s="158"/>
    </row>
    <row r="715" spans="1:5">
      <c r="A715" s="152">
        <v>2</v>
      </c>
      <c r="B715" s="162"/>
      <c r="C715" s="160" t="s">
        <v>116</v>
      </c>
      <c r="D715" s="166">
        <v>487.52</v>
      </c>
      <c r="E715" s="162"/>
    </row>
    <row r="716" spans="1:5">
      <c r="A716" s="150">
        <v>3</v>
      </c>
      <c r="B716" s="158"/>
      <c r="C716" s="156" t="s">
        <v>99</v>
      </c>
      <c r="D716" s="165">
        <v>435.84</v>
      </c>
      <c r="E716" s="158"/>
    </row>
    <row r="717" spans="1:5">
      <c r="A717" s="152">
        <v>4</v>
      </c>
      <c r="B717" s="162"/>
      <c r="C717" s="160" t="s">
        <v>134</v>
      </c>
      <c r="D717" s="166">
        <v>198</v>
      </c>
      <c r="E717" s="162"/>
    </row>
    <row r="718" spans="1:5">
      <c r="A718" s="150">
        <v>5</v>
      </c>
      <c r="B718" s="158"/>
      <c r="C718" s="156" t="s">
        <v>113</v>
      </c>
      <c r="D718" s="165">
        <v>172.61</v>
      </c>
      <c r="E718" s="158"/>
    </row>
    <row r="719" spans="1:5">
      <c r="A719" s="152">
        <v>6</v>
      </c>
      <c r="B719" s="162"/>
      <c r="C719" s="160" t="s">
        <v>118</v>
      </c>
      <c r="D719" s="166">
        <v>48.77</v>
      </c>
      <c r="E719" s="162"/>
    </row>
    <row r="720" spans="1:5">
      <c r="A720" s="150">
        <v>7</v>
      </c>
      <c r="B720" s="158"/>
      <c r="C720" s="156" t="s">
        <v>121</v>
      </c>
      <c r="D720" s="165">
        <v>48.18</v>
      </c>
      <c r="E720" s="158"/>
    </row>
    <row r="721" spans="1:5">
      <c r="A721" s="152">
        <v>8</v>
      </c>
      <c r="B721" s="162"/>
      <c r="C721" s="160" t="s">
        <v>130</v>
      </c>
      <c r="D721" s="166">
        <v>45.99</v>
      </c>
      <c r="E721" s="162"/>
    </row>
    <row r="722" spans="1:5">
      <c r="A722" s="150">
        <v>9</v>
      </c>
      <c r="B722" s="158"/>
      <c r="C722" s="156" t="s">
        <v>90</v>
      </c>
      <c r="D722" s="165">
        <v>44</v>
      </c>
      <c r="E722" s="158"/>
    </row>
    <row r="723" spans="1:5">
      <c r="A723" s="152">
        <v>10</v>
      </c>
      <c r="B723" s="162"/>
      <c r="C723" s="160" t="s">
        <v>92</v>
      </c>
      <c r="D723" s="166">
        <v>17.84</v>
      </c>
      <c r="E723" s="162"/>
    </row>
    <row r="724" spans="1:5">
      <c r="A724" s="150">
        <v>11</v>
      </c>
      <c r="B724" s="158"/>
      <c r="C724" s="156" t="s">
        <v>71</v>
      </c>
      <c r="D724" s="165">
        <v>13.42</v>
      </c>
      <c r="E724" s="158"/>
    </row>
    <row r="725" spans="1:5">
      <c r="A725" s="152">
        <v>12</v>
      </c>
      <c r="B725" s="162"/>
      <c r="C725" s="160" t="s">
        <v>84</v>
      </c>
      <c r="D725" s="166">
        <v>10.8</v>
      </c>
      <c r="E725" s="162"/>
    </row>
    <row r="726" spans="1:5">
      <c r="A726" s="150">
        <v>13</v>
      </c>
      <c r="B726" s="158"/>
      <c r="C726" s="156" t="s">
        <v>104</v>
      </c>
      <c r="D726" s="165">
        <v>2.75</v>
      </c>
      <c r="E726" s="158"/>
    </row>
    <row r="727" spans="1:5">
      <c r="A727" s="197" t="s">
        <v>921</v>
      </c>
      <c r="B727" s="198"/>
      <c r="C727" s="199"/>
      <c r="D727" s="169">
        <v>2700</v>
      </c>
      <c r="E727" s="164"/>
    </row>
    <row r="729" spans="1:5" ht="38.1" customHeight="1">
      <c r="A729" s="209" t="s">
        <v>922</v>
      </c>
      <c r="B729" s="178"/>
      <c r="C729" s="178"/>
      <c r="D729" s="178"/>
      <c r="E729" s="178"/>
    </row>
    <row r="730" spans="1:5">
      <c r="A730" s="205" t="s">
        <v>923</v>
      </c>
      <c r="B730" s="178"/>
      <c r="C730" s="178"/>
      <c r="D730" s="178"/>
      <c r="E730" s="178"/>
    </row>
    <row r="731" spans="1:5">
      <c r="A731" s="207" t="s">
        <v>924</v>
      </c>
      <c r="B731" s="198"/>
      <c r="C731" s="198"/>
      <c r="D731" s="198"/>
      <c r="E731" s="199"/>
    </row>
    <row r="732" spans="1:5">
      <c r="A732" s="154" t="s">
        <v>46</v>
      </c>
      <c r="B732" s="154"/>
      <c r="C732" s="154" t="s">
        <v>837</v>
      </c>
      <c r="D732" s="154" t="s">
        <v>838</v>
      </c>
      <c r="E732" s="154"/>
    </row>
    <row r="733" spans="1:5">
      <c r="A733" s="150">
        <v>1</v>
      </c>
      <c r="B733" s="158"/>
      <c r="C733" s="156" t="s">
        <v>120</v>
      </c>
      <c r="D733" s="165">
        <v>473</v>
      </c>
      <c r="E733" s="158"/>
    </row>
    <row r="734" spans="1:5">
      <c r="A734" s="152">
        <v>2</v>
      </c>
      <c r="B734" s="162"/>
      <c r="C734" s="160" t="s">
        <v>99</v>
      </c>
      <c r="D734" s="166">
        <v>209</v>
      </c>
      <c r="E734" s="162"/>
    </row>
    <row r="735" spans="1:5">
      <c r="A735" s="150">
        <v>3</v>
      </c>
      <c r="B735" s="158"/>
      <c r="C735" s="156" t="s">
        <v>116</v>
      </c>
      <c r="D735" s="165">
        <v>198</v>
      </c>
      <c r="E735" s="158"/>
    </row>
    <row r="736" spans="1:5">
      <c r="A736" s="152">
        <v>4</v>
      </c>
      <c r="B736" s="162"/>
      <c r="C736" s="160" t="s">
        <v>134</v>
      </c>
      <c r="D736" s="166">
        <v>99</v>
      </c>
      <c r="E736" s="162"/>
    </row>
    <row r="737" spans="1:5">
      <c r="A737" s="150">
        <v>5</v>
      </c>
      <c r="B737" s="158"/>
      <c r="C737" s="156" t="s">
        <v>113</v>
      </c>
      <c r="D737" s="165">
        <v>33</v>
      </c>
      <c r="E737" s="158"/>
    </row>
    <row r="738" spans="1:5">
      <c r="A738" s="152">
        <v>6</v>
      </c>
      <c r="B738" s="162"/>
      <c r="C738" s="160" t="s">
        <v>90</v>
      </c>
      <c r="D738" s="166">
        <v>22</v>
      </c>
      <c r="E738" s="162"/>
    </row>
    <row r="739" spans="1:5">
      <c r="A739" s="150">
        <v>7</v>
      </c>
      <c r="B739" s="158"/>
      <c r="C739" s="156" t="s">
        <v>118</v>
      </c>
      <c r="D739" s="165">
        <v>22</v>
      </c>
      <c r="E739" s="158"/>
    </row>
    <row r="740" spans="1:5">
      <c r="A740" s="152">
        <v>8</v>
      </c>
      <c r="B740" s="162"/>
      <c r="C740" s="160" t="s">
        <v>121</v>
      </c>
      <c r="D740" s="166">
        <v>22</v>
      </c>
      <c r="E740" s="162"/>
    </row>
    <row r="741" spans="1:5">
      <c r="A741" s="150">
        <v>9</v>
      </c>
      <c r="B741" s="158"/>
      <c r="C741" s="156" t="s">
        <v>130</v>
      </c>
      <c r="D741" s="165">
        <v>22</v>
      </c>
      <c r="E741" s="158"/>
    </row>
    <row r="742" spans="1:5">
      <c r="A742" s="208" t="s">
        <v>925</v>
      </c>
      <c r="B742" s="198"/>
      <c r="C742" s="199"/>
      <c r="D742" s="167">
        <v>1100</v>
      </c>
      <c r="E742" s="168"/>
    </row>
    <row r="744" spans="1:5">
      <c r="A744" s="200" t="s">
        <v>840</v>
      </c>
      <c r="B744" s="178"/>
      <c r="C744" s="178"/>
      <c r="D744" s="178"/>
      <c r="E744" s="178"/>
    </row>
    <row r="745" spans="1:5">
      <c r="A745" s="154" t="s">
        <v>46</v>
      </c>
      <c r="B745" s="154"/>
      <c r="C745" s="154" t="s">
        <v>837</v>
      </c>
      <c r="D745" s="154" t="s">
        <v>841</v>
      </c>
      <c r="E745" s="154"/>
    </row>
    <row r="746" spans="1:5">
      <c r="A746" s="150">
        <v>1</v>
      </c>
      <c r="B746" s="158"/>
      <c r="C746" s="156" t="s">
        <v>120</v>
      </c>
      <c r="D746" s="165">
        <v>473</v>
      </c>
      <c r="E746" s="158"/>
    </row>
    <row r="747" spans="1:5">
      <c r="A747" s="152">
        <v>2</v>
      </c>
      <c r="B747" s="162"/>
      <c r="C747" s="160" t="s">
        <v>99</v>
      </c>
      <c r="D747" s="166">
        <v>209</v>
      </c>
      <c r="E747" s="162"/>
    </row>
    <row r="748" spans="1:5">
      <c r="A748" s="150">
        <v>3</v>
      </c>
      <c r="B748" s="158"/>
      <c r="C748" s="156" t="s">
        <v>116</v>
      </c>
      <c r="D748" s="165">
        <v>198</v>
      </c>
      <c r="E748" s="158"/>
    </row>
    <row r="749" spans="1:5">
      <c r="A749" s="152">
        <v>4</v>
      </c>
      <c r="B749" s="162"/>
      <c r="C749" s="160" t="s">
        <v>134</v>
      </c>
      <c r="D749" s="166">
        <v>99</v>
      </c>
      <c r="E749" s="162"/>
    </row>
    <row r="750" spans="1:5">
      <c r="A750" s="150">
        <v>5</v>
      </c>
      <c r="B750" s="158"/>
      <c r="C750" s="156" t="s">
        <v>113</v>
      </c>
      <c r="D750" s="165">
        <v>33</v>
      </c>
      <c r="E750" s="158"/>
    </row>
    <row r="751" spans="1:5">
      <c r="A751" s="152">
        <v>6</v>
      </c>
      <c r="B751" s="162"/>
      <c r="C751" s="160" t="s">
        <v>90</v>
      </c>
      <c r="D751" s="166">
        <v>22</v>
      </c>
      <c r="E751" s="162"/>
    </row>
    <row r="752" spans="1:5">
      <c r="A752" s="150">
        <v>7</v>
      </c>
      <c r="B752" s="158"/>
      <c r="C752" s="156" t="s">
        <v>118</v>
      </c>
      <c r="D752" s="165">
        <v>22</v>
      </c>
      <c r="E752" s="158"/>
    </row>
    <row r="753" spans="1:5">
      <c r="A753" s="152">
        <v>8</v>
      </c>
      <c r="B753" s="162"/>
      <c r="C753" s="160" t="s">
        <v>121</v>
      </c>
      <c r="D753" s="166">
        <v>22</v>
      </c>
      <c r="E753" s="162"/>
    </row>
    <row r="754" spans="1:5">
      <c r="A754" s="150">
        <v>9</v>
      </c>
      <c r="B754" s="158"/>
      <c r="C754" s="156" t="s">
        <v>130</v>
      </c>
      <c r="D754" s="165">
        <v>22</v>
      </c>
      <c r="E754" s="158"/>
    </row>
    <row r="755" spans="1:5">
      <c r="A755" s="197" t="s">
        <v>926</v>
      </c>
      <c r="B755" s="198"/>
      <c r="C755" s="199"/>
      <c r="D755" s="169">
        <v>1100</v>
      </c>
      <c r="E755" s="164"/>
    </row>
  </sheetData>
  <mergeCells count="98">
    <mergeCell ref="A755:C755"/>
    <mergeCell ref="A742:C742"/>
    <mergeCell ref="A545:E545"/>
    <mergeCell ref="A244:E244"/>
    <mergeCell ref="A126:E126"/>
    <mergeCell ref="A342:E342"/>
    <mergeCell ref="A207:C207"/>
    <mergeCell ref="A339:C339"/>
    <mergeCell ref="A296:C296"/>
    <mergeCell ref="A694:C694"/>
    <mergeCell ref="A362:E362"/>
    <mergeCell ref="A15:E15"/>
    <mergeCell ref="A712:E712"/>
    <mergeCell ref="A195:C195"/>
    <mergeCell ref="A675:C675"/>
    <mergeCell ref="A361:C361"/>
    <mergeCell ref="A501:E501"/>
    <mergeCell ref="A90:E90"/>
    <mergeCell ref="A243:E243"/>
    <mergeCell ref="A283:E283"/>
    <mergeCell ref="A397:E397"/>
    <mergeCell ref="A240:C240"/>
    <mergeCell ref="A27:E27"/>
    <mergeCell ref="A482:C482"/>
    <mergeCell ref="A308:C308"/>
    <mergeCell ref="A341:E341"/>
    <mergeCell ref="A242:E242"/>
    <mergeCell ref="A28:E28"/>
    <mergeCell ref="A88:C88"/>
    <mergeCell ref="A44:E44"/>
    <mergeCell ref="A127:E127"/>
    <mergeCell ref="A379:C379"/>
    <mergeCell ref="A744:E744"/>
    <mergeCell ref="A29:E29"/>
    <mergeCell ref="A209:E209"/>
    <mergeCell ref="A451:E451"/>
    <mergeCell ref="A161:E161"/>
    <mergeCell ref="A124:C124"/>
    <mergeCell ref="A730:E730"/>
    <mergeCell ref="A60:E60"/>
    <mergeCell ref="A606:E606"/>
    <mergeCell ref="A449:C449"/>
    <mergeCell ref="A141:C141"/>
    <mergeCell ref="A465:E465"/>
    <mergeCell ref="A607:E607"/>
    <mergeCell ref="A59:C59"/>
    <mergeCell ref="A412:C412"/>
    <mergeCell ref="A710:C710"/>
    <mergeCell ref="A731:E731"/>
    <mergeCell ref="A160:C160"/>
    <mergeCell ref="A464:C464"/>
    <mergeCell ref="A196:E196"/>
    <mergeCell ref="A78:E78"/>
    <mergeCell ref="A604:C604"/>
    <mergeCell ref="A263:C263"/>
    <mergeCell ref="A643:E643"/>
    <mergeCell ref="A625:E625"/>
    <mergeCell ref="A264:E264"/>
    <mergeCell ref="A297:E297"/>
    <mergeCell ref="A695:E695"/>
    <mergeCell ref="A500:C500"/>
    <mergeCell ref="A396:C396"/>
    <mergeCell ref="A566:C566"/>
    <mergeCell ref="A624:C624"/>
    <mergeCell ref="A729:E729"/>
    <mergeCell ref="A428:E428"/>
    <mergeCell ref="A679:E679"/>
    <mergeCell ref="A657:E657"/>
    <mergeCell ref="A185:E185"/>
    <mergeCell ref="A483:E483"/>
    <mergeCell ref="A380:E380"/>
    <mergeCell ref="A520:C520"/>
    <mergeCell ref="A568:E568"/>
    <mergeCell ref="A544:C544"/>
    <mergeCell ref="A642:C642"/>
    <mergeCell ref="A142:E142"/>
    <mergeCell ref="A282:C282"/>
    <mergeCell ref="A655:C655"/>
    <mergeCell ref="A1:E1"/>
    <mergeCell ref="A343:E343"/>
    <mergeCell ref="A452:E452"/>
    <mergeCell ref="A128:E128"/>
    <mergeCell ref="A184:C184"/>
    <mergeCell ref="A413:E413"/>
    <mergeCell ref="A453:E453"/>
    <mergeCell ref="A43:C43"/>
    <mergeCell ref="A77:C77"/>
    <mergeCell ref="A3:E3"/>
    <mergeCell ref="A13:C13"/>
    <mergeCell ref="A25:C25"/>
    <mergeCell ref="A2:E2"/>
    <mergeCell ref="A310:E310"/>
    <mergeCell ref="A727:C727"/>
    <mergeCell ref="A608:E608"/>
    <mergeCell ref="A426:C426"/>
    <mergeCell ref="A521:E521"/>
    <mergeCell ref="A677:E677"/>
    <mergeCell ref="A678:E678"/>
  </mergeCells>
  <phoneticPr fontId="55" type="noConversion"/>
  <pageMargins left="0.5" right="0.5" top="0.5" bottom="0.5" header="0.5" footer="0.5"/>
  <pageSetup paperSize="9" fitToHeight="0" orientation="portrait"/>
  <rowBreaks count="8" manualBreakCount="8">
    <brk id="26" max="16383" man="1"/>
    <brk id="125" max="16383" man="1"/>
    <brk id="241" max="16383" man="1"/>
    <brk id="340" max="16383" man="1"/>
    <brk id="450" max="16383" man="1"/>
    <brk id="605" max="16383" man="1"/>
    <brk id="676" max="16383" man="1"/>
    <brk id="72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49"/>
  <sheetViews>
    <sheetView tabSelected="1" topLeftCell="A127" workbookViewId="0">
      <selection activeCell="J143" sqref="J143"/>
    </sheetView>
  </sheetViews>
  <sheetFormatPr defaultRowHeight="16.5"/>
  <cols>
    <col min="1" max="1" width="9" customWidth="1"/>
    <col min="2" max="2" width="22" customWidth="1"/>
    <col min="3" max="3" width="8" customWidth="1"/>
    <col min="4" max="4" width="7" customWidth="1"/>
    <col min="5" max="5" width="11" customWidth="1"/>
    <col min="6" max="8" width="6" customWidth="1"/>
    <col min="9" max="10" width="5" customWidth="1"/>
    <col min="11" max="11" width="10" customWidth="1"/>
    <col min="12" max="12" width="5" customWidth="1"/>
    <col min="13" max="13" width="12" customWidth="1"/>
  </cols>
  <sheetData>
    <row r="1" spans="1:13" ht="20.100000000000001" customHeight="1">
      <c r="A1" s="212" t="s">
        <v>927</v>
      </c>
      <c r="B1" s="178"/>
      <c r="C1" s="178"/>
      <c r="D1" s="178"/>
      <c r="E1" s="178"/>
      <c r="F1" s="178"/>
      <c r="G1" s="178"/>
      <c r="H1" s="178"/>
      <c r="I1" s="178"/>
      <c r="J1" s="214" t="s">
        <v>928</v>
      </c>
      <c r="K1" s="170" t="s">
        <v>929</v>
      </c>
      <c r="L1" s="210"/>
      <c r="M1" s="211"/>
    </row>
    <row r="2" spans="1:13" ht="20.100000000000001" customHeight="1">
      <c r="J2" s="215"/>
      <c r="K2" s="170" t="s">
        <v>930</v>
      </c>
      <c r="L2" s="210"/>
      <c r="M2" s="211"/>
    </row>
    <row r="3" spans="1:13" ht="39.950000000000003" customHeight="1">
      <c r="A3" s="171" t="s">
        <v>931</v>
      </c>
      <c r="B3" s="171" t="s">
        <v>932</v>
      </c>
      <c r="C3" s="171" t="s">
        <v>933</v>
      </c>
      <c r="D3" s="171" t="s">
        <v>934</v>
      </c>
      <c r="E3" s="171" t="s">
        <v>935</v>
      </c>
      <c r="F3" s="171" t="s">
        <v>936</v>
      </c>
      <c r="G3" s="171" t="s">
        <v>937</v>
      </c>
      <c r="H3" s="171" t="s">
        <v>938</v>
      </c>
      <c r="I3" s="171" t="s">
        <v>939</v>
      </c>
      <c r="J3" s="171" t="s">
        <v>940</v>
      </c>
      <c r="K3" s="171" t="s">
        <v>941</v>
      </c>
      <c r="L3" s="171" t="s">
        <v>942</v>
      </c>
      <c r="M3" s="171" t="s">
        <v>943</v>
      </c>
    </row>
    <row r="4" spans="1:13" ht="20.100000000000001" customHeight="1">
      <c r="A4" s="176">
        <v>46025</v>
      </c>
      <c r="B4" s="172" t="s">
        <v>120</v>
      </c>
      <c r="C4" s="173" t="s">
        <v>944</v>
      </c>
      <c r="D4" s="173" t="s">
        <v>945</v>
      </c>
      <c r="E4" s="174">
        <v>45985</v>
      </c>
      <c r="F4" s="175" t="s">
        <v>946</v>
      </c>
      <c r="G4" s="173" t="s">
        <v>945</v>
      </c>
      <c r="H4" s="173" t="s">
        <v>945</v>
      </c>
      <c r="I4" s="173" t="s">
        <v>945</v>
      </c>
      <c r="J4" s="173" t="s">
        <v>352</v>
      </c>
      <c r="K4" s="173" t="s">
        <v>945</v>
      </c>
      <c r="L4" s="173" t="s">
        <v>945</v>
      </c>
      <c r="M4" s="173"/>
    </row>
    <row r="5" spans="1:13" ht="20.100000000000001" customHeight="1">
      <c r="A5" s="176">
        <v>46028</v>
      </c>
      <c r="B5" s="172" t="s">
        <v>71</v>
      </c>
      <c r="C5" s="173" t="s">
        <v>944</v>
      </c>
      <c r="D5" s="173" t="s">
        <v>945</v>
      </c>
      <c r="E5" s="174">
        <v>46462</v>
      </c>
      <c r="F5" s="175" t="s">
        <v>946</v>
      </c>
      <c r="G5" s="173" t="s">
        <v>945</v>
      </c>
      <c r="H5" s="173" t="s">
        <v>945</v>
      </c>
      <c r="I5" s="173" t="s">
        <v>945</v>
      </c>
      <c r="J5" s="173" t="s">
        <v>352</v>
      </c>
      <c r="K5" s="173" t="s">
        <v>945</v>
      </c>
      <c r="L5" s="173" t="s">
        <v>945</v>
      </c>
      <c r="M5" s="173"/>
    </row>
    <row r="6" spans="1:13" ht="20.100000000000001" customHeight="1">
      <c r="A6" s="176">
        <v>46031</v>
      </c>
      <c r="B6" s="172" t="s">
        <v>116</v>
      </c>
      <c r="C6" s="173" t="s">
        <v>947</v>
      </c>
      <c r="D6" s="173" t="s">
        <v>947</v>
      </c>
      <c r="E6" s="174">
        <v>46118</v>
      </c>
      <c r="F6" s="175" t="s">
        <v>946</v>
      </c>
      <c r="G6" s="173" t="s">
        <v>945</v>
      </c>
      <c r="H6" s="173" t="s">
        <v>945</v>
      </c>
      <c r="I6" s="173" t="s">
        <v>945</v>
      </c>
      <c r="J6" s="173" t="s">
        <v>352</v>
      </c>
      <c r="K6" s="173" t="s">
        <v>945</v>
      </c>
      <c r="L6" s="173" t="s">
        <v>945</v>
      </c>
      <c r="M6" s="173"/>
    </row>
    <row r="7" spans="1:13" ht="20.100000000000001" customHeight="1">
      <c r="A7" s="176">
        <v>46031</v>
      </c>
      <c r="B7" s="172" t="s">
        <v>116</v>
      </c>
      <c r="C7" s="173" t="s">
        <v>947</v>
      </c>
      <c r="D7" s="173" t="s">
        <v>947</v>
      </c>
      <c r="E7" s="174">
        <v>46119</v>
      </c>
      <c r="F7" s="175" t="s">
        <v>946</v>
      </c>
      <c r="G7" s="173" t="s">
        <v>945</v>
      </c>
      <c r="H7" s="173" t="s">
        <v>945</v>
      </c>
      <c r="I7" s="173" t="s">
        <v>945</v>
      </c>
      <c r="J7" s="173" t="s">
        <v>352</v>
      </c>
      <c r="K7" s="173" t="s">
        <v>945</v>
      </c>
      <c r="L7" s="173" t="s">
        <v>945</v>
      </c>
      <c r="M7" s="173"/>
    </row>
    <row r="8" spans="1:13" ht="20.100000000000001" customHeight="1">
      <c r="A8" s="176">
        <v>46032</v>
      </c>
      <c r="B8" s="172" t="s">
        <v>120</v>
      </c>
      <c r="C8" s="173" t="s">
        <v>944</v>
      </c>
      <c r="D8" s="173" t="s">
        <v>945</v>
      </c>
      <c r="E8" s="174">
        <v>45961</v>
      </c>
      <c r="F8" s="175" t="s">
        <v>946</v>
      </c>
      <c r="G8" s="173" t="s">
        <v>945</v>
      </c>
      <c r="H8" s="173" t="s">
        <v>945</v>
      </c>
      <c r="I8" s="173" t="s">
        <v>945</v>
      </c>
      <c r="J8" s="173" t="s">
        <v>352</v>
      </c>
      <c r="K8" s="173" t="s">
        <v>945</v>
      </c>
      <c r="L8" s="173" t="s">
        <v>945</v>
      </c>
      <c r="M8" s="173"/>
    </row>
    <row r="9" spans="1:13" ht="20.100000000000001" customHeight="1">
      <c r="A9" s="176">
        <v>46035</v>
      </c>
      <c r="B9" s="172" t="s">
        <v>120</v>
      </c>
      <c r="C9" s="173" t="s">
        <v>944</v>
      </c>
      <c r="D9" s="173" t="s">
        <v>945</v>
      </c>
      <c r="E9" s="174">
        <v>45961</v>
      </c>
      <c r="F9" s="175" t="s">
        <v>946</v>
      </c>
      <c r="G9" s="173" t="s">
        <v>945</v>
      </c>
      <c r="H9" s="173" t="s">
        <v>945</v>
      </c>
      <c r="I9" s="173" t="s">
        <v>945</v>
      </c>
      <c r="J9" s="173" t="s">
        <v>352</v>
      </c>
      <c r="K9" s="173" t="s">
        <v>945</v>
      </c>
      <c r="L9" s="173" t="s">
        <v>945</v>
      </c>
      <c r="M9" s="173"/>
    </row>
    <row r="10" spans="1:13" ht="20.100000000000001" customHeight="1">
      <c r="A10" s="176">
        <v>46036</v>
      </c>
      <c r="B10" s="172" t="s">
        <v>92</v>
      </c>
      <c r="C10" s="173" t="s">
        <v>947</v>
      </c>
      <c r="D10" s="173" t="s">
        <v>945</v>
      </c>
      <c r="E10" s="174">
        <v>46761</v>
      </c>
      <c r="F10" s="175" t="s">
        <v>946</v>
      </c>
      <c r="G10" s="173" t="s">
        <v>945</v>
      </c>
      <c r="H10" s="173" t="s">
        <v>945</v>
      </c>
      <c r="I10" s="173" t="s">
        <v>945</v>
      </c>
      <c r="J10" s="173" t="s">
        <v>352</v>
      </c>
      <c r="K10" s="173" t="s">
        <v>945</v>
      </c>
      <c r="L10" s="173" t="s">
        <v>945</v>
      </c>
      <c r="M10" s="173"/>
    </row>
    <row r="11" spans="1:13" ht="20.100000000000001" customHeight="1">
      <c r="A11" s="176">
        <v>46036</v>
      </c>
      <c r="B11" s="172" t="s">
        <v>120</v>
      </c>
      <c r="C11" s="173" t="s">
        <v>944</v>
      </c>
      <c r="D11" s="173" t="s">
        <v>947</v>
      </c>
      <c r="E11" s="174">
        <v>46024</v>
      </c>
      <c r="F11" s="175" t="s">
        <v>946</v>
      </c>
      <c r="G11" s="173" t="s">
        <v>945</v>
      </c>
      <c r="H11" s="173" t="s">
        <v>945</v>
      </c>
      <c r="I11" s="173" t="s">
        <v>945</v>
      </c>
      <c r="J11" s="173" t="s">
        <v>352</v>
      </c>
      <c r="K11" s="173" t="s">
        <v>945</v>
      </c>
      <c r="L11" s="173" t="s">
        <v>945</v>
      </c>
      <c r="M11" s="173"/>
    </row>
    <row r="12" spans="1:13" ht="20.100000000000001" customHeight="1">
      <c r="A12" s="176">
        <v>46037</v>
      </c>
      <c r="B12" s="172" t="s">
        <v>71</v>
      </c>
      <c r="C12" s="173" t="s">
        <v>944</v>
      </c>
      <c r="D12" s="173" t="s">
        <v>945</v>
      </c>
      <c r="E12" s="174">
        <v>46462</v>
      </c>
      <c r="F12" s="175" t="s">
        <v>946</v>
      </c>
      <c r="G12" s="173" t="s">
        <v>945</v>
      </c>
      <c r="H12" s="173" t="s">
        <v>945</v>
      </c>
      <c r="I12" s="173" t="s">
        <v>945</v>
      </c>
      <c r="J12" s="173" t="s">
        <v>352</v>
      </c>
      <c r="K12" s="173" t="s">
        <v>945</v>
      </c>
      <c r="L12" s="173" t="s">
        <v>945</v>
      </c>
      <c r="M12" s="173"/>
    </row>
    <row r="13" spans="1:13" ht="20.100000000000001" customHeight="1">
      <c r="A13" s="176">
        <v>46037</v>
      </c>
      <c r="B13" s="172" t="s">
        <v>130</v>
      </c>
      <c r="C13" s="173" t="s">
        <v>947</v>
      </c>
      <c r="D13" s="173" t="s">
        <v>945</v>
      </c>
      <c r="E13" s="174">
        <v>46386</v>
      </c>
      <c r="F13" s="175" t="s">
        <v>946</v>
      </c>
      <c r="G13" s="173" t="s">
        <v>945</v>
      </c>
      <c r="H13" s="173" t="s">
        <v>945</v>
      </c>
      <c r="I13" s="173" t="s">
        <v>945</v>
      </c>
      <c r="J13" s="173" t="s">
        <v>352</v>
      </c>
      <c r="K13" s="173" t="s">
        <v>945</v>
      </c>
      <c r="L13" s="173" t="s">
        <v>945</v>
      </c>
      <c r="M13" s="173"/>
    </row>
    <row r="14" spans="1:13" ht="20.100000000000001" customHeight="1">
      <c r="A14" s="176">
        <v>46038</v>
      </c>
      <c r="B14" s="172" t="s">
        <v>68</v>
      </c>
      <c r="C14" s="173" t="s">
        <v>947</v>
      </c>
      <c r="D14" s="173" t="s">
        <v>945</v>
      </c>
      <c r="E14" s="174">
        <v>46176</v>
      </c>
      <c r="F14" s="175" t="s">
        <v>946</v>
      </c>
      <c r="G14" s="173" t="s">
        <v>945</v>
      </c>
      <c r="H14" s="173" t="s">
        <v>945</v>
      </c>
      <c r="I14" s="173" t="s">
        <v>945</v>
      </c>
      <c r="J14" s="173" t="s">
        <v>352</v>
      </c>
      <c r="K14" s="173" t="s">
        <v>945</v>
      </c>
      <c r="L14" s="173" t="s">
        <v>945</v>
      </c>
      <c r="M14" s="173"/>
    </row>
    <row r="15" spans="1:13" ht="20.100000000000001" customHeight="1">
      <c r="A15" s="176">
        <v>46038</v>
      </c>
      <c r="B15" s="172" t="s">
        <v>132</v>
      </c>
      <c r="C15" s="173" t="s">
        <v>947</v>
      </c>
      <c r="D15" s="173" t="s">
        <v>945</v>
      </c>
      <c r="E15" s="174">
        <v>46310</v>
      </c>
      <c r="F15" s="175" t="s">
        <v>946</v>
      </c>
      <c r="G15" s="173" t="s">
        <v>945</v>
      </c>
      <c r="H15" s="173" t="s">
        <v>945</v>
      </c>
      <c r="I15" s="173" t="s">
        <v>945</v>
      </c>
      <c r="J15" s="173" t="s">
        <v>352</v>
      </c>
      <c r="K15" s="173" t="s">
        <v>945</v>
      </c>
      <c r="L15" s="173" t="s">
        <v>945</v>
      </c>
      <c r="M15" s="173"/>
    </row>
    <row r="16" spans="1:13" ht="20.100000000000001" customHeight="1">
      <c r="A16" s="176">
        <v>46038</v>
      </c>
      <c r="B16" s="172" t="s">
        <v>68</v>
      </c>
      <c r="C16" s="173" t="s">
        <v>947</v>
      </c>
      <c r="D16" s="173" t="s">
        <v>945</v>
      </c>
      <c r="E16" s="174">
        <v>46217</v>
      </c>
      <c r="F16" s="175" t="s">
        <v>946</v>
      </c>
      <c r="G16" s="173" t="s">
        <v>945</v>
      </c>
      <c r="H16" s="173" t="s">
        <v>945</v>
      </c>
      <c r="I16" s="173" t="s">
        <v>945</v>
      </c>
      <c r="J16" s="173" t="s">
        <v>352</v>
      </c>
      <c r="K16" s="173" t="s">
        <v>945</v>
      </c>
      <c r="L16" s="173" t="s">
        <v>945</v>
      </c>
      <c r="M16" s="173"/>
    </row>
    <row r="17" spans="1:13" ht="20.100000000000001" customHeight="1">
      <c r="A17" s="176">
        <v>46038</v>
      </c>
      <c r="B17" s="172" t="s">
        <v>111</v>
      </c>
      <c r="C17" s="173" t="s">
        <v>948</v>
      </c>
      <c r="D17" s="173" t="s">
        <v>945</v>
      </c>
      <c r="E17" s="174">
        <v>46673</v>
      </c>
      <c r="F17" s="175" t="s">
        <v>946</v>
      </c>
      <c r="G17" s="173" t="s">
        <v>945</v>
      </c>
      <c r="H17" s="173" t="s">
        <v>945</v>
      </c>
      <c r="I17" s="173" t="s">
        <v>945</v>
      </c>
      <c r="J17" s="173" t="s">
        <v>352</v>
      </c>
      <c r="K17" s="173" t="s">
        <v>945</v>
      </c>
      <c r="L17" s="173" t="s">
        <v>945</v>
      </c>
      <c r="M17" s="173"/>
    </row>
    <row r="18" spans="1:13" ht="20.100000000000001" customHeight="1">
      <c r="A18" s="176">
        <v>46038</v>
      </c>
      <c r="B18" s="172" t="s">
        <v>84</v>
      </c>
      <c r="C18" s="173" t="s">
        <v>947</v>
      </c>
      <c r="D18" s="173" t="s">
        <v>945</v>
      </c>
      <c r="E18" s="174">
        <v>46151</v>
      </c>
      <c r="F18" s="175" t="s">
        <v>946</v>
      </c>
      <c r="G18" s="173" t="s">
        <v>945</v>
      </c>
      <c r="H18" s="173" t="s">
        <v>945</v>
      </c>
      <c r="I18" s="173" t="s">
        <v>945</v>
      </c>
      <c r="J18" s="173" t="s">
        <v>352</v>
      </c>
      <c r="K18" s="173" t="s">
        <v>945</v>
      </c>
      <c r="L18" s="173" t="s">
        <v>945</v>
      </c>
      <c r="M18" s="173"/>
    </row>
    <row r="19" spans="1:13" ht="20.100000000000001" customHeight="1">
      <c r="A19" s="176">
        <v>46038</v>
      </c>
      <c r="B19" s="172" t="s">
        <v>97</v>
      </c>
      <c r="C19" s="173" t="s">
        <v>947</v>
      </c>
      <c r="D19" s="173" t="s">
        <v>945</v>
      </c>
      <c r="E19" s="174">
        <v>46322</v>
      </c>
      <c r="F19" s="175" t="s">
        <v>946</v>
      </c>
      <c r="G19" s="173" t="s">
        <v>945</v>
      </c>
      <c r="H19" s="173" t="s">
        <v>945</v>
      </c>
      <c r="I19" s="173" t="s">
        <v>945</v>
      </c>
      <c r="J19" s="173" t="s">
        <v>352</v>
      </c>
      <c r="K19" s="173" t="s">
        <v>945</v>
      </c>
      <c r="L19" s="173" t="s">
        <v>945</v>
      </c>
      <c r="M19" s="173"/>
    </row>
    <row r="20" spans="1:13" ht="20.100000000000001" customHeight="1">
      <c r="A20" s="176">
        <v>46039</v>
      </c>
      <c r="B20" s="172" t="s">
        <v>62</v>
      </c>
      <c r="C20" s="173" t="s">
        <v>947</v>
      </c>
      <c r="D20" s="173" t="s">
        <v>945</v>
      </c>
      <c r="E20" s="174">
        <v>46742</v>
      </c>
      <c r="F20" s="175" t="s">
        <v>946</v>
      </c>
      <c r="G20" s="173" t="s">
        <v>945</v>
      </c>
      <c r="H20" s="173" t="s">
        <v>945</v>
      </c>
      <c r="I20" s="173" t="s">
        <v>945</v>
      </c>
      <c r="J20" s="173" t="s">
        <v>352</v>
      </c>
      <c r="K20" s="173" t="s">
        <v>945</v>
      </c>
      <c r="L20" s="173" t="s">
        <v>945</v>
      </c>
      <c r="M20" s="173"/>
    </row>
    <row r="21" spans="1:13" ht="20.100000000000001" customHeight="1">
      <c r="A21" s="176">
        <v>46039</v>
      </c>
      <c r="B21" s="172" t="s">
        <v>122</v>
      </c>
      <c r="C21" s="173" t="s">
        <v>947</v>
      </c>
      <c r="D21" s="173" t="s">
        <v>945</v>
      </c>
      <c r="E21" s="174">
        <v>46245</v>
      </c>
      <c r="F21" s="175" t="s">
        <v>946</v>
      </c>
      <c r="G21" s="173" t="s">
        <v>945</v>
      </c>
      <c r="H21" s="173" t="s">
        <v>945</v>
      </c>
      <c r="I21" s="173" t="s">
        <v>945</v>
      </c>
      <c r="J21" s="173" t="s">
        <v>352</v>
      </c>
      <c r="K21" s="173" t="s">
        <v>945</v>
      </c>
      <c r="L21" s="173" t="s">
        <v>945</v>
      </c>
      <c r="M21" s="173"/>
    </row>
    <row r="22" spans="1:13" ht="20.100000000000001" customHeight="1">
      <c r="A22" s="176">
        <v>46039</v>
      </c>
      <c r="B22" s="172" t="s">
        <v>92</v>
      </c>
      <c r="C22" s="173" t="s">
        <v>947</v>
      </c>
      <c r="D22" s="173" t="s">
        <v>945</v>
      </c>
      <c r="E22" s="174">
        <v>46761</v>
      </c>
      <c r="F22" s="175" t="s">
        <v>946</v>
      </c>
      <c r="G22" s="173" t="s">
        <v>945</v>
      </c>
      <c r="H22" s="173" t="s">
        <v>945</v>
      </c>
      <c r="I22" s="173" t="s">
        <v>945</v>
      </c>
      <c r="J22" s="173" t="s">
        <v>352</v>
      </c>
      <c r="K22" s="173" t="s">
        <v>945</v>
      </c>
      <c r="L22" s="173" t="s">
        <v>945</v>
      </c>
      <c r="M22" s="173"/>
    </row>
    <row r="23" spans="1:13" ht="20.100000000000001" customHeight="1">
      <c r="A23" s="176">
        <v>46039</v>
      </c>
      <c r="B23" s="172" t="s">
        <v>74</v>
      </c>
      <c r="C23" s="173" t="s">
        <v>947</v>
      </c>
      <c r="D23" s="173" t="s">
        <v>945</v>
      </c>
      <c r="E23" s="174">
        <v>46266</v>
      </c>
      <c r="F23" s="175" t="s">
        <v>946</v>
      </c>
      <c r="G23" s="173" t="s">
        <v>945</v>
      </c>
      <c r="H23" s="173" t="s">
        <v>945</v>
      </c>
      <c r="I23" s="173" t="s">
        <v>945</v>
      </c>
      <c r="J23" s="173" t="s">
        <v>352</v>
      </c>
      <c r="K23" s="173" t="s">
        <v>945</v>
      </c>
      <c r="L23" s="173" t="s">
        <v>945</v>
      </c>
      <c r="M23" s="173"/>
    </row>
    <row r="24" spans="1:13">
      <c r="A24" s="213" t="s">
        <v>949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6" spans="1:13" ht="20.100000000000001" customHeight="1">
      <c r="A26" s="212" t="s">
        <v>950</v>
      </c>
      <c r="B26" s="178"/>
      <c r="C26" s="178"/>
      <c r="D26" s="178"/>
      <c r="E26" s="178"/>
      <c r="F26" s="178"/>
      <c r="G26" s="178"/>
      <c r="H26" s="178"/>
      <c r="I26" s="178"/>
      <c r="J26" s="214" t="s">
        <v>928</v>
      </c>
      <c r="K26" s="170" t="s">
        <v>929</v>
      </c>
      <c r="L26" s="210"/>
      <c r="M26" s="211"/>
    </row>
    <row r="27" spans="1:13" ht="20.100000000000001" customHeight="1">
      <c r="J27" s="215"/>
      <c r="K27" s="170" t="s">
        <v>930</v>
      </c>
      <c r="L27" s="210"/>
      <c r="M27" s="211"/>
    </row>
    <row r="28" spans="1:13" ht="39.950000000000003" customHeight="1">
      <c r="A28" s="171" t="s">
        <v>931</v>
      </c>
      <c r="B28" s="171" t="s">
        <v>932</v>
      </c>
      <c r="C28" s="171" t="s">
        <v>933</v>
      </c>
      <c r="D28" s="171" t="s">
        <v>934</v>
      </c>
      <c r="E28" s="171" t="s">
        <v>935</v>
      </c>
      <c r="F28" s="171" t="s">
        <v>936</v>
      </c>
      <c r="G28" s="171" t="s">
        <v>937</v>
      </c>
      <c r="H28" s="171" t="s">
        <v>938</v>
      </c>
      <c r="I28" s="171" t="s">
        <v>939</v>
      </c>
      <c r="J28" s="171" t="s">
        <v>940</v>
      </c>
      <c r="K28" s="171" t="s">
        <v>941</v>
      </c>
      <c r="L28" s="171" t="s">
        <v>942</v>
      </c>
      <c r="M28" s="171" t="s">
        <v>943</v>
      </c>
    </row>
    <row r="29" spans="1:13" ht="20.100000000000001" customHeight="1">
      <c r="A29" s="176">
        <v>46039</v>
      </c>
      <c r="B29" s="172" t="s">
        <v>97</v>
      </c>
      <c r="C29" s="173" t="s">
        <v>947</v>
      </c>
      <c r="D29" s="173" t="s">
        <v>945</v>
      </c>
      <c r="E29" s="174">
        <v>46322</v>
      </c>
      <c r="F29" s="175" t="s">
        <v>946</v>
      </c>
      <c r="G29" s="173" t="s">
        <v>945</v>
      </c>
      <c r="H29" s="173" t="s">
        <v>945</v>
      </c>
      <c r="I29" s="173" t="s">
        <v>945</v>
      </c>
      <c r="J29" s="173" t="s">
        <v>352</v>
      </c>
      <c r="K29" s="173" t="s">
        <v>945</v>
      </c>
      <c r="L29" s="173" t="s">
        <v>945</v>
      </c>
      <c r="M29" s="173"/>
    </row>
    <row r="30" spans="1:13" ht="20.100000000000001" customHeight="1">
      <c r="A30" s="176">
        <v>46039</v>
      </c>
      <c r="B30" s="172" t="s">
        <v>132</v>
      </c>
      <c r="C30" s="173" t="s">
        <v>947</v>
      </c>
      <c r="D30" s="173" t="s">
        <v>945</v>
      </c>
      <c r="E30" s="174">
        <v>46266</v>
      </c>
      <c r="F30" s="175" t="s">
        <v>946</v>
      </c>
      <c r="G30" s="173" t="s">
        <v>945</v>
      </c>
      <c r="H30" s="173" t="s">
        <v>945</v>
      </c>
      <c r="I30" s="173" t="s">
        <v>945</v>
      </c>
      <c r="J30" s="173" t="s">
        <v>352</v>
      </c>
      <c r="K30" s="173" t="s">
        <v>945</v>
      </c>
      <c r="L30" s="173" t="s">
        <v>945</v>
      </c>
      <c r="M30" s="173"/>
    </row>
    <row r="31" spans="1:13" ht="20.100000000000001" customHeight="1">
      <c r="A31" s="176">
        <v>46039</v>
      </c>
      <c r="B31" s="172" t="s">
        <v>107</v>
      </c>
      <c r="C31" s="173" t="s">
        <v>947</v>
      </c>
      <c r="D31" s="173" t="s">
        <v>945</v>
      </c>
      <c r="E31" s="174">
        <v>46118</v>
      </c>
      <c r="F31" s="175" t="s">
        <v>946</v>
      </c>
      <c r="G31" s="173" t="s">
        <v>945</v>
      </c>
      <c r="H31" s="173" t="s">
        <v>945</v>
      </c>
      <c r="I31" s="173" t="s">
        <v>945</v>
      </c>
      <c r="J31" s="173" t="s">
        <v>352</v>
      </c>
      <c r="K31" s="173" t="s">
        <v>945</v>
      </c>
      <c r="L31" s="173" t="s">
        <v>945</v>
      </c>
      <c r="M31" s="173"/>
    </row>
    <row r="32" spans="1:13" ht="20.100000000000001" customHeight="1">
      <c r="A32" s="176">
        <v>46041</v>
      </c>
      <c r="B32" s="172" t="s">
        <v>115</v>
      </c>
      <c r="C32" s="173" t="s">
        <v>947</v>
      </c>
      <c r="D32" s="173" t="s">
        <v>945</v>
      </c>
      <c r="E32" s="174">
        <v>46142</v>
      </c>
      <c r="F32" s="175" t="s">
        <v>946</v>
      </c>
      <c r="G32" s="173" t="s">
        <v>945</v>
      </c>
      <c r="H32" s="173" t="s">
        <v>945</v>
      </c>
      <c r="I32" s="173" t="s">
        <v>945</v>
      </c>
      <c r="J32" s="173" t="s">
        <v>352</v>
      </c>
      <c r="K32" s="173" t="s">
        <v>945</v>
      </c>
      <c r="L32" s="173" t="s">
        <v>945</v>
      </c>
      <c r="M32" s="173"/>
    </row>
    <row r="33" spans="1:13" ht="20.100000000000001" customHeight="1">
      <c r="A33" s="176">
        <v>46041</v>
      </c>
      <c r="B33" s="172" t="s">
        <v>99</v>
      </c>
      <c r="C33" s="173" t="s">
        <v>947</v>
      </c>
      <c r="D33" s="173" t="s">
        <v>945</v>
      </c>
      <c r="E33" s="174">
        <v>46012</v>
      </c>
      <c r="F33" s="175" t="s">
        <v>946</v>
      </c>
      <c r="G33" s="173" t="s">
        <v>945</v>
      </c>
      <c r="H33" s="173" t="s">
        <v>945</v>
      </c>
      <c r="I33" s="173" t="s">
        <v>945</v>
      </c>
      <c r="J33" s="173" t="s">
        <v>352</v>
      </c>
      <c r="K33" s="173" t="s">
        <v>945</v>
      </c>
      <c r="L33" s="173" t="s">
        <v>945</v>
      </c>
      <c r="M33" s="173"/>
    </row>
    <row r="34" spans="1:13" ht="20.100000000000001" customHeight="1">
      <c r="A34" s="176">
        <v>46041</v>
      </c>
      <c r="B34" s="172" t="s">
        <v>92</v>
      </c>
      <c r="C34" s="173" t="s">
        <v>947</v>
      </c>
      <c r="D34" s="173" t="s">
        <v>945</v>
      </c>
      <c r="E34" s="174">
        <v>46274</v>
      </c>
      <c r="F34" s="175" t="s">
        <v>946</v>
      </c>
      <c r="G34" s="173" t="s">
        <v>945</v>
      </c>
      <c r="H34" s="173" t="s">
        <v>945</v>
      </c>
      <c r="I34" s="173" t="s">
        <v>945</v>
      </c>
      <c r="J34" s="173" t="s">
        <v>352</v>
      </c>
      <c r="K34" s="173" t="s">
        <v>945</v>
      </c>
      <c r="L34" s="173" t="s">
        <v>945</v>
      </c>
      <c r="M34" s="173"/>
    </row>
    <row r="35" spans="1:13" ht="20.100000000000001" customHeight="1">
      <c r="A35" s="176">
        <v>46042</v>
      </c>
      <c r="B35" s="172" t="s">
        <v>73</v>
      </c>
      <c r="C35" s="173" t="s">
        <v>947</v>
      </c>
      <c r="D35" s="173" t="s">
        <v>945</v>
      </c>
      <c r="E35" s="174">
        <v>46724</v>
      </c>
      <c r="F35" s="175" t="s">
        <v>946</v>
      </c>
      <c r="G35" s="173" t="s">
        <v>945</v>
      </c>
      <c r="H35" s="173" t="s">
        <v>945</v>
      </c>
      <c r="I35" s="173" t="s">
        <v>945</v>
      </c>
      <c r="J35" s="173" t="s">
        <v>352</v>
      </c>
      <c r="K35" s="173" t="s">
        <v>945</v>
      </c>
      <c r="L35" s="173" t="s">
        <v>945</v>
      </c>
      <c r="M35" s="173"/>
    </row>
    <row r="36" spans="1:13" ht="20.100000000000001" customHeight="1">
      <c r="A36" s="176">
        <v>46043</v>
      </c>
      <c r="B36" s="172" t="s">
        <v>108</v>
      </c>
      <c r="C36" s="173" t="s">
        <v>947</v>
      </c>
      <c r="D36" s="173" t="s">
        <v>945</v>
      </c>
      <c r="E36" s="174">
        <v>45982</v>
      </c>
      <c r="F36" s="175" t="s">
        <v>946</v>
      </c>
      <c r="G36" s="173" t="s">
        <v>945</v>
      </c>
      <c r="H36" s="173" t="s">
        <v>945</v>
      </c>
      <c r="I36" s="173" t="s">
        <v>945</v>
      </c>
      <c r="J36" s="173" t="s">
        <v>352</v>
      </c>
      <c r="K36" s="173" t="s">
        <v>945</v>
      </c>
      <c r="L36" s="173" t="s">
        <v>945</v>
      </c>
      <c r="M36" s="173"/>
    </row>
    <row r="37" spans="1:13" ht="20.100000000000001" customHeight="1">
      <c r="A37" s="176">
        <v>46043</v>
      </c>
      <c r="B37" s="172" t="s">
        <v>134</v>
      </c>
      <c r="C37" s="173" t="s">
        <v>951</v>
      </c>
      <c r="D37" s="173" t="s">
        <v>947</v>
      </c>
      <c r="E37" s="174">
        <v>46350</v>
      </c>
      <c r="F37" s="175" t="s">
        <v>946</v>
      </c>
      <c r="G37" s="173" t="s">
        <v>945</v>
      </c>
      <c r="H37" s="173" t="s">
        <v>945</v>
      </c>
      <c r="I37" s="173" t="s">
        <v>945</v>
      </c>
      <c r="J37" s="173" t="s">
        <v>352</v>
      </c>
      <c r="K37" s="173" t="s">
        <v>945</v>
      </c>
      <c r="L37" s="173" t="s">
        <v>945</v>
      </c>
      <c r="M37" s="173"/>
    </row>
    <row r="38" spans="1:13" ht="20.100000000000001" customHeight="1">
      <c r="A38" s="176">
        <v>46043</v>
      </c>
      <c r="B38" s="172" t="s">
        <v>99</v>
      </c>
      <c r="C38" s="173" t="s">
        <v>947</v>
      </c>
      <c r="D38" s="173" t="s">
        <v>947</v>
      </c>
      <c r="E38" s="174">
        <v>46024</v>
      </c>
      <c r="F38" s="175" t="s">
        <v>946</v>
      </c>
      <c r="G38" s="173" t="s">
        <v>945</v>
      </c>
      <c r="H38" s="173" t="s">
        <v>945</v>
      </c>
      <c r="I38" s="173" t="s">
        <v>945</v>
      </c>
      <c r="J38" s="173" t="s">
        <v>352</v>
      </c>
      <c r="K38" s="173" t="s">
        <v>945</v>
      </c>
      <c r="L38" s="173" t="s">
        <v>945</v>
      </c>
      <c r="M38" s="173"/>
    </row>
    <row r="39" spans="1:13" ht="20.100000000000001" customHeight="1">
      <c r="A39" s="176">
        <v>46044</v>
      </c>
      <c r="B39" s="172" t="s">
        <v>92</v>
      </c>
      <c r="C39" s="173" t="s">
        <v>947</v>
      </c>
      <c r="D39" s="173" t="s">
        <v>945</v>
      </c>
      <c r="E39" s="174">
        <v>46737</v>
      </c>
      <c r="F39" s="175" t="s">
        <v>946</v>
      </c>
      <c r="G39" s="173" t="s">
        <v>945</v>
      </c>
      <c r="H39" s="173" t="s">
        <v>945</v>
      </c>
      <c r="I39" s="173" t="s">
        <v>945</v>
      </c>
      <c r="J39" s="173" t="s">
        <v>352</v>
      </c>
      <c r="K39" s="173" t="s">
        <v>945</v>
      </c>
      <c r="L39" s="173" t="s">
        <v>945</v>
      </c>
      <c r="M39" s="173"/>
    </row>
    <row r="40" spans="1:13" ht="20.100000000000001" customHeight="1">
      <c r="A40" s="176">
        <v>46044</v>
      </c>
      <c r="B40" s="172" t="s">
        <v>84</v>
      </c>
      <c r="C40" s="173" t="s">
        <v>947</v>
      </c>
      <c r="D40" s="173" t="s">
        <v>945</v>
      </c>
      <c r="E40" s="174">
        <v>46207</v>
      </c>
      <c r="F40" s="175" t="s">
        <v>946</v>
      </c>
      <c r="G40" s="173" t="s">
        <v>945</v>
      </c>
      <c r="H40" s="173" t="s">
        <v>945</v>
      </c>
      <c r="I40" s="173" t="s">
        <v>945</v>
      </c>
      <c r="J40" s="173" t="s">
        <v>352</v>
      </c>
      <c r="K40" s="173" t="s">
        <v>945</v>
      </c>
      <c r="L40" s="173" t="s">
        <v>945</v>
      </c>
      <c r="M40" s="173"/>
    </row>
    <row r="41" spans="1:13" ht="20.100000000000001" customHeight="1">
      <c r="A41" s="176">
        <v>46046</v>
      </c>
      <c r="B41" s="172" t="s">
        <v>115</v>
      </c>
      <c r="C41" s="173" t="s">
        <v>947</v>
      </c>
      <c r="D41" s="173" t="s">
        <v>945</v>
      </c>
      <c r="E41" s="174">
        <v>46181</v>
      </c>
      <c r="F41" s="175" t="s">
        <v>946</v>
      </c>
      <c r="G41" s="173" t="s">
        <v>945</v>
      </c>
      <c r="H41" s="173" t="s">
        <v>945</v>
      </c>
      <c r="I41" s="173" t="s">
        <v>945</v>
      </c>
      <c r="J41" s="173" t="s">
        <v>352</v>
      </c>
      <c r="K41" s="173" t="s">
        <v>945</v>
      </c>
      <c r="L41" s="173" t="s">
        <v>945</v>
      </c>
      <c r="M41" s="173"/>
    </row>
    <row r="42" spans="1:13" ht="20.100000000000001" customHeight="1">
      <c r="A42" s="176">
        <v>46049</v>
      </c>
      <c r="B42" s="172" t="s">
        <v>116</v>
      </c>
      <c r="C42" s="173" t="s">
        <v>947</v>
      </c>
      <c r="D42" s="173" t="s">
        <v>947</v>
      </c>
      <c r="E42" s="174">
        <v>46134</v>
      </c>
      <c r="F42" s="175" t="s">
        <v>946</v>
      </c>
      <c r="G42" s="173" t="s">
        <v>945</v>
      </c>
      <c r="H42" s="173" t="s">
        <v>945</v>
      </c>
      <c r="I42" s="173" t="s">
        <v>945</v>
      </c>
      <c r="J42" s="173" t="s">
        <v>352</v>
      </c>
      <c r="K42" s="173" t="s">
        <v>945</v>
      </c>
      <c r="L42" s="173" t="s">
        <v>945</v>
      </c>
      <c r="M42" s="173"/>
    </row>
    <row r="43" spans="1:13" ht="20.100000000000001" customHeight="1">
      <c r="A43" s="176">
        <v>46051</v>
      </c>
      <c r="B43" s="172" t="s">
        <v>108</v>
      </c>
      <c r="C43" s="173" t="s">
        <v>947</v>
      </c>
      <c r="D43" s="173" t="s">
        <v>945</v>
      </c>
      <c r="E43" s="174">
        <v>45982</v>
      </c>
      <c r="F43" s="175" t="s">
        <v>946</v>
      </c>
      <c r="G43" s="173" t="s">
        <v>945</v>
      </c>
      <c r="H43" s="173" t="s">
        <v>945</v>
      </c>
      <c r="I43" s="173" t="s">
        <v>945</v>
      </c>
      <c r="J43" s="173" t="s">
        <v>352</v>
      </c>
      <c r="K43" s="173" t="s">
        <v>945</v>
      </c>
      <c r="L43" s="173" t="s">
        <v>945</v>
      </c>
      <c r="M43" s="173"/>
    </row>
    <row r="44" spans="1:13" ht="20.100000000000001" customHeight="1">
      <c r="A44" s="176">
        <v>46052</v>
      </c>
      <c r="B44" s="172" t="s">
        <v>121</v>
      </c>
      <c r="C44" s="173" t="s">
        <v>947</v>
      </c>
      <c r="D44" s="173" t="s">
        <v>945</v>
      </c>
      <c r="E44" s="173" t="s">
        <v>947</v>
      </c>
      <c r="F44" s="175" t="s">
        <v>946</v>
      </c>
      <c r="G44" s="173" t="s">
        <v>945</v>
      </c>
      <c r="H44" s="173" t="s">
        <v>945</v>
      </c>
      <c r="I44" s="173" t="s">
        <v>945</v>
      </c>
      <c r="J44" s="173" t="s">
        <v>352</v>
      </c>
      <c r="K44" s="173" t="s">
        <v>945</v>
      </c>
      <c r="L44" s="173" t="s">
        <v>945</v>
      </c>
      <c r="M44" s="173"/>
    </row>
    <row r="45" spans="1:13" ht="20.100000000000001" customHeight="1">
      <c r="A45" s="176">
        <v>46052</v>
      </c>
      <c r="B45" s="172" t="s">
        <v>104</v>
      </c>
      <c r="C45" s="173" t="s">
        <v>944</v>
      </c>
      <c r="D45" s="173" t="s">
        <v>945</v>
      </c>
      <c r="E45" s="174">
        <v>46603</v>
      </c>
      <c r="F45" s="175" t="s">
        <v>946</v>
      </c>
      <c r="G45" s="173" t="s">
        <v>945</v>
      </c>
      <c r="H45" s="173" t="s">
        <v>945</v>
      </c>
      <c r="I45" s="173" t="s">
        <v>945</v>
      </c>
      <c r="J45" s="173" t="s">
        <v>352</v>
      </c>
      <c r="K45" s="173" t="s">
        <v>945</v>
      </c>
      <c r="L45" s="173" t="s">
        <v>945</v>
      </c>
      <c r="M45" s="173"/>
    </row>
    <row r="46" spans="1:13" ht="20.100000000000001" customHeight="1">
      <c r="A46" s="176">
        <v>46052</v>
      </c>
      <c r="B46" s="172" t="s">
        <v>99</v>
      </c>
      <c r="C46" s="173" t="s">
        <v>947</v>
      </c>
      <c r="D46" s="173" t="s">
        <v>947</v>
      </c>
      <c r="E46" s="174">
        <v>46032</v>
      </c>
      <c r="F46" s="175" t="s">
        <v>946</v>
      </c>
      <c r="G46" s="173" t="s">
        <v>945</v>
      </c>
      <c r="H46" s="173" t="s">
        <v>945</v>
      </c>
      <c r="I46" s="173" t="s">
        <v>945</v>
      </c>
      <c r="J46" s="173" t="s">
        <v>352</v>
      </c>
      <c r="K46" s="173" t="s">
        <v>945</v>
      </c>
      <c r="L46" s="173" t="s">
        <v>945</v>
      </c>
      <c r="M46" s="173"/>
    </row>
    <row r="47" spans="1:13" ht="20.100000000000001" customHeight="1">
      <c r="A47" s="176">
        <v>46052</v>
      </c>
      <c r="B47" s="172" t="s">
        <v>134</v>
      </c>
      <c r="C47" s="173" t="s">
        <v>951</v>
      </c>
      <c r="D47" s="173" t="s">
        <v>947</v>
      </c>
      <c r="E47" s="174">
        <v>46046</v>
      </c>
      <c r="F47" s="175" t="s">
        <v>946</v>
      </c>
      <c r="G47" s="173" t="s">
        <v>945</v>
      </c>
      <c r="H47" s="173" t="s">
        <v>945</v>
      </c>
      <c r="I47" s="173" t="s">
        <v>945</v>
      </c>
      <c r="J47" s="173" t="s">
        <v>352</v>
      </c>
      <c r="K47" s="173" t="s">
        <v>945</v>
      </c>
      <c r="L47" s="173" t="s">
        <v>945</v>
      </c>
      <c r="M47" s="173"/>
    </row>
    <row r="48" spans="1:13" ht="20.100000000000001" customHeight="1">
      <c r="A48" s="176">
        <v>46052</v>
      </c>
      <c r="B48" s="172" t="s">
        <v>108</v>
      </c>
      <c r="C48" s="173" t="s">
        <v>947</v>
      </c>
      <c r="D48" s="173" t="s">
        <v>947</v>
      </c>
      <c r="E48" s="174">
        <v>46775</v>
      </c>
      <c r="F48" s="175" t="s">
        <v>946</v>
      </c>
      <c r="G48" s="173" t="s">
        <v>945</v>
      </c>
      <c r="H48" s="173" t="s">
        <v>945</v>
      </c>
      <c r="I48" s="173" t="s">
        <v>945</v>
      </c>
      <c r="J48" s="173" t="s">
        <v>352</v>
      </c>
      <c r="K48" s="173" t="s">
        <v>945</v>
      </c>
      <c r="L48" s="173" t="s">
        <v>945</v>
      </c>
      <c r="M48" s="173"/>
    </row>
    <row r="49" spans="1:13">
      <c r="A49" s="213" t="s">
        <v>949</v>
      </c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</row>
    <row r="51" spans="1:13" ht="20.100000000000001" customHeight="1">
      <c r="A51" s="212" t="s">
        <v>952</v>
      </c>
      <c r="B51" s="178"/>
      <c r="C51" s="178"/>
      <c r="D51" s="178"/>
      <c r="E51" s="178"/>
      <c r="F51" s="178"/>
      <c r="G51" s="178"/>
      <c r="H51" s="178"/>
      <c r="I51" s="178"/>
      <c r="J51" s="214" t="s">
        <v>928</v>
      </c>
      <c r="K51" s="170" t="s">
        <v>929</v>
      </c>
      <c r="L51" s="210"/>
      <c r="M51" s="211"/>
    </row>
    <row r="52" spans="1:13" ht="20.100000000000001" customHeight="1">
      <c r="J52" s="215"/>
      <c r="K52" s="170" t="s">
        <v>930</v>
      </c>
      <c r="L52" s="210"/>
      <c r="M52" s="211"/>
    </row>
    <row r="53" spans="1:13" ht="39.950000000000003" customHeight="1">
      <c r="A53" s="171" t="s">
        <v>931</v>
      </c>
      <c r="B53" s="171" t="s">
        <v>932</v>
      </c>
      <c r="C53" s="171" t="s">
        <v>933</v>
      </c>
      <c r="D53" s="171" t="s">
        <v>934</v>
      </c>
      <c r="E53" s="171" t="s">
        <v>935</v>
      </c>
      <c r="F53" s="171" t="s">
        <v>936</v>
      </c>
      <c r="G53" s="171" t="s">
        <v>937</v>
      </c>
      <c r="H53" s="171" t="s">
        <v>938</v>
      </c>
      <c r="I53" s="171" t="s">
        <v>939</v>
      </c>
      <c r="J53" s="171" t="s">
        <v>940</v>
      </c>
      <c r="K53" s="171" t="s">
        <v>941</v>
      </c>
      <c r="L53" s="171" t="s">
        <v>942</v>
      </c>
      <c r="M53" s="171" t="s">
        <v>943</v>
      </c>
    </row>
    <row r="54" spans="1:13" ht="20.100000000000001" customHeight="1">
      <c r="A54" s="176">
        <v>46053</v>
      </c>
      <c r="B54" s="172" t="s">
        <v>120</v>
      </c>
      <c r="C54" s="173" t="s">
        <v>944</v>
      </c>
      <c r="D54" s="173" t="s">
        <v>947</v>
      </c>
      <c r="E54" s="174">
        <v>46041</v>
      </c>
      <c r="F54" s="175" t="s">
        <v>946</v>
      </c>
      <c r="G54" s="173" t="s">
        <v>945</v>
      </c>
      <c r="H54" s="173" t="s">
        <v>945</v>
      </c>
      <c r="I54" s="173" t="s">
        <v>945</v>
      </c>
      <c r="J54" s="173" t="s">
        <v>352</v>
      </c>
      <c r="K54" s="173" t="s">
        <v>945</v>
      </c>
      <c r="L54" s="173" t="s">
        <v>945</v>
      </c>
      <c r="M54" s="173"/>
    </row>
    <row r="55" spans="1:13" ht="20.100000000000001" customHeight="1">
      <c r="A55" s="176">
        <v>46053</v>
      </c>
      <c r="B55" s="172" t="s">
        <v>60</v>
      </c>
      <c r="C55" s="173" t="s">
        <v>947</v>
      </c>
      <c r="D55" s="173" t="s">
        <v>947</v>
      </c>
      <c r="E55" s="174">
        <v>46401</v>
      </c>
      <c r="F55" s="175" t="s">
        <v>946</v>
      </c>
      <c r="G55" s="173" t="s">
        <v>945</v>
      </c>
      <c r="H55" s="173" t="s">
        <v>945</v>
      </c>
      <c r="I55" s="173" t="s">
        <v>945</v>
      </c>
      <c r="J55" s="173" t="s">
        <v>352</v>
      </c>
      <c r="K55" s="173" t="s">
        <v>945</v>
      </c>
      <c r="L55" s="173" t="s">
        <v>945</v>
      </c>
      <c r="M55" s="173"/>
    </row>
    <row r="56" spans="1:13" ht="20.100000000000001" customHeight="1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</row>
    <row r="57" spans="1:13" ht="20.100000000000001" customHeight="1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</row>
    <row r="58" spans="1:13" ht="20.100000000000001" customHeight="1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</row>
    <row r="59" spans="1:13" ht="20.100000000000001" customHeight="1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</row>
    <row r="60" spans="1:13" ht="20.100000000000001" customHeight="1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</row>
    <row r="61" spans="1:13" ht="20.100000000000001" customHeight="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</row>
    <row r="62" spans="1:13" ht="20.100000000000001" customHeight="1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</row>
    <row r="63" spans="1:13" ht="20.100000000000001" customHeight="1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</row>
    <row r="64" spans="1:13" ht="20.100000000000001" customHeight="1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</row>
    <row r="65" spans="1:13" ht="20.100000000000001" customHeight="1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</row>
    <row r="66" spans="1:13" ht="20.100000000000001" customHeight="1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</row>
    <row r="67" spans="1:13" ht="20.100000000000001" customHeight="1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</row>
    <row r="68" spans="1:13" ht="20.100000000000001" customHeight="1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</row>
    <row r="69" spans="1:13" ht="20.100000000000001" customHeight="1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</row>
    <row r="70" spans="1:13" ht="20.100000000000001" customHeight="1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</row>
    <row r="71" spans="1:13" ht="20.100000000000001" customHeight="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</row>
    <row r="72" spans="1:13" ht="20.100000000000001" customHeight="1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</row>
    <row r="73" spans="1:13" ht="20.100000000000001" customHeight="1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</row>
    <row r="74" spans="1:13">
      <c r="A74" s="213" t="s">
        <v>949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</row>
    <row r="76" spans="1:13" ht="20.100000000000001" customHeight="1">
      <c r="A76" s="212" t="s">
        <v>953</v>
      </c>
      <c r="B76" s="178"/>
      <c r="C76" s="178"/>
      <c r="D76" s="178"/>
      <c r="E76" s="178"/>
      <c r="F76" s="178"/>
      <c r="G76" s="178"/>
      <c r="H76" s="178"/>
      <c r="I76" s="178"/>
      <c r="J76" s="214" t="s">
        <v>928</v>
      </c>
      <c r="K76" s="170" t="s">
        <v>929</v>
      </c>
      <c r="L76" s="210"/>
      <c r="M76" s="211"/>
    </row>
    <row r="77" spans="1:13" ht="20.100000000000001" customHeight="1">
      <c r="J77" s="215"/>
      <c r="K77" s="170" t="s">
        <v>930</v>
      </c>
      <c r="L77" s="210"/>
      <c r="M77" s="211"/>
    </row>
    <row r="78" spans="1:13" ht="39.950000000000003" customHeight="1">
      <c r="A78" s="171" t="s">
        <v>931</v>
      </c>
      <c r="B78" s="171" t="s">
        <v>932</v>
      </c>
      <c r="C78" s="171" t="s">
        <v>933</v>
      </c>
      <c r="D78" s="171" t="s">
        <v>934</v>
      </c>
      <c r="E78" s="171" t="s">
        <v>935</v>
      </c>
      <c r="F78" s="171" t="s">
        <v>936</v>
      </c>
      <c r="G78" s="171" t="s">
        <v>937</v>
      </c>
      <c r="H78" s="171" t="s">
        <v>938</v>
      </c>
      <c r="I78" s="171" t="s">
        <v>939</v>
      </c>
      <c r="J78" s="171" t="s">
        <v>940</v>
      </c>
      <c r="K78" s="171" t="s">
        <v>941</v>
      </c>
      <c r="L78" s="171" t="s">
        <v>942</v>
      </c>
      <c r="M78" s="171" t="s">
        <v>943</v>
      </c>
    </row>
    <row r="79" spans="1:13" ht="20.100000000000001" customHeight="1">
      <c r="A79" s="176">
        <v>46056</v>
      </c>
      <c r="B79" s="172" t="s">
        <v>84</v>
      </c>
      <c r="C79" s="173" t="s">
        <v>947</v>
      </c>
      <c r="D79" s="173" t="s">
        <v>945</v>
      </c>
      <c r="E79" s="174">
        <v>46214</v>
      </c>
      <c r="F79" s="175" t="s">
        <v>946</v>
      </c>
      <c r="G79" s="173" t="s">
        <v>945</v>
      </c>
      <c r="H79" s="173" t="s">
        <v>945</v>
      </c>
      <c r="I79" s="173" t="s">
        <v>945</v>
      </c>
      <c r="J79" s="173" t="s">
        <v>352</v>
      </c>
      <c r="K79" s="173" t="s">
        <v>945</v>
      </c>
      <c r="L79" s="173" t="s">
        <v>945</v>
      </c>
      <c r="M79" s="173"/>
    </row>
    <row r="80" spans="1:13" ht="20.100000000000001" customHeight="1">
      <c r="A80" s="176">
        <v>46056</v>
      </c>
      <c r="B80" s="172" t="s">
        <v>116</v>
      </c>
      <c r="C80" s="173" t="s">
        <v>947</v>
      </c>
      <c r="D80" s="173" t="s">
        <v>947</v>
      </c>
      <c r="E80" s="174">
        <v>46141</v>
      </c>
      <c r="F80" s="175" t="s">
        <v>946</v>
      </c>
      <c r="G80" s="173" t="s">
        <v>945</v>
      </c>
      <c r="H80" s="173" t="s">
        <v>945</v>
      </c>
      <c r="I80" s="173" t="s">
        <v>945</v>
      </c>
      <c r="J80" s="173" t="s">
        <v>352</v>
      </c>
      <c r="K80" s="173" t="s">
        <v>945</v>
      </c>
      <c r="L80" s="173" t="s">
        <v>945</v>
      </c>
      <c r="M80" s="173"/>
    </row>
    <row r="81" spans="1:13" ht="20.100000000000001" customHeight="1">
      <c r="A81" s="176">
        <v>46056</v>
      </c>
      <c r="B81" s="172" t="s">
        <v>116</v>
      </c>
      <c r="C81" s="173" t="s">
        <v>947</v>
      </c>
      <c r="D81" s="173" t="s">
        <v>947</v>
      </c>
      <c r="E81" s="174">
        <v>46141</v>
      </c>
      <c r="F81" s="175" t="s">
        <v>946</v>
      </c>
      <c r="G81" s="173" t="s">
        <v>945</v>
      </c>
      <c r="H81" s="173" t="s">
        <v>945</v>
      </c>
      <c r="I81" s="173" t="s">
        <v>945</v>
      </c>
      <c r="J81" s="173" t="s">
        <v>352</v>
      </c>
      <c r="K81" s="173" t="s">
        <v>945</v>
      </c>
      <c r="L81" s="173" t="s">
        <v>945</v>
      </c>
      <c r="M81" s="173"/>
    </row>
    <row r="82" spans="1:13" ht="20.100000000000001" customHeight="1">
      <c r="A82" s="176">
        <v>46057</v>
      </c>
      <c r="B82" s="172" t="s">
        <v>130</v>
      </c>
      <c r="C82" s="173" t="s">
        <v>947</v>
      </c>
      <c r="D82" s="173" t="s">
        <v>945</v>
      </c>
      <c r="E82" s="174">
        <v>46386</v>
      </c>
      <c r="F82" s="175" t="s">
        <v>946</v>
      </c>
      <c r="G82" s="173" t="s">
        <v>945</v>
      </c>
      <c r="H82" s="173" t="s">
        <v>945</v>
      </c>
      <c r="I82" s="173" t="s">
        <v>945</v>
      </c>
      <c r="J82" s="173" t="s">
        <v>352</v>
      </c>
      <c r="K82" s="173" t="s">
        <v>945</v>
      </c>
      <c r="L82" s="173" t="s">
        <v>945</v>
      </c>
      <c r="M82" s="173"/>
    </row>
    <row r="83" spans="1:13" ht="20.100000000000001" customHeight="1">
      <c r="A83" s="176">
        <v>46057</v>
      </c>
      <c r="B83" s="172" t="s">
        <v>89</v>
      </c>
      <c r="C83" s="173" t="s">
        <v>954</v>
      </c>
      <c r="D83" s="173" t="s">
        <v>945</v>
      </c>
      <c r="E83" s="174">
        <v>46150</v>
      </c>
      <c r="F83" s="175" t="s">
        <v>946</v>
      </c>
      <c r="G83" s="173" t="s">
        <v>945</v>
      </c>
      <c r="H83" s="173" t="s">
        <v>945</v>
      </c>
      <c r="I83" s="173" t="s">
        <v>945</v>
      </c>
      <c r="J83" s="173" t="s">
        <v>352</v>
      </c>
      <c r="K83" s="173" t="s">
        <v>945</v>
      </c>
      <c r="L83" s="173" t="s">
        <v>945</v>
      </c>
      <c r="M83" s="173"/>
    </row>
    <row r="84" spans="1:13" ht="20.100000000000001" customHeight="1">
      <c r="A84" s="176">
        <v>46059</v>
      </c>
      <c r="B84" s="172" t="s">
        <v>128</v>
      </c>
      <c r="C84" s="173" t="s">
        <v>951</v>
      </c>
      <c r="D84" s="173" t="s">
        <v>945</v>
      </c>
      <c r="E84" s="174">
        <v>45979</v>
      </c>
      <c r="F84" s="175" t="s">
        <v>946</v>
      </c>
      <c r="G84" s="173" t="s">
        <v>945</v>
      </c>
      <c r="H84" s="173" t="s">
        <v>945</v>
      </c>
      <c r="I84" s="173" t="s">
        <v>945</v>
      </c>
      <c r="J84" s="173" t="s">
        <v>352</v>
      </c>
      <c r="K84" s="173" t="s">
        <v>945</v>
      </c>
      <c r="L84" s="173" t="s">
        <v>945</v>
      </c>
      <c r="M84" s="173"/>
    </row>
    <row r="85" spans="1:13" ht="20.100000000000001" customHeight="1">
      <c r="A85" s="176">
        <v>46059</v>
      </c>
      <c r="B85" s="172" t="s">
        <v>115</v>
      </c>
      <c r="C85" s="173" t="s">
        <v>947</v>
      </c>
      <c r="D85" s="173" t="s">
        <v>945</v>
      </c>
      <c r="E85" s="174">
        <v>46181</v>
      </c>
      <c r="F85" s="175" t="s">
        <v>946</v>
      </c>
      <c r="G85" s="173" t="s">
        <v>945</v>
      </c>
      <c r="H85" s="173" t="s">
        <v>945</v>
      </c>
      <c r="I85" s="173" t="s">
        <v>945</v>
      </c>
      <c r="J85" s="173" t="s">
        <v>352</v>
      </c>
      <c r="K85" s="173" t="s">
        <v>945</v>
      </c>
      <c r="L85" s="173" t="s">
        <v>945</v>
      </c>
      <c r="M85" s="173"/>
    </row>
    <row r="86" spans="1:13" ht="20.100000000000001" customHeight="1">
      <c r="A86" s="176">
        <v>46059</v>
      </c>
      <c r="B86" s="172" t="s">
        <v>82</v>
      </c>
      <c r="C86" s="173" t="s">
        <v>955</v>
      </c>
      <c r="D86" s="173" t="s">
        <v>945</v>
      </c>
      <c r="E86" s="173" t="s">
        <v>947</v>
      </c>
      <c r="F86" s="175" t="s">
        <v>946</v>
      </c>
      <c r="G86" s="173" t="s">
        <v>945</v>
      </c>
      <c r="H86" s="173" t="s">
        <v>945</v>
      </c>
      <c r="I86" s="173" t="s">
        <v>945</v>
      </c>
      <c r="J86" s="173" t="s">
        <v>352</v>
      </c>
      <c r="K86" s="173" t="s">
        <v>945</v>
      </c>
      <c r="L86" s="173" t="s">
        <v>945</v>
      </c>
      <c r="M86" s="173"/>
    </row>
    <row r="87" spans="1:13" ht="20.100000000000001" customHeight="1">
      <c r="A87" s="176">
        <v>46059</v>
      </c>
      <c r="B87" s="172" t="s">
        <v>71</v>
      </c>
      <c r="C87" s="173" t="s">
        <v>944</v>
      </c>
      <c r="D87" s="173" t="s">
        <v>945</v>
      </c>
      <c r="E87" s="174">
        <v>46515</v>
      </c>
      <c r="F87" s="175" t="s">
        <v>946</v>
      </c>
      <c r="G87" s="173" t="s">
        <v>945</v>
      </c>
      <c r="H87" s="173" t="s">
        <v>945</v>
      </c>
      <c r="I87" s="173" t="s">
        <v>945</v>
      </c>
      <c r="J87" s="173" t="s">
        <v>352</v>
      </c>
      <c r="K87" s="173" t="s">
        <v>945</v>
      </c>
      <c r="L87" s="173" t="s">
        <v>945</v>
      </c>
      <c r="M87" s="173"/>
    </row>
    <row r="88" spans="1:13" ht="20.100000000000001" customHeight="1">
      <c r="A88" s="176">
        <v>46059</v>
      </c>
      <c r="B88" s="172" t="s">
        <v>104</v>
      </c>
      <c r="C88" s="173" t="s">
        <v>944</v>
      </c>
      <c r="D88" s="173" t="s">
        <v>945</v>
      </c>
      <c r="E88" s="174">
        <v>46603</v>
      </c>
      <c r="F88" s="175" t="s">
        <v>946</v>
      </c>
      <c r="G88" s="173" t="s">
        <v>945</v>
      </c>
      <c r="H88" s="173" t="s">
        <v>945</v>
      </c>
      <c r="I88" s="173" t="s">
        <v>945</v>
      </c>
      <c r="J88" s="173" t="s">
        <v>352</v>
      </c>
      <c r="K88" s="173" t="s">
        <v>945</v>
      </c>
      <c r="L88" s="173" t="s">
        <v>945</v>
      </c>
      <c r="M88" s="173"/>
    </row>
    <row r="89" spans="1:13" ht="20.100000000000001" customHeight="1">
      <c r="A89" s="176">
        <v>46059</v>
      </c>
      <c r="B89" s="172" t="s">
        <v>73</v>
      </c>
      <c r="C89" s="173" t="s">
        <v>947</v>
      </c>
      <c r="D89" s="173" t="s">
        <v>945</v>
      </c>
      <c r="E89" s="174">
        <v>46724</v>
      </c>
      <c r="F89" s="175" t="s">
        <v>946</v>
      </c>
      <c r="G89" s="173" t="s">
        <v>945</v>
      </c>
      <c r="H89" s="173" t="s">
        <v>945</v>
      </c>
      <c r="I89" s="173" t="s">
        <v>945</v>
      </c>
      <c r="J89" s="173" t="s">
        <v>352</v>
      </c>
      <c r="K89" s="173" t="s">
        <v>945</v>
      </c>
      <c r="L89" s="173" t="s">
        <v>945</v>
      </c>
      <c r="M89" s="173"/>
    </row>
    <row r="90" spans="1:13" ht="20.100000000000001" customHeight="1">
      <c r="A90" s="176">
        <v>46059</v>
      </c>
      <c r="B90" s="172" t="s">
        <v>99</v>
      </c>
      <c r="C90" s="173" t="s">
        <v>947</v>
      </c>
      <c r="D90" s="173" t="s">
        <v>947</v>
      </c>
      <c r="E90" s="174">
        <v>46032</v>
      </c>
      <c r="F90" s="175" t="s">
        <v>946</v>
      </c>
      <c r="G90" s="173" t="s">
        <v>945</v>
      </c>
      <c r="H90" s="173" t="s">
        <v>945</v>
      </c>
      <c r="I90" s="173" t="s">
        <v>945</v>
      </c>
      <c r="J90" s="173" t="s">
        <v>352</v>
      </c>
      <c r="K90" s="173" t="s">
        <v>945</v>
      </c>
      <c r="L90" s="173" t="s">
        <v>945</v>
      </c>
      <c r="M90" s="173"/>
    </row>
    <row r="91" spans="1:13" ht="20.100000000000001" customHeight="1">
      <c r="A91" s="176">
        <v>46059</v>
      </c>
      <c r="B91" s="172" t="s">
        <v>120</v>
      </c>
      <c r="C91" s="173" t="s">
        <v>944</v>
      </c>
      <c r="D91" s="173" t="s">
        <v>947</v>
      </c>
      <c r="E91" s="174">
        <v>46041</v>
      </c>
      <c r="F91" s="175" t="s">
        <v>946</v>
      </c>
      <c r="G91" s="173" t="s">
        <v>945</v>
      </c>
      <c r="H91" s="173" t="s">
        <v>945</v>
      </c>
      <c r="I91" s="173" t="s">
        <v>945</v>
      </c>
      <c r="J91" s="173" t="s">
        <v>352</v>
      </c>
      <c r="K91" s="173" t="s">
        <v>945</v>
      </c>
      <c r="L91" s="173" t="s">
        <v>945</v>
      </c>
      <c r="M91" s="173"/>
    </row>
    <row r="92" spans="1:13" ht="20.100000000000001" customHeight="1">
      <c r="A92" s="176">
        <v>46062</v>
      </c>
      <c r="B92" s="172" t="s">
        <v>114</v>
      </c>
      <c r="C92" s="173" t="s">
        <v>947</v>
      </c>
      <c r="D92" s="173" t="s">
        <v>945</v>
      </c>
      <c r="E92" s="174">
        <v>47109</v>
      </c>
      <c r="F92" s="175" t="s">
        <v>946</v>
      </c>
      <c r="G92" s="173" t="s">
        <v>945</v>
      </c>
      <c r="H92" s="173" t="s">
        <v>945</v>
      </c>
      <c r="I92" s="173" t="s">
        <v>945</v>
      </c>
      <c r="J92" s="173" t="s">
        <v>352</v>
      </c>
      <c r="K92" s="173" t="s">
        <v>945</v>
      </c>
      <c r="L92" s="173" t="s">
        <v>945</v>
      </c>
      <c r="M92" s="173"/>
    </row>
    <row r="93" spans="1:13" ht="20.100000000000001" customHeight="1">
      <c r="A93" s="176">
        <v>46062</v>
      </c>
      <c r="B93" s="172" t="s">
        <v>63</v>
      </c>
      <c r="C93" s="173" t="s">
        <v>947</v>
      </c>
      <c r="D93" s="173" t="s">
        <v>945</v>
      </c>
      <c r="E93" s="174">
        <v>46113</v>
      </c>
      <c r="F93" s="175" t="s">
        <v>946</v>
      </c>
      <c r="G93" s="173" t="s">
        <v>945</v>
      </c>
      <c r="H93" s="173" t="s">
        <v>945</v>
      </c>
      <c r="I93" s="173" t="s">
        <v>945</v>
      </c>
      <c r="J93" s="173" t="s">
        <v>352</v>
      </c>
      <c r="K93" s="173" t="s">
        <v>945</v>
      </c>
      <c r="L93" s="173" t="s">
        <v>945</v>
      </c>
      <c r="M93" s="173"/>
    </row>
    <row r="94" spans="1:13" ht="20.100000000000001" customHeight="1">
      <c r="A94" s="176">
        <v>46062</v>
      </c>
      <c r="B94" s="172" t="s">
        <v>87</v>
      </c>
      <c r="C94" s="173" t="s">
        <v>947</v>
      </c>
      <c r="D94" s="173" t="s">
        <v>945</v>
      </c>
      <c r="E94" s="174">
        <v>46569</v>
      </c>
      <c r="F94" s="175" t="s">
        <v>946</v>
      </c>
      <c r="G94" s="173" t="s">
        <v>945</v>
      </c>
      <c r="H94" s="173" t="s">
        <v>945</v>
      </c>
      <c r="I94" s="173" t="s">
        <v>945</v>
      </c>
      <c r="J94" s="173" t="s">
        <v>352</v>
      </c>
      <c r="K94" s="173" t="s">
        <v>945</v>
      </c>
      <c r="L94" s="173" t="s">
        <v>945</v>
      </c>
      <c r="M94" s="173"/>
    </row>
    <row r="95" spans="1:13" ht="20.100000000000001" customHeight="1">
      <c r="A95" s="176">
        <v>46062</v>
      </c>
      <c r="B95" s="172" t="s">
        <v>86</v>
      </c>
      <c r="C95" s="173" t="s">
        <v>947</v>
      </c>
      <c r="D95" s="173" t="s">
        <v>945</v>
      </c>
      <c r="E95" s="174">
        <v>46199</v>
      </c>
      <c r="F95" s="175" t="s">
        <v>946</v>
      </c>
      <c r="G95" s="173" t="s">
        <v>945</v>
      </c>
      <c r="H95" s="173" t="s">
        <v>945</v>
      </c>
      <c r="I95" s="173" t="s">
        <v>945</v>
      </c>
      <c r="J95" s="173" t="s">
        <v>352</v>
      </c>
      <c r="K95" s="173" t="s">
        <v>945</v>
      </c>
      <c r="L95" s="173" t="s">
        <v>945</v>
      </c>
      <c r="M95" s="173"/>
    </row>
    <row r="96" spans="1:13" ht="20.100000000000001" customHeight="1">
      <c r="A96" s="176">
        <v>46062</v>
      </c>
      <c r="B96" s="172" t="s">
        <v>115</v>
      </c>
      <c r="C96" s="173" t="s">
        <v>947</v>
      </c>
      <c r="D96" s="173" t="s">
        <v>945</v>
      </c>
      <c r="E96" s="174">
        <v>46181</v>
      </c>
      <c r="F96" s="175" t="s">
        <v>946</v>
      </c>
      <c r="G96" s="173" t="s">
        <v>945</v>
      </c>
      <c r="H96" s="173" t="s">
        <v>945</v>
      </c>
      <c r="I96" s="173" t="s">
        <v>945</v>
      </c>
      <c r="J96" s="173" t="s">
        <v>352</v>
      </c>
      <c r="K96" s="173" t="s">
        <v>945</v>
      </c>
      <c r="L96" s="173" t="s">
        <v>945</v>
      </c>
      <c r="M96" s="173"/>
    </row>
    <row r="97" spans="1:13" ht="20.100000000000001" customHeight="1">
      <c r="A97" s="176">
        <v>46062</v>
      </c>
      <c r="B97" s="172" t="s">
        <v>122</v>
      </c>
      <c r="C97" s="173" t="s">
        <v>947</v>
      </c>
      <c r="D97" s="173" t="s">
        <v>945</v>
      </c>
      <c r="E97" s="174">
        <v>46093</v>
      </c>
      <c r="F97" s="175" t="s">
        <v>946</v>
      </c>
      <c r="G97" s="173" t="s">
        <v>945</v>
      </c>
      <c r="H97" s="173" t="s">
        <v>945</v>
      </c>
      <c r="I97" s="173" t="s">
        <v>945</v>
      </c>
      <c r="J97" s="173" t="s">
        <v>352</v>
      </c>
      <c r="K97" s="173" t="s">
        <v>945</v>
      </c>
      <c r="L97" s="173" t="s">
        <v>945</v>
      </c>
      <c r="M97" s="173"/>
    </row>
    <row r="98" spans="1:13" ht="20.100000000000001" customHeight="1">
      <c r="A98" s="176">
        <v>46062</v>
      </c>
      <c r="B98" s="172" t="s">
        <v>97</v>
      </c>
      <c r="C98" s="173" t="s">
        <v>947</v>
      </c>
      <c r="D98" s="173" t="s">
        <v>945</v>
      </c>
      <c r="E98" s="174">
        <v>46322</v>
      </c>
      <c r="F98" s="175" t="s">
        <v>946</v>
      </c>
      <c r="G98" s="173" t="s">
        <v>945</v>
      </c>
      <c r="H98" s="173" t="s">
        <v>945</v>
      </c>
      <c r="I98" s="173" t="s">
        <v>945</v>
      </c>
      <c r="J98" s="173" t="s">
        <v>352</v>
      </c>
      <c r="K98" s="173" t="s">
        <v>945</v>
      </c>
      <c r="L98" s="173" t="s">
        <v>945</v>
      </c>
      <c r="M98" s="173"/>
    </row>
    <row r="99" spans="1:13">
      <c r="A99" s="213" t="s">
        <v>949</v>
      </c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</row>
    <row r="101" spans="1:13" ht="20.100000000000001" customHeight="1">
      <c r="A101" s="212" t="s">
        <v>956</v>
      </c>
      <c r="B101" s="178"/>
      <c r="C101" s="178"/>
      <c r="D101" s="178"/>
      <c r="E101" s="178"/>
      <c r="F101" s="178"/>
      <c r="G101" s="178"/>
      <c r="H101" s="178"/>
      <c r="I101" s="178"/>
      <c r="J101" s="214" t="s">
        <v>928</v>
      </c>
      <c r="K101" s="170" t="s">
        <v>929</v>
      </c>
      <c r="L101" s="210"/>
      <c r="M101" s="211"/>
    </row>
    <row r="102" spans="1:13" ht="20.100000000000001" customHeight="1">
      <c r="J102" s="215"/>
      <c r="K102" s="170" t="s">
        <v>930</v>
      </c>
      <c r="L102" s="210"/>
      <c r="M102" s="211"/>
    </row>
    <row r="103" spans="1:13" ht="39.950000000000003" customHeight="1">
      <c r="A103" s="171" t="s">
        <v>931</v>
      </c>
      <c r="B103" s="171" t="s">
        <v>932</v>
      </c>
      <c r="C103" s="171" t="s">
        <v>933</v>
      </c>
      <c r="D103" s="171" t="s">
        <v>934</v>
      </c>
      <c r="E103" s="171" t="s">
        <v>935</v>
      </c>
      <c r="F103" s="171" t="s">
        <v>936</v>
      </c>
      <c r="G103" s="171" t="s">
        <v>937</v>
      </c>
      <c r="H103" s="171" t="s">
        <v>938</v>
      </c>
      <c r="I103" s="171" t="s">
        <v>939</v>
      </c>
      <c r="J103" s="171" t="s">
        <v>940</v>
      </c>
      <c r="K103" s="171" t="s">
        <v>941</v>
      </c>
      <c r="L103" s="171" t="s">
        <v>942</v>
      </c>
      <c r="M103" s="171" t="s">
        <v>943</v>
      </c>
    </row>
    <row r="104" spans="1:13" ht="20.100000000000001" customHeight="1">
      <c r="A104" s="176">
        <v>46062</v>
      </c>
      <c r="B104" s="172" t="s">
        <v>115</v>
      </c>
      <c r="C104" s="173" t="s">
        <v>947</v>
      </c>
      <c r="D104" s="173" t="s">
        <v>945</v>
      </c>
      <c r="E104" s="174">
        <v>46204</v>
      </c>
      <c r="F104" s="175" t="s">
        <v>946</v>
      </c>
      <c r="G104" s="173" t="s">
        <v>945</v>
      </c>
      <c r="H104" s="173" t="s">
        <v>945</v>
      </c>
      <c r="I104" s="173" t="s">
        <v>945</v>
      </c>
      <c r="J104" s="173" t="s">
        <v>352</v>
      </c>
      <c r="K104" s="173" t="s">
        <v>945</v>
      </c>
      <c r="L104" s="173" t="s">
        <v>945</v>
      </c>
      <c r="M104" s="173"/>
    </row>
    <row r="105" spans="1:13" ht="20.100000000000001" customHeight="1">
      <c r="A105" s="176">
        <v>46062</v>
      </c>
      <c r="B105" s="172" t="s">
        <v>104</v>
      </c>
      <c r="C105" s="173" t="s">
        <v>944</v>
      </c>
      <c r="D105" s="173" t="s">
        <v>945</v>
      </c>
      <c r="E105" s="174">
        <v>46731</v>
      </c>
      <c r="F105" s="175" t="s">
        <v>946</v>
      </c>
      <c r="G105" s="173" t="s">
        <v>945</v>
      </c>
      <c r="H105" s="173" t="s">
        <v>945</v>
      </c>
      <c r="I105" s="173" t="s">
        <v>945</v>
      </c>
      <c r="J105" s="173" t="s">
        <v>352</v>
      </c>
      <c r="K105" s="173" t="s">
        <v>945</v>
      </c>
      <c r="L105" s="173" t="s">
        <v>945</v>
      </c>
      <c r="M105" s="173"/>
    </row>
    <row r="106" spans="1:13" ht="20.100000000000001" customHeight="1">
      <c r="A106" s="176">
        <v>46062</v>
      </c>
      <c r="B106" s="172" t="s">
        <v>84</v>
      </c>
      <c r="C106" s="173" t="s">
        <v>947</v>
      </c>
      <c r="D106" s="173" t="s">
        <v>945</v>
      </c>
      <c r="E106" s="174">
        <v>46236</v>
      </c>
      <c r="F106" s="175" t="s">
        <v>946</v>
      </c>
      <c r="G106" s="173" t="s">
        <v>945</v>
      </c>
      <c r="H106" s="173" t="s">
        <v>945</v>
      </c>
      <c r="I106" s="173" t="s">
        <v>945</v>
      </c>
      <c r="J106" s="173" t="s">
        <v>352</v>
      </c>
      <c r="K106" s="173" t="s">
        <v>945</v>
      </c>
      <c r="L106" s="173" t="s">
        <v>945</v>
      </c>
      <c r="M106" s="173"/>
    </row>
    <row r="107" spans="1:13" ht="20.100000000000001" customHeight="1">
      <c r="A107" s="176">
        <v>46062</v>
      </c>
      <c r="B107" s="172" t="s">
        <v>62</v>
      </c>
      <c r="C107" s="173" t="s">
        <v>947</v>
      </c>
      <c r="D107" s="173" t="s">
        <v>945</v>
      </c>
      <c r="E107" s="174">
        <v>46742</v>
      </c>
      <c r="F107" s="175" t="s">
        <v>946</v>
      </c>
      <c r="G107" s="173" t="s">
        <v>945</v>
      </c>
      <c r="H107" s="173" t="s">
        <v>945</v>
      </c>
      <c r="I107" s="173" t="s">
        <v>945</v>
      </c>
      <c r="J107" s="173" t="s">
        <v>352</v>
      </c>
      <c r="K107" s="173" t="s">
        <v>945</v>
      </c>
      <c r="L107" s="173" t="s">
        <v>945</v>
      </c>
      <c r="M107" s="173"/>
    </row>
    <row r="108" spans="1:13" ht="20.100000000000001" customHeight="1">
      <c r="A108" s="176">
        <v>46063</v>
      </c>
      <c r="B108" s="172" t="s">
        <v>118</v>
      </c>
      <c r="C108" s="173" t="s">
        <v>947</v>
      </c>
      <c r="D108" s="173" t="s">
        <v>945</v>
      </c>
      <c r="E108" s="174">
        <v>46363</v>
      </c>
      <c r="F108" s="175" t="s">
        <v>946</v>
      </c>
      <c r="G108" s="173" t="s">
        <v>945</v>
      </c>
      <c r="H108" s="173" t="s">
        <v>945</v>
      </c>
      <c r="I108" s="173" t="s">
        <v>945</v>
      </c>
      <c r="J108" s="173" t="s">
        <v>352</v>
      </c>
      <c r="K108" s="173" t="s">
        <v>945</v>
      </c>
      <c r="L108" s="173" t="s">
        <v>945</v>
      </c>
      <c r="M108" s="173"/>
    </row>
    <row r="109" spans="1:13" ht="20.100000000000001" customHeight="1">
      <c r="A109" s="176">
        <v>46063</v>
      </c>
      <c r="B109" s="172" t="s">
        <v>107</v>
      </c>
      <c r="C109" s="173" t="s">
        <v>947</v>
      </c>
      <c r="D109" s="173" t="s">
        <v>945</v>
      </c>
      <c r="E109" s="174">
        <v>46170</v>
      </c>
      <c r="F109" s="175" t="s">
        <v>946</v>
      </c>
      <c r="G109" s="173" t="s">
        <v>945</v>
      </c>
      <c r="H109" s="173" t="s">
        <v>945</v>
      </c>
      <c r="I109" s="173" t="s">
        <v>945</v>
      </c>
      <c r="J109" s="173" t="s">
        <v>352</v>
      </c>
      <c r="K109" s="173" t="s">
        <v>945</v>
      </c>
      <c r="L109" s="173" t="s">
        <v>945</v>
      </c>
      <c r="M109" s="173"/>
    </row>
    <row r="110" spans="1:13" ht="20.100000000000001" customHeight="1">
      <c r="A110" s="176">
        <v>46064</v>
      </c>
      <c r="B110" s="172" t="s">
        <v>134</v>
      </c>
      <c r="C110" s="173" t="s">
        <v>951</v>
      </c>
      <c r="D110" s="173" t="s">
        <v>947</v>
      </c>
      <c r="E110" s="174">
        <v>46046</v>
      </c>
      <c r="F110" s="175" t="s">
        <v>946</v>
      </c>
      <c r="G110" s="173" t="s">
        <v>945</v>
      </c>
      <c r="H110" s="173" t="s">
        <v>945</v>
      </c>
      <c r="I110" s="173" t="s">
        <v>945</v>
      </c>
      <c r="J110" s="173" t="s">
        <v>352</v>
      </c>
      <c r="K110" s="173" t="s">
        <v>945</v>
      </c>
      <c r="L110" s="173" t="s">
        <v>945</v>
      </c>
      <c r="M110" s="173"/>
    </row>
    <row r="111" spans="1:13" ht="20.100000000000001" customHeight="1">
      <c r="A111" s="176">
        <v>46064</v>
      </c>
      <c r="B111" s="172" t="s">
        <v>116</v>
      </c>
      <c r="C111" s="173" t="s">
        <v>947</v>
      </c>
      <c r="D111" s="173" t="s">
        <v>947</v>
      </c>
      <c r="E111" s="174">
        <v>46146</v>
      </c>
      <c r="F111" s="175" t="s">
        <v>946</v>
      </c>
      <c r="G111" s="173" t="s">
        <v>945</v>
      </c>
      <c r="H111" s="173" t="s">
        <v>945</v>
      </c>
      <c r="I111" s="173" t="s">
        <v>945</v>
      </c>
      <c r="J111" s="173" t="s">
        <v>352</v>
      </c>
      <c r="K111" s="173" t="s">
        <v>945</v>
      </c>
      <c r="L111" s="173" t="s">
        <v>945</v>
      </c>
      <c r="M111" s="173"/>
    </row>
    <row r="112" spans="1:13" ht="20.100000000000001" customHeight="1">
      <c r="A112" s="176">
        <v>46064</v>
      </c>
      <c r="B112" s="172" t="s">
        <v>116</v>
      </c>
      <c r="C112" s="173" t="s">
        <v>947</v>
      </c>
      <c r="D112" s="173" t="s">
        <v>947</v>
      </c>
      <c r="E112" s="174">
        <v>46144</v>
      </c>
      <c r="F112" s="175" t="s">
        <v>946</v>
      </c>
      <c r="G112" s="173" t="s">
        <v>945</v>
      </c>
      <c r="H112" s="173" t="s">
        <v>945</v>
      </c>
      <c r="I112" s="173" t="s">
        <v>945</v>
      </c>
      <c r="J112" s="173" t="s">
        <v>352</v>
      </c>
      <c r="K112" s="173" t="s">
        <v>945</v>
      </c>
      <c r="L112" s="173" t="s">
        <v>945</v>
      </c>
      <c r="M112" s="173"/>
    </row>
    <row r="113" spans="1:13" ht="20.100000000000001" customHeight="1">
      <c r="A113" s="176">
        <v>46066</v>
      </c>
      <c r="B113" s="172" t="s">
        <v>130</v>
      </c>
      <c r="C113" s="173" t="s">
        <v>947</v>
      </c>
      <c r="D113" s="173" t="s">
        <v>945</v>
      </c>
      <c r="E113" s="174">
        <v>46394</v>
      </c>
      <c r="F113" s="175" t="s">
        <v>946</v>
      </c>
      <c r="G113" s="173" t="s">
        <v>945</v>
      </c>
      <c r="H113" s="173" t="s">
        <v>945</v>
      </c>
      <c r="I113" s="173" t="s">
        <v>945</v>
      </c>
      <c r="J113" s="173" t="s">
        <v>352</v>
      </c>
      <c r="K113" s="173" t="s">
        <v>945</v>
      </c>
      <c r="L113" s="173" t="s">
        <v>945</v>
      </c>
      <c r="M113" s="173"/>
    </row>
    <row r="114" spans="1:13" ht="20.100000000000001" customHeight="1">
      <c r="A114" s="176">
        <v>46066</v>
      </c>
      <c r="B114" s="172" t="s">
        <v>68</v>
      </c>
      <c r="C114" s="173" t="s">
        <v>947</v>
      </c>
      <c r="D114" s="173" t="s">
        <v>945</v>
      </c>
      <c r="E114" s="174">
        <v>46210</v>
      </c>
      <c r="F114" s="175" t="s">
        <v>946</v>
      </c>
      <c r="G114" s="173" t="s">
        <v>945</v>
      </c>
      <c r="H114" s="173" t="s">
        <v>945</v>
      </c>
      <c r="I114" s="173" t="s">
        <v>945</v>
      </c>
      <c r="J114" s="173" t="s">
        <v>352</v>
      </c>
      <c r="K114" s="173" t="s">
        <v>945</v>
      </c>
      <c r="L114" s="173" t="s">
        <v>945</v>
      </c>
      <c r="M114" s="173"/>
    </row>
    <row r="115" spans="1:13" ht="20.100000000000001" customHeight="1">
      <c r="A115" s="176">
        <v>46066</v>
      </c>
      <c r="B115" s="172" t="s">
        <v>69</v>
      </c>
      <c r="C115" s="173" t="s">
        <v>947</v>
      </c>
      <c r="D115" s="173" t="s">
        <v>945</v>
      </c>
      <c r="E115" s="174">
        <v>46329</v>
      </c>
      <c r="F115" s="175" t="s">
        <v>946</v>
      </c>
      <c r="G115" s="173" t="s">
        <v>945</v>
      </c>
      <c r="H115" s="173" t="s">
        <v>945</v>
      </c>
      <c r="I115" s="173" t="s">
        <v>945</v>
      </c>
      <c r="J115" s="173" t="s">
        <v>352</v>
      </c>
      <c r="K115" s="173" t="s">
        <v>945</v>
      </c>
      <c r="L115" s="173" t="s">
        <v>945</v>
      </c>
      <c r="M115" s="173"/>
    </row>
    <row r="116" spans="1:13" ht="20.100000000000001" customHeight="1">
      <c r="A116" s="176">
        <v>46066</v>
      </c>
      <c r="B116" s="172" t="s">
        <v>111</v>
      </c>
      <c r="C116" s="173" t="s">
        <v>948</v>
      </c>
      <c r="D116" s="173" t="s">
        <v>945</v>
      </c>
      <c r="E116" s="174">
        <v>46352</v>
      </c>
      <c r="F116" s="175" t="s">
        <v>946</v>
      </c>
      <c r="G116" s="173" t="s">
        <v>945</v>
      </c>
      <c r="H116" s="173" t="s">
        <v>945</v>
      </c>
      <c r="I116" s="173" t="s">
        <v>945</v>
      </c>
      <c r="J116" s="173" t="s">
        <v>352</v>
      </c>
      <c r="K116" s="173" t="s">
        <v>945</v>
      </c>
      <c r="L116" s="173" t="s">
        <v>945</v>
      </c>
      <c r="M116" s="173"/>
    </row>
    <row r="117" spans="1:13" ht="20.100000000000001" customHeight="1">
      <c r="A117" s="176">
        <v>46066</v>
      </c>
      <c r="B117" s="172" t="s">
        <v>115</v>
      </c>
      <c r="C117" s="173" t="s">
        <v>947</v>
      </c>
      <c r="D117" s="173" t="s">
        <v>945</v>
      </c>
      <c r="E117" s="174">
        <v>46181</v>
      </c>
      <c r="F117" s="175" t="s">
        <v>946</v>
      </c>
      <c r="G117" s="173" t="s">
        <v>945</v>
      </c>
      <c r="H117" s="173" t="s">
        <v>945</v>
      </c>
      <c r="I117" s="173" t="s">
        <v>945</v>
      </c>
      <c r="J117" s="173" t="s">
        <v>352</v>
      </c>
      <c r="K117" s="173" t="s">
        <v>945</v>
      </c>
      <c r="L117" s="173" t="s">
        <v>945</v>
      </c>
      <c r="M117" s="173"/>
    </row>
    <row r="118" spans="1:13" ht="20.100000000000001" customHeight="1">
      <c r="A118" s="176">
        <v>46066</v>
      </c>
      <c r="B118" s="172" t="s">
        <v>71</v>
      </c>
      <c r="C118" s="173" t="s">
        <v>944</v>
      </c>
      <c r="D118" s="173" t="s">
        <v>945</v>
      </c>
      <c r="E118" s="174">
        <v>46150</v>
      </c>
      <c r="F118" s="175" t="s">
        <v>946</v>
      </c>
      <c r="G118" s="173" t="s">
        <v>945</v>
      </c>
      <c r="H118" s="173" t="s">
        <v>945</v>
      </c>
      <c r="I118" s="173" t="s">
        <v>945</v>
      </c>
      <c r="J118" s="173" t="s">
        <v>352</v>
      </c>
      <c r="K118" s="173" t="s">
        <v>945</v>
      </c>
      <c r="L118" s="173" t="s">
        <v>945</v>
      </c>
      <c r="M118" s="173"/>
    </row>
    <row r="119" spans="1:13" ht="20.100000000000001" customHeight="1">
      <c r="A119" s="176">
        <v>46066</v>
      </c>
      <c r="B119" s="172" t="s">
        <v>82</v>
      </c>
      <c r="C119" s="173" t="s">
        <v>955</v>
      </c>
      <c r="D119" s="173" t="s">
        <v>945</v>
      </c>
      <c r="E119" s="173" t="s">
        <v>947</v>
      </c>
      <c r="F119" s="175" t="s">
        <v>946</v>
      </c>
      <c r="G119" s="173" t="s">
        <v>945</v>
      </c>
      <c r="H119" s="173" t="s">
        <v>945</v>
      </c>
      <c r="I119" s="173" t="s">
        <v>945</v>
      </c>
      <c r="J119" s="173" t="s">
        <v>352</v>
      </c>
      <c r="K119" s="173" t="s">
        <v>945</v>
      </c>
      <c r="L119" s="173" t="s">
        <v>945</v>
      </c>
      <c r="M119" s="173"/>
    </row>
    <row r="120" spans="1:13" ht="20.100000000000001" customHeight="1">
      <c r="A120" s="176">
        <v>46066</v>
      </c>
      <c r="B120" s="172" t="s">
        <v>129</v>
      </c>
      <c r="C120" s="173" t="s">
        <v>957</v>
      </c>
      <c r="D120" s="173" t="s">
        <v>945</v>
      </c>
      <c r="E120" s="174">
        <v>46662</v>
      </c>
      <c r="F120" s="175" t="s">
        <v>946</v>
      </c>
      <c r="G120" s="173" t="s">
        <v>945</v>
      </c>
      <c r="H120" s="173" t="s">
        <v>945</v>
      </c>
      <c r="I120" s="173" t="s">
        <v>945</v>
      </c>
      <c r="J120" s="173" t="s">
        <v>352</v>
      </c>
      <c r="K120" s="173" t="s">
        <v>945</v>
      </c>
      <c r="L120" s="173" t="s">
        <v>945</v>
      </c>
      <c r="M120" s="173"/>
    </row>
    <row r="121" spans="1:13" ht="20.100000000000001" customHeight="1">
      <c r="A121" s="176">
        <v>46066</v>
      </c>
      <c r="B121" s="172" t="s">
        <v>125</v>
      </c>
      <c r="C121" s="173" t="s">
        <v>947</v>
      </c>
      <c r="D121" s="173" t="s">
        <v>945</v>
      </c>
      <c r="E121" s="174">
        <v>46392</v>
      </c>
      <c r="F121" s="175" t="s">
        <v>946</v>
      </c>
      <c r="G121" s="173" t="s">
        <v>945</v>
      </c>
      <c r="H121" s="173" t="s">
        <v>945</v>
      </c>
      <c r="I121" s="173" t="s">
        <v>945</v>
      </c>
      <c r="J121" s="173" t="s">
        <v>352</v>
      </c>
      <c r="K121" s="173" t="s">
        <v>945</v>
      </c>
      <c r="L121" s="173" t="s">
        <v>945</v>
      </c>
      <c r="M121" s="173"/>
    </row>
    <row r="122" spans="1:13" ht="20.100000000000001" customHeight="1">
      <c r="A122" s="176">
        <v>46066</v>
      </c>
      <c r="B122" s="172" t="s">
        <v>95</v>
      </c>
      <c r="C122" s="173" t="s">
        <v>947</v>
      </c>
      <c r="D122" s="173" t="s">
        <v>945</v>
      </c>
      <c r="E122" s="174">
        <v>46435</v>
      </c>
      <c r="F122" s="175" t="s">
        <v>946</v>
      </c>
      <c r="G122" s="173" t="s">
        <v>945</v>
      </c>
      <c r="H122" s="173" t="s">
        <v>945</v>
      </c>
      <c r="I122" s="173" t="s">
        <v>945</v>
      </c>
      <c r="J122" s="173" t="s">
        <v>352</v>
      </c>
      <c r="K122" s="173" t="s">
        <v>945</v>
      </c>
      <c r="L122" s="173" t="s">
        <v>945</v>
      </c>
      <c r="M122" s="173"/>
    </row>
    <row r="123" spans="1:13" ht="20.100000000000001" customHeight="1">
      <c r="A123" s="176">
        <v>46066</v>
      </c>
      <c r="B123" s="172" t="s">
        <v>68</v>
      </c>
      <c r="C123" s="173" t="s">
        <v>947</v>
      </c>
      <c r="D123" s="173" t="s">
        <v>945</v>
      </c>
      <c r="E123" s="174">
        <v>46210</v>
      </c>
      <c r="F123" s="175" t="s">
        <v>946</v>
      </c>
      <c r="G123" s="173" t="s">
        <v>945</v>
      </c>
      <c r="H123" s="173" t="s">
        <v>945</v>
      </c>
      <c r="I123" s="173" t="s">
        <v>945</v>
      </c>
      <c r="J123" s="173" t="s">
        <v>352</v>
      </c>
      <c r="K123" s="173" t="s">
        <v>945</v>
      </c>
      <c r="L123" s="173" t="s">
        <v>945</v>
      </c>
      <c r="M123" s="173"/>
    </row>
    <row r="124" spans="1:13">
      <c r="A124" s="213" t="s">
        <v>949</v>
      </c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</row>
    <row r="126" spans="1:13" ht="20.100000000000001" customHeight="1">
      <c r="A126" s="212" t="s">
        <v>958</v>
      </c>
      <c r="B126" s="178"/>
      <c r="C126" s="178"/>
      <c r="D126" s="178"/>
      <c r="E126" s="178"/>
      <c r="F126" s="178"/>
      <c r="G126" s="178"/>
      <c r="H126" s="178"/>
      <c r="I126" s="178"/>
      <c r="J126" s="214" t="s">
        <v>928</v>
      </c>
      <c r="K126" s="170" t="s">
        <v>929</v>
      </c>
      <c r="L126" s="210"/>
      <c r="M126" s="211"/>
    </row>
    <row r="127" spans="1:13" ht="20.100000000000001" customHeight="1">
      <c r="J127" s="215"/>
      <c r="K127" s="170" t="s">
        <v>930</v>
      </c>
      <c r="L127" s="210"/>
      <c r="M127" s="211"/>
    </row>
    <row r="128" spans="1:13" ht="39.950000000000003" customHeight="1">
      <c r="A128" s="171" t="s">
        <v>931</v>
      </c>
      <c r="B128" s="171" t="s">
        <v>932</v>
      </c>
      <c r="C128" s="171" t="s">
        <v>933</v>
      </c>
      <c r="D128" s="171" t="s">
        <v>934</v>
      </c>
      <c r="E128" s="171" t="s">
        <v>935</v>
      </c>
      <c r="F128" s="171" t="s">
        <v>936</v>
      </c>
      <c r="G128" s="171" t="s">
        <v>937</v>
      </c>
      <c r="H128" s="171" t="s">
        <v>938</v>
      </c>
      <c r="I128" s="171" t="s">
        <v>939</v>
      </c>
      <c r="J128" s="171" t="s">
        <v>940</v>
      </c>
      <c r="K128" s="171" t="s">
        <v>941</v>
      </c>
      <c r="L128" s="171" t="s">
        <v>942</v>
      </c>
      <c r="M128" s="171" t="s">
        <v>943</v>
      </c>
    </row>
    <row r="129" spans="1:13" ht="20.100000000000001" customHeight="1">
      <c r="A129" s="176">
        <v>46066</v>
      </c>
      <c r="B129" s="172" t="s">
        <v>69</v>
      </c>
      <c r="C129" s="173" t="s">
        <v>947</v>
      </c>
      <c r="D129" s="173" t="s">
        <v>945</v>
      </c>
      <c r="E129" s="174">
        <v>46329</v>
      </c>
      <c r="F129" s="175" t="s">
        <v>946</v>
      </c>
      <c r="G129" s="173" t="s">
        <v>945</v>
      </c>
      <c r="H129" s="173" t="s">
        <v>945</v>
      </c>
      <c r="I129" s="173" t="s">
        <v>945</v>
      </c>
      <c r="J129" s="173" t="s">
        <v>352</v>
      </c>
      <c r="K129" s="173" t="s">
        <v>945</v>
      </c>
      <c r="L129" s="173" t="s">
        <v>945</v>
      </c>
      <c r="M129" s="173"/>
    </row>
    <row r="130" spans="1:13" ht="20.100000000000001" customHeight="1">
      <c r="A130" s="176">
        <v>46067</v>
      </c>
      <c r="B130" s="172" t="s">
        <v>111</v>
      </c>
      <c r="C130" s="173" t="s">
        <v>948</v>
      </c>
      <c r="D130" s="173" t="s">
        <v>945</v>
      </c>
      <c r="E130" s="174">
        <v>46386</v>
      </c>
      <c r="F130" s="175" t="s">
        <v>946</v>
      </c>
      <c r="G130" s="173" t="s">
        <v>945</v>
      </c>
      <c r="H130" s="173" t="s">
        <v>945</v>
      </c>
      <c r="I130" s="173" t="s">
        <v>945</v>
      </c>
      <c r="J130" s="173" t="s">
        <v>352</v>
      </c>
      <c r="K130" s="173" t="s">
        <v>945</v>
      </c>
      <c r="L130" s="173" t="s">
        <v>945</v>
      </c>
      <c r="M130" s="173"/>
    </row>
    <row r="131" spans="1:13" ht="20.100000000000001" customHeight="1">
      <c r="A131" s="176">
        <v>46072</v>
      </c>
      <c r="B131" s="172" t="s">
        <v>84</v>
      </c>
      <c r="C131" s="173" t="s">
        <v>947</v>
      </c>
      <c r="D131" s="173" t="s">
        <v>945</v>
      </c>
      <c r="E131" s="174">
        <v>46251</v>
      </c>
      <c r="F131" s="175" t="s">
        <v>946</v>
      </c>
      <c r="G131" s="173" t="s">
        <v>945</v>
      </c>
      <c r="H131" s="173" t="s">
        <v>945</v>
      </c>
      <c r="I131" s="173" t="s">
        <v>945</v>
      </c>
      <c r="J131" s="173" t="s">
        <v>352</v>
      </c>
      <c r="K131" s="173" t="s">
        <v>945</v>
      </c>
      <c r="L131" s="173" t="s">
        <v>945</v>
      </c>
      <c r="M131" s="173"/>
    </row>
    <row r="132" spans="1:13" ht="20.100000000000001" customHeight="1">
      <c r="A132" s="176">
        <v>46077</v>
      </c>
      <c r="B132" s="172" t="s">
        <v>115</v>
      </c>
      <c r="C132" s="173" t="s">
        <v>947</v>
      </c>
      <c r="D132" s="173" t="s">
        <v>945</v>
      </c>
      <c r="E132" s="174">
        <v>46146</v>
      </c>
      <c r="F132" s="175" t="s">
        <v>946</v>
      </c>
      <c r="G132" s="173" t="s">
        <v>945</v>
      </c>
      <c r="H132" s="173" t="s">
        <v>945</v>
      </c>
      <c r="I132" s="173" t="s">
        <v>945</v>
      </c>
      <c r="J132" s="173" t="s">
        <v>352</v>
      </c>
      <c r="K132" s="173" t="s">
        <v>945</v>
      </c>
      <c r="L132" s="173" t="s">
        <v>945</v>
      </c>
      <c r="M132" s="173"/>
    </row>
    <row r="133" spans="1:13" ht="20.100000000000001" customHeight="1">
      <c r="A133" s="176">
        <v>46077</v>
      </c>
      <c r="B133" s="172" t="s">
        <v>92</v>
      </c>
      <c r="C133" s="173" t="s">
        <v>947</v>
      </c>
      <c r="D133" s="173" t="s">
        <v>945</v>
      </c>
      <c r="E133" s="174">
        <v>46276</v>
      </c>
      <c r="F133" s="175" t="s">
        <v>946</v>
      </c>
      <c r="G133" s="173" t="s">
        <v>945</v>
      </c>
      <c r="H133" s="173" t="s">
        <v>945</v>
      </c>
      <c r="I133" s="173" t="s">
        <v>945</v>
      </c>
      <c r="J133" s="173" t="s">
        <v>352</v>
      </c>
      <c r="K133" s="173" t="s">
        <v>945</v>
      </c>
      <c r="L133" s="173" t="s">
        <v>945</v>
      </c>
      <c r="M133" s="173"/>
    </row>
    <row r="134" spans="1:13" ht="20.100000000000001" customHeight="1">
      <c r="A134" s="176">
        <v>46077</v>
      </c>
      <c r="B134" s="172" t="s">
        <v>118</v>
      </c>
      <c r="C134" s="173" t="s">
        <v>947</v>
      </c>
      <c r="D134" s="173" t="s">
        <v>945</v>
      </c>
      <c r="E134" s="174">
        <v>46380</v>
      </c>
      <c r="F134" s="175" t="s">
        <v>946</v>
      </c>
      <c r="G134" s="173" t="s">
        <v>945</v>
      </c>
      <c r="H134" s="173" t="s">
        <v>945</v>
      </c>
      <c r="I134" s="173" t="s">
        <v>945</v>
      </c>
      <c r="J134" s="173" t="s">
        <v>352</v>
      </c>
      <c r="K134" s="173" t="s">
        <v>945</v>
      </c>
      <c r="L134" s="173" t="s">
        <v>945</v>
      </c>
      <c r="M134" s="173"/>
    </row>
    <row r="135" spans="1:13" ht="20.100000000000001" customHeight="1">
      <c r="A135" s="176">
        <v>46077</v>
      </c>
      <c r="B135" s="172" t="s">
        <v>120</v>
      </c>
      <c r="C135" s="173" t="s">
        <v>944</v>
      </c>
      <c r="D135" s="173" t="s">
        <v>947</v>
      </c>
      <c r="E135" s="173" t="s">
        <v>947</v>
      </c>
      <c r="F135" s="175" t="s">
        <v>946</v>
      </c>
      <c r="G135" s="173" t="s">
        <v>945</v>
      </c>
      <c r="H135" s="173" t="s">
        <v>945</v>
      </c>
      <c r="I135" s="173" t="s">
        <v>945</v>
      </c>
      <c r="J135" s="173" t="s">
        <v>352</v>
      </c>
      <c r="K135" s="173" t="s">
        <v>945</v>
      </c>
      <c r="L135" s="173" t="s">
        <v>945</v>
      </c>
      <c r="M135" s="173"/>
    </row>
    <row r="136" spans="1:13" ht="20.100000000000001" customHeight="1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</row>
    <row r="137" spans="1:13" ht="20.100000000000001" customHeight="1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</row>
    <row r="138" spans="1:13" ht="20.100000000000001" customHeight="1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</row>
    <row r="139" spans="1:13" ht="20.100000000000001" customHeight="1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</row>
    <row r="140" spans="1:13" ht="20.100000000000001" customHeight="1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</row>
    <row r="141" spans="1:13" ht="20.100000000000001" customHeight="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</row>
    <row r="142" spans="1:13" ht="20.100000000000001" customHeight="1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</row>
    <row r="143" spans="1:13" ht="20.100000000000001" customHeight="1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</row>
    <row r="144" spans="1:13" ht="20.100000000000001" customHeight="1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</row>
    <row r="145" spans="1:13" ht="20.100000000000001" customHeight="1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</row>
    <row r="146" spans="1:13" ht="20.100000000000001" customHeight="1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</row>
    <row r="147" spans="1:13" ht="20.100000000000001" customHeight="1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</row>
    <row r="148" spans="1:13" ht="20.100000000000001" customHeight="1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</row>
    <row r="149" spans="1:13">
      <c r="A149" s="213" t="s">
        <v>949</v>
      </c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</row>
  </sheetData>
  <mergeCells count="30">
    <mergeCell ref="A149:M149"/>
    <mergeCell ref="A1:I1"/>
    <mergeCell ref="L27:M27"/>
    <mergeCell ref="J1:J2"/>
    <mergeCell ref="L77:M77"/>
    <mergeCell ref="L1:M1"/>
    <mergeCell ref="L76:M76"/>
    <mergeCell ref="A124:M124"/>
    <mergeCell ref="A99:M99"/>
    <mergeCell ref="J76:J77"/>
    <mergeCell ref="L52:M52"/>
    <mergeCell ref="A51:I51"/>
    <mergeCell ref="J51:J52"/>
    <mergeCell ref="A74:M74"/>
    <mergeCell ref="L127:M127"/>
    <mergeCell ref="A126:I126"/>
    <mergeCell ref="A24:M24"/>
    <mergeCell ref="A49:M49"/>
    <mergeCell ref="L126:M126"/>
    <mergeCell ref="J26:J27"/>
    <mergeCell ref="L26:M26"/>
    <mergeCell ref="J101:J102"/>
    <mergeCell ref="L102:M102"/>
    <mergeCell ref="L51:M51"/>
    <mergeCell ref="J126:J127"/>
    <mergeCell ref="L2:M2"/>
    <mergeCell ref="L101:M101"/>
    <mergeCell ref="A26:I26"/>
    <mergeCell ref="A101:I101"/>
    <mergeCell ref="A76:I76"/>
  </mergeCells>
  <phoneticPr fontId="55" type="noConversion"/>
  <pageMargins left="0.5" right="0.5" top="0.5" bottom="0.5" header="0.5" footer="0.5"/>
  <pageSetup paperSize="9" fitToHeight="0" orientation="landscape" r:id="rId1"/>
  <rowBreaks count="5" manualBreakCount="5">
    <brk id="25" max="16383" man="1"/>
    <brk id="50" max="16383" man="1"/>
    <brk id="75" max="16383" man="1"/>
    <brk id="100" max="16383" man="1"/>
    <brk id="1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</vt:i4>
      </vt:variant>
    </vt:vector>
  </HeadingPairs>
  <TitlesOfParts>
    <vt:vector size="16" baseType="lpstr">
      <vt:lpstr>📋 사용 안내</vt:lpstr>
      <vt:lpstr>🏭 원료 마스터</vt:lpstr>
      <vt:lpstr>🔖 배합비 참조</vt:lpstr>
      <vt:lpstr>📦 일일 생산 입력</vt:lpstr>
      <vt:lpstr>📊 월별 원료수불부</vt:lpstr>
      <vt:lpstr>💰 원가 분석</vt:lpstr>
      <vt:lpstr>🏢 거래처 관리</vt:lpstr>
      <vt:lpstr>📥 원재료 입고</vt:lpstr>
      <vt:lpstr>📦 재고 현황</vt:lpstr>
      <vt:lpstr>📋 드롭다운 목록</vt:lpstr>
      <vt:lpstr>📤 납품 출고</vt:lpstr>
      <vt:lpstr>📋 납품 집계</vt:lpstr>
      <vt:lpstr>📅 주간 리포트</vt:lpstr>
      <vt:lpstr>📅 주간 원재료 사용</vt:lpstr>
      <vt:lpstr>📋 육안검사일지</vt:lpstr>
      <vt:lpstr>'📋 육안검사일지'!Print_Area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Han</cp:lastModifiedBy>
  <cp:revision>0</cp:revision>
  <cp:lastPrinted>2026-02-25T09:39:32Z</cp:lastPrinted>
  <dcterms:created xsi:type="dcterms:W3CDTF">2026-02-19T00:31:34Z</dcterms:created>
  <dcterms:modified xsi:type="dcterms:W3CDTF">2026-02-25T09:40:34Z</dcterms:modified>
  <dc:language>en-US</dc:language>
</cp:coreProperties>
</file>